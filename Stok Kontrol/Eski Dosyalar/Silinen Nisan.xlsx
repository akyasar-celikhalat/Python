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90CDF580-B1FD-4F18-AD9B-845D6C860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" l="1"/>
</calcChain>
</file>

<file path=xl/sharedStrings.xml><?xml version="1.0" encoding="utf-8"?>
<sst xmlns="http://schemas.openxmlformats.org/spreadsheetml/2006/main" count="1364" uniqueCount="400">
  <si>
    <t>BARKOD KODU</t>
  </si>
  <si>
    <t>ÜRÜN KODU</t>
  </si>
  <si>
    <t>ÜRÜN</t>
  </si>
  <si>
    <t>MİKTAR</t>
  </si>
  <si>
    <t>KG MİKTARI</t>
  </si>
  <si>
    <t>LOKASYON</t>
  </si>
  <si>
    <t>OLUŞTURMA ZAMANI</t>
  </si>
  <si>
    <t>BİRİM KODU</t>
  </si>
  <si>
    <t>DURUM</t>
  </si>
  <si>
    <t>BİRİM</t>
  </si>
  <si>
    <t>SİPARİŞE BAĞLI</t>
  </si>
  <si>
    <t>ENVANTER TİPİ</t>
  </si>
  <si>
    <t>ÜRETİM TARİHİ</t>
  </si>
  <si>
    <t>89366000-20</t>
  </si>
  <si>
    <t>000000000040002380</t>
  </si>
  <si>
    <t>TV 3.20MM-70MC</t>
  </si>
  <si>
    <t>M140B-WT</t>
  </si>
  <si>
    <t>M</t>
  </si>
  <si>
    <t>HAZIR</t>
  </si>
  <si>
    <t>M140 Buyuk Boy Sepet</t>
  </si>
  <si>
    <t>89367400-20</t>
  </si>
  <si>
    <t>000000000040002722</t>
  </si>
  <si>
    <t>TG 3.60MM-KT_B-70MC</t>
  </si>
  <si>
    <t>89368400-1</t>
  </si>
  <si>
    <t>000000000040002405</t>
  </si>
  <si>
    <t>TV 4.00MM-75MC</t>
  </si>
  <si>
    <t>89368500-4</t>
  </si>
  <si>
    <t>000000000040002400</t>
  </si>
  <si>
    <t>TV 2.80MM-75MC</t>
  </si>
  <si>
    <t>89368900-1</t>
  </si>
  <si>
    <t>000000000040002381</t>
  </si>
  <si>
    <t>TV 3.50MM-70MC</t>
  </si>
  <si>
    <t>89368900-7</t>
  </si>
  <si>
    <t>89369000-2</t>
  </si>
  <si>
    <t>000000000040002379</t>
  </si>
  <si>
    <t>TV 3.00MM-70MC</t>
  </si>
  <si>
    <t>89363100-8</t>
  </si>
  <si>
    <t>000000000040000484</t>
  </si>
  <si>
    <t>5.60MM-KT_G-70MC (100)</t>
  </si>
  <si>
    <t>89367000-20</t>
  </si>
  <si>
    <t>000000000040002402</t>
  </si>
  <si>
    <t>TV 3.20MM-75MC</t>
  </si>
  <si>
    <t>89368500-6</t>
  </si>
  <si>
    <t>89397500-5</t>
  </si>
  <si>
    <t>000000000040001612</t>
  </si>
  <si>
    <t>HT 1.33MM-KT_B-KY200</t>
  </si>
  <si>
    <t>M359</t>
  </si>
  <si>
    <t>Euro Pallet</t>
  </si>
  <si>
    <t>89397500-6</t>
  </si>
  <si>
    <t>89397400-1</t>
  </si>
  <si>
    <t>000000000040001617</t>
  </si>
  <si>
    <t>HT 1.45MM-KT_B-KY200</t>
  </si>
  <si>
    <t>89397500-1</t>
  </si>
  <si>
    <t>89397500-2</t>
  </si>
  <si>
    <t>89397500-3</t>
  </si>
  <si>
    <t>89397500-4</t>
  </si>
  <si>
    <t>88580200-1</t>
  </si>
  <si>
    <t>40002679</t>
  </si>
  <si>
    <t>PRV 8.00MM-83HC</t>
  </si>
  <si>
    <t>88580700-3</t>
  </si>
  <si>
    <t>40002559</t>
  </si>
  <si>
    <t>PRV 2.80MM-75MC</t>
  </si>
  <si>
    <t>88452700-126</t>
  </si>
  <si>
    <t>40002139</t>
  </si>
  <si>
    <t>TF 5.50MM-75MC</t>
  </si>
  <si>
    <t>89183200-20</t>
  </si>
  <si>
    <t>000000000040002698</t>
  </si>
  <si>
    <t>PRV 7.50MM-83HC</t>
  </si>
  <si>
    <t>M515-WT</t>
  </si>
  <si>
    <t>89183200-21</t>
  </si>
  <si>
    <t>M140B</t>
  </si>
  <si>
    <t>89183200-22</t>
  </si>
  <si>
    <t>89183200-23</t>
  </si>
  <si>
    <t>89183200-24</t>
  </si>
  <si>
    <t>89183200-25</t>
  </si>
  <si>
    <t>89183200-26</t>
  </si>
  <si>
    <t>89183200-27</t>
  </si>
  <si>
    <t>40002417</t>
  </si>
  <si>
    <t>TV 2.20MM-83HC</t>
  </si>
  <si>
    <t>40002156</t>
  </si>
  <si>
    <t>TF 8.00MM-83HC</t>
  </si>
  <si>
    <t>89366900-3</t>
  </si>
  <si>
    <t>89369800-26</t>
  </si>
  <si>
    <t>40002152</t>
  </si>
  <si>
    <t>TF 5.50MM-83HC</t>
  </si>
  <si>
    <t>89370100-1</t>
  </si>
  <si>
    <t>89456200-145</t>
  </si>
  <si>
    <t>000000000040000813</t>
  </si>
  <si>
    <t>HT 0.38MM-CT-KY180</t>
  </si>
  <si>
    <t>89466500-1</t>
  </si>
  <si>
    <t>000000000040002501</t>
  </si>
  <si>
    <t>PRV 1.92MM-70MC</t>
  </si>
  <si>
    <t>89466500-3</t>
  </si>
  <si>
    <t>89466500-4</t>
  </si>
  <si>
    <t>89466500-5</t>
  </si>
  <si>
    <t>89466500-6</t>
  </si>
  <si>
    <t>89466500-7</t>
  </si>
  <si>
    <t>89466500-8</t>
  </si>
  <si>
    <t>89466500-9</t>
  </si>
  <si>
    <t>89466500-2</t>
  </si>
  <si>
    <t>89361200-7</t>
  </si>
  <si>
    <t>000000000045028757</t>
  </si>
  <si>
    <t>DMT 1X36WS-10.23MM-KT_B-200-S</t>
  </si>
  <si>
    <t>M324-WT</t>
  </si>
  <si>
    <t>89466500-10</t>
  </si>
  <si>
    <t>89369200-2070</t>
  </si>
  <si>
    <t>000000000040002165</t>
  </si>
  <si>
    <t>TF 13.00MM-83PC</t>
  </si>
  <si>
    <t>YT6</t>
  </si>
  <si>
    <t>89537800-11</t>
  </si>
  <si>
    <t>PRV 2.80MM-70MC</t>
  </si>
  <si>
    <t>89531100-2</t>
  </si>
  <si>
    <t>000000000040002956</t>
  </si>
  <si>
    <t>PRV 1.72MM-45MC</t>
  </si>
  <si>
    <t>89531100-4</t>
  </si>
  <si>
    <t>89469600-31</t>
  </si>
  <si>
    <t>000000000040002339</t>
  </si>
  <si>
    <t>TV 5.50MM-83HC</t>
  </si>
  <si>
    <t>88723600-11</t>
  </si>
  <si>
    <t>000000000040002272</t>
  </si>
  <si>
    <t>TG 2.80MM-KT_B-83HC</t>
  </si>
  <si>
    <t>M172</t>
  </si>
  <si>
    <t>89275501-72</t>
  </si>
  <si>
    <t>000000000045007347</t>
  </si>
  <si>
    <t>DMT 1X19S-2.65MM-CT-140-180-S</t>
  </si>
  <si>
    <t>M501-WT</t>
  </si>
  <si>
    <t>89324301-32</t>
  </si>
  <si>
    <t>M401</t>
  </si>
  <si>
    <t>89426001-46</t>
  </si>
  <si>
    <t>M509-WT</t>
  </si>
  <si>
    <t>89426001-60</t>
  </si>
  <si>
    <t>89455401-10</t>
  </si>
  <si>
    <t>M304-WT</t>
  </si>
  <si>
    <t>89455401-18</t>
  </si>
  <si>
    <t>M424-WT</t>
  </si>
  <si>
    <t>89455401-49</t>
  </si>
  <si>
    <t>M355-WT</t>
  </si>
  <si>
    <t>89455401-61</t>
  </si>
  <si>
    <t>M331-WT</t>
  </si>
  <si>
    <t>89455402-10</t>
  </si>
  <si>
    <t>M305-WT</t>
  </si>
  <si>
    <t>89455402-15</t>
  </si>
  <si>
    <t>89455402-18</t>
  </si>
  <si>
    <t>89456001-5</t>
  </si>
  <si>
    <t>89456003-1</t>
  </si>
  <si>
    <t>89477900-1</t>
  </si>
  <si>
    <t>M508-WT</t>
  </si>
  <si>
    <t>89477900-13</t>
  </si>
  <si>
    <t>89477900-19</t>
  </si>
  <si>
    <t>89477900-26</t>
  </si>
  <si>
    <t>89477900-34</t>
  </si>
  <si>
    <t>89477900-36</t>
  </si>
  <si>
    <t>89477901-20</t>
  </si>
  <si>
    <t>89478500-27</t>
  </si>
  <si>
    <t>89478500-42</t>
  </si>
  <si>
    <t>M315-WT</t>
  </si>
  <si>
    <t>89478501-29</t>
  </si>
  <si>
    <t>M502-WT</t>
  </si>
  <si>
    <t>89530000-5</t>
  </si>
  <si>
    <t>M309-WT</t>
  </si>
  <si>
    <t>89530003-1</t>
  </si>
  <si>
    <t>89530003-2</t>
  </si>
  <si>
    <t>89530003-7</t>
  </si>
  <si>
    <t>89530003-8</t>
  </si>
  <si>
    <t>89530005-1</t>
  </si>
  <si>
    <t>M306-WT</t>
  </si>
  <si>
    <t>89530005-2</t>
  </si>
  <si>
    <t>M401-B4</t>
  </si>
  <si>
    <t>BESİK - DEMET (ÇEVRE)</t>
  </si>
  <si>
    <t>000000000040002466</t>
  </si>
  <si>
    <t>PRV 1.92MM-65MC</t>
  </si>
  <si>
    <t>M140-S20</t>
  </si>
  <si>
    <t>SARICI</t>
  </si>
  <si>
    <t>89466400-8</t>
  </si>
  <si>
    <t>000000000040002549</t>
  </si>
  <si>
    <t>PRV 1.92MM-75MC</t>
  </si>
  <si>
    <t>89369900-71</t>
  </si>
  <si>
    <t>000000000040003158</t>
  </si>
  <si>
    <t>TF 7.60MM-83HC-BMS</t>
  </si>
  <si>
    <t>89466700-5</t>
  </si>
  <si>
    <t>000000000040003665</t>
  </si>
  <si>
    <t>PRV 2.42MM-75MC</t>
  </si>
  <si>
    <t>M140-S6</t>
  </si>
  <si>
    <t>89362800-21</t>
  </si>
  <si>
    <t>000000000040000626</t>
  </si>
  <si>
    <t>HT 1.30MM-KT_AB-KY160</t>
  </si>
  <si>
    <t>M197-WT</t>
  </si>
  <si>
    <t>89362800-29</t>
  </si>
  <si>
    <t>89362800-30</t>
  </si>
  <si>
    <t>89362800-31</t>
  </si>
  <si>
    <t>89362700-3</t>
  </si>
  <si>
    <t>000000000040000677</t>
  </si>
  <si>
    <t>HT 2.65MM-KT_AB-KY160</t>
  </si>
  <si>
    <t>M199-WT</t>
  </si>
  <si>
    <t>89501300-28</t>
  </si>
  <si>
    <t>000000000040001667</t>
  </si>
  <si>
    <t>HT 2.90MM-KT_B-KY200</t>
  </si>
  <si>
    <t>89501300-44</t>
  </si>
  <si>
    <t>88462400-295</t>
  </si>
  <si>
    <t>000000000040002152</t>
  </si>
  <si>
    <t>88602400-363</t>
  </si>
  <si>
    <t>000000000040002136</t>
  </si>
  <si>
    <t>TF 5.50MM-70MC</t>
  </si>
  <si>
    <t>M511</t>
  </si>
  <si>
    <t>89166800-17</t>
  </si>
  <si>
    <t>000000000040002133</t>
  </si>
  <si>
    <t>TF 5.50MM-45MC</t>
  </si>
  <si>
    <t>M512</t>
  </si>
  <si>
    <t>89168500-28</t>
  </si>
  <si>
    <t>000000000040002157</t>
  </si>
  <si>
    <t>TF 9.00MM-83HC</t>
  </si>
  <si>
    <t>89369200-240</t>
  </si>
  <si>
    <t>89369200-253</t>
  </si>
  <si>
    <t>89369200-381</t>
  </si>
  <si>
    <t>89369200-382</t>
  </si>
  <si>
    <t>89369200-425</t>
  </si>
  <si>
    <t>M160</t>
  </si>
  <si>
    <t>89369200-430</t>
  </si>
  <si>
    <t>89369200-431</t>
  </si>
  <si>
    <t>89369200-432</t>
  </si>
  <si>
    <t>89369200-433</t>
  </si>
  <si>
    <t>89369200-434</t>
  </si>
  <si>
    <t>89369200-435</t>
  </si>
  <si>
    <t>89369200-436</t>
  </si>
  <si>
    <t>89369200-438</t>
  </si>
  <si>
    <t>89369200-61</t>
  </si>
  <si>
    <t>M412</t>
  </si>
  <si>
    <t>89369300-4</t>
  </si>
  <si>
    <t>000000000040002161</t>
  </si>
  <si>
    <t>TF 13.00MM-83HC</t>
  </si>
  <si>
    <t>89369300-6</t>
  </si>
  <si>
    <t>89369300-9</t>
  </si>
  <si>
    <t>89369400-15</t>
  </si>
  <si>
    <t>000000000040002160</t>
  </si>
  <si>
    <t>TF 12.00MM-83HC</t>
  </si>
  <si>
    <t>89369400-16</t>
  </si>
  <si>
    <t>89369500-19</t>
  </si>
  <si>
    <t>000000000040002159</t>
  </si>
  <si>
    <t>TF 11.00MM-83HC</t>
  </si>
  <si>
    <t>89369600-25</t>
  </si>
  <si>
    <t>000000000040002158</t>
  </si>
  <si>
    <t>TF 10.00MM-83HC</t>
  </si>
  <si>
    <t>M180</t>
  </si>
  <si>
    <t>89369600-27</t>
  </si>
  <si>
    <t>89369600-33</t>
  </si>
  <si>
    <t>M515</t>
  </si>
  <si>
    <t>89369700-11</t>
  </si>
  <si>
    <t>89369700-32</t>
  </si>
  <si>
    <t>89369700-58</t>
  </si>
  <si>
    <t>89369800-21</t>
  </si>
  <si>
    <t>000000000040002156</t>
  </si>
  <si>
    <t>89369800-61</t>
  </si>
  <si>
    <t>89369800-74</t>
  </si>
  <si>
    <t>89369800-76</t>
  </si>
  <si>
    <t>89369900-14</t>
  </si>
  <si>
    <t>000000000040002155</t>
  </si>
  <si>
    <t>TF 7.00MM-83HC</t>
  </si>
  <si>
    <t>89369900-21</t>
  </si>
  <si>
    <t>M178</t>
  </si>
  <si>
    <t>89369900-22</t>
  </si>
  <si>
    <t>89369900-25</t>
  </si>
  <si>
    <t>89369900-33</t>
  </si>
  <si>
    <t>89369900-41</t>
  </si>
  <si>
    <t>89369900-46</t>
  </si>
  <si>
    <t>89369900-5</t>
  </si>
  <si>
    <t>89369900-75</t>
  </si>
  <si>
    <t>89369900-84</t>
  </si>
  <si>
    <t>89369900-86</t>
  </si>
  <si>
    <t>89370100-111</t>
  </si>
  <si>
    <t>89370100-115</t>
  </si>
  <si>
    <t>M514</t>
  </si>
  <si>
    <t>89370100-117</t>
  </si>
  <si>
    <t>89370100-13</t>
  </si>
  <si>
    <t>89370100-145</t>
  </si>
  <si>
    <t>89370100-153</t>
  </si>
  <si>
    <t>M184</t>
  </si>
  <si>
    <t>89370100-163</t>
  </si>
  <si>
    <t>89370100-181</t>
  </si>
  <si>
    <t>89370100-186</t>
  </si>
  <si>
    <t>M176</t>
  </si>
  <si>
    <t>89370100-208</t>
  </si>
  <si>
    <t>89370100-41</t>
  </si>
  <si>
    <t>89370100-52</t>
  </si>
  <si>
    <t>89370100-63</t>
  </si>
  <si>
    <t>M185</t>
  </si>
  <si>
    <t>89370100-70</t>
  </si>
  <si>
    <t>89370200-14</t>
  </si>
  <si>
    <t>000000000040002150</t>
  </si>
  <si>
    <t>TF 16.00MM-75MC</t>
  </si>
  <si>
    <t>89370200-44</t>
  </si>
  <si>
    <t>89370400-11</t>
  </si>
  <si>
    <t>000000000040002145</t>
  </si>
  <si>
    <t>TF 11.00MM-75MC</t>
  </si>
  <si>
    <t>89370500-17</t>
  </si>
  <si>
    <t>000000000040002144</t>
  </si>
  <si>
    <t>TF 10.00MM-75MC</t>
  </si>
  <si>
    <t>89370600-10</t>
  </si>
  <si>
    <t>000000000040002143</t>
  </si>
  <si>
    <t>TF 9.00MM-75MC</t>
  </si>
  <si>
    <t>M179</t>
  </si>
  <si>
    <t>89370800-4</t>
  </si>
  <si>
    <t>000000000040002141</t>
  </si>
  <si>
    <t>TF 7.00MM-75MC</t>
  </si>
  <si>
    <t>89370900-1</t>
  </si>
  <si>
    <t>000000000040002139</t>
  </si>
  <si>
    <t>89370900-42</t>
  </si>
  <si>
    <t>M513</t>
  </si>
  <si>
    <t>89370900-46</t>
  </si>
  <si>
    <t>M175</t>
  </si>
  <si>
    <t>89370900-53</t>
  </si>
  <si>
    <t>89370900-7</t>
  </si>
  <si>
    <t>89370900-70</t>
  </si>
  <si>
    <t>89370900-84</t>
  </si>
  <si>
    <t>89370900-86</t>
  </si>
  <si>
    <t>89370900-98</t>
  </si>
  <si>
    <t>89371000-4</t>
  </si>
  <si>
    <t>000000000040002138</t>
  </si>
  <si>
    <t>TF 7.00MM-70MC</t>
  </si>
  <si>
    <t>89371100-155</t>
  </si>
  <si>
    <t>89371100-163</t>
  </si>
  <si>
    <t>89371100-177</t>
  </si>
  <si>
    <t>89371100-227</t>
  </si>
  <si>
    <t>89371100-228</t>
  </si>
  <si>
    <t>89371100-262</t>
  </si>
  <si>
    <t>89371100-276</t>
  </si>
  <si>
    <t>89371100-363</t>
  </si>
  <si>
    <t>89371100-370</t>
  </si>
  <si>
    <t>89371100-393</t>
  </si>
  <si>
    <t>89371100-398</t>
  </si>
  <si>
    <t>89371100-424</t>
  </si>
  <si>
    <t>89371100-432</t>
  </si>
  <si>
    <t>89371100-433</t>
  </si>
  <si>
    <t>89371100-437</t>
  </si>
  <si>
    <t>89371100-461</t>
  </si>
  <si>
    <t>89371100-465</t>
  </si>
  <si>
    <t>89371100-491</t>
  </si>
  <si>
    <t>89371100-510</t>
  </si>
  <si>
    <t>89371100-532</t>
  </si>
  <si>
    <t>89371100-546</t>
  </si>
  <si>
    <t>89371100-548</t>
  </si>
  <si>
    <t>89371100-552</t>
  </si>
  <si>
    <t>89371100-584</t>
  </si>
  <si>
    <t>89371100-61</t>
  </si>
  <si>
    <t>89371100-621</t>
  </si>
  <si>
    <t>89371200-19</t>
  </si>
  <si>
    <t>89371200-4</t>
  </si>
  <si>
    <t>89371200-57</t>
  </si>
  <si>
    <t>89371200-63</t>
  </si>
  <si>
    <t>89371400-4</t>
  </si>
  <si>
    <t>000000000040002783</t>
  </si>
  <si>
    <t>TF 16.00MM-83HC</t>
  </si>
  <si>
    <t>89389500-2</t>
  </si>
  <si>
    <t>000000000040002164</t>
  </si>
  <si>
    <t>TF 11.00MM-83PC</t>
  </si>
  <si>
    <t>71673800-69</t>
  </si>
  <si>
    <t>000000000040002923</t>
  </si>
  <si>
    <t>TG 2.10MM-KT_B-83HC</t>
  </si>
  <si>
    <t>M196</t>
  </si>
  <si>
    <t>89470200-5</t>
  </si>
  <si>
    <t>000000000040002172</t>
  </si>
  <si>
    <t>TG 2.60MM-KT_AB-70MC</t>
  </si>
  <si>
    <t>M140-S18</t>
  </si>
  <si>
    <t>000000000040002493</t>
  </si>
  <si>
    <t>PRV 1.50MM-70MC</t>
  </si>
  <si>
    <t>M140-S10</t>
  </si>
  <si>
    <t>000000000040002623</t>
  </si>
  <si>
    <t>PRV 4.50MM-83HC</t>
  </si>
  <si>
    <t>M140-S23</t>
  </si>
  <si>
    <t>000000000040002674</t>
  </si>
  <si>
    <t>PRV 2.50MM-70MC</t>
  </si>
  <si>
    <t>000000000040002612</t>
  </si>
  <si>
    <t>PRV 3.50MM-83HC</t>
  </si>
  <si>
    <t>M140-T5</t>
  </si>
  <si>
    <t>000000000040002502</t>
  </si>
  <si>
    <t>PRV 2.00MM-70MC</t>
  </si>
  <si>
    <t>M140-S22</t>
  </si>
  <si>
    <t>000000000040002559</t>
  </si>
  <si>
    <t>M140-S25</t>
  </si>
  <si>
    <t>000000000040002610</t>
  </si>
  <si>
    <t>PRV 3.20MM-83HC</t>
  </si>
  <si>
    <t>M140-S4</t>
  </si>
  <si>
    <t>000000000040002515</t>
  </si>
  <si>
    <t>M140-S7</t>
  </si>
  <si>
    <t>000000000040002630</t>
  </si>
  <si>
    <t>PRV 5.00MM-83HC</t>
  </si>
  <si>
    <t>000000000040002447</t>
  </si>
  <si>
    <t>PRV 2.40MM-45MC</t>
  </si>
  <si>
    <t>M140-S31</t>
  </si>
  <si>
    <t>000000000040003475</t>
  </si>
  <si>
    <t>PRV 6.40MM-83HC (TGB)</t>
  </si>
  <si>
    <t>000000000040002517</t>
  </si>
  <si>
    <t>PRV 3.00MM-70MC</t>
  </si>
  <si>
    <t>000000000040002562</t>
  </si>
  <si>
    <t>PRV 3.00MM-75MC</t>
  </si>
  <si>
    <t>000000000040002796</t>
  </si>
  <si>
    <t>PRV 1.92MM-45MC</t>
  </si>
  <si>
    <t>M140-T1</t>
  </si>
  <si>
    <t>000000000040002596</t>
  </si>
  <si>
    <t>PRV 2.20MM-83HC</t>
  </si>
  <si>
    <t>M140-S24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</si>
</sst>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2" x14ac:knownFonts="1">
    <font>
      <sz val="11"/>
      <name val="Calibri"/>
    </font>
    <font>
      <sz val="11"/>
      <color rgb="FFFFFFFF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C1FC15-158E-40BB-BBDF-572893E549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SAYIM\Haftal&#305;k%20Say&#305;mlar%202026\16.%20Hafta%20P%20Filma&#351;in%20A360.xlsx" TargetMode="External"/><Relationship Id="rId1" Type="http://schemas.openxmlformats.org/officeDocument/2006/relationships/externalLinkPath" Target="file:///Q:\SAYIM\Haftal&#305;k%20Say&#305;mlar%202026\16.%20Hafta%20P%20Filma&#351;in%20A36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SAYIM\Haftal&#305;k%20Say&#305;mlar%202026\16.%20Hafta%20P%20SAYIM.xlsx" TargetMode="External"/><Relationship Id="rId1" Type="http://schemas.openxmlformats.org/officeDocument/2006/relationships/externalLinkPath" Target="file:///Q:\SAYIM\Haftal&#305;k%20Say&#305;mlar%202026\16.%20Hafta%20P%20SAY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  <sheetName val="VERİ"/>
      <sheetName val="16. Hafta P Filmaşin A360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  <sheetName val="VERİ"/>
      <sheetName val="16. Hafta P SAYIM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220">
  <autoFilter ref="A1:M220" xr:uid="{00000000-0009-0000-0100-000001000000}"/>
  <tableColumns count="13">
    <tableColumn id="1" xr3:uid="{00000000-0010-0000-0000-000001000000}" name="BARKOD KODU"/>
    <tableColumn id="2" xr3:uid="{00000000-0010-0000-0000-000002000000}" name="ÜRÜN KODU"/>
    <tableColumn id="3" xr3:uid="{00000000-0010-0000-0000-000003000000}" name="ÜRÜN"/>
    <tableColumn id="4" xr3:uid="{00000000-0010-0000-0000-000004000000}" name="MİKTAR"/>
    <tableColumn id="5" xr3:uid="{00000000-0010-0000-0000-000005000000}" name="KG MİKTARI"/>
    <tableColumn id="6" xr3:uid="{00000000-0010-0000-0000-000006000000}" name="LOKASYON"/>
    <tableColumn id="7" xr3:uid="{00000000-0010-0000-0000-000007000000}" name="OLUŞTURMA ZAMANI"/>
    <tableColumn id="8" xr3:uid="{00000000-0010-0000-0000-000008000000}" name="BİRİM KODU"/>
    <tableColumn id="9" xr3:uid="{00000000-0010-0000-0000-000009000000}" name="DURUM"/>
    <tableColumn id="10" xr3:uid="{00000000-0010-0000-0000-00000A000000}" name="BİRİM"/>
    <tableColumn id="11" xr3:uid="{00000000-0010-0000-0000-00000B000000}" name="SİPARİŞE BAĞLI"/>
    <tableColumn id="12" xr3:uid="{00000000-0010-0000-0000-00000C000000}" name="ENVANTER TİPİ"/>
    <tableColumn id="13" xr3:uid="{00000000-0010-0000-0000-00000D000000}" name="ÜRETİM TARİHİ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0"/>
  <sheetViews>
    <sheetView tabSelected="1" topLeftCell="A196" workbookViewId="0">
      <selection activeCell="C227" sqref="C227"/>
    </sheetView>
  </sheetViews>
  <sheetFormatPr defaultRowHeight="15" x14ac:dyDescent="0.25"/>
  <cols>
    <col min="1" max="1" width="16.5703125" bestFit="1" customWidth="1"/>
    <col min="2" max="2" width="19.28515625" bestFit="1" customWidth="1"/>
    <col min="3" max="3" width="24" bestFit="1" customWidth="1"/>
    <col min="4" max="4" width="10.28515625" bestFit="1" customWidth="1"/>
    <col min="5" max="5" width="13.85546875" bestFit="1" customWidth="1"/>
    <col min="6" max="6" width="13" bestFit="1" customWidth="1"/>
    <col min="7" max="7" width="22.85546875" style="2" bestFit="1" customWidth="1"/>
    <col min="8" max="8" width="14.28515625" bestFit="1" customWidth="1"/>
    <col min="9" max="9" width="10.42578125" bestFit="1" customWidth="1"/>
    <col min="10" max="10" width="8.5703125" bestFit="1" customWidth="1"/>
    <col min="11" max="11" width="16.85546875" bestFit="1" customWidth="1"/>
    <col min="12" max="12" width="21.140625" bestFit="1" customWidth="1"/>
    <col min="13" max="13" width="16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17485</v>
      </c>
      <c r="E2">
        <v>1105.0520000000001</v>
      </c>
      <c r="F2" t="s">
        <v>16</v>
      </c>
      <c r="G2" s="2">
        <v>46113.798912036997</v>
      </c>
      <c r="H2" t="s">
        <v>17</v>
      </c>
      <c r="I2" t="s">
        <v>18</v>
      </c>
      <c r="K2">
        <v>183545</v>
      </c>
      <c r="L2" t="s">
        <v>19</v>
      </c>
      <c r="M2" s="2">
        <v>46113.798912036997</v>
      </c>
    </row>
    <row r="3" spans="1:13" x14ac:dyDescent="0.25">
      <c r="A3" t="s">
        <v>20</v>
      </c>
      <c r="B3" t="s">
        <v>21</v>
      </c>
      <c r="C3" t="s">
        <v>22</v>
      </c>
      <c r="D3">
        <v>12766</v>
      </c>
      <c r="E3">
        <v>1020.0033999999999</v>
      </c>
      <c r="F3" t="s">
        <v>16</v>
      </c>
      <c r="G3" s="2">
        <v>46114.452615740702</v>
      </c>
      <c r="H3" t="s">
        <v>17</v>
      </c>
      <c r="I3" t="s">
        <v>18</v>
      </c>
      <c r="K3">
        <v>183549</v>
      </c>
      <c r="L3" t="s">
        <v>19</v>
      </c>
      <c r="M3" s="2">
        <v>46114.452615740702</v>
      </c>
    </row>
    <row r="4" spans="1:13" x14ac:dyDescent="0.25">
      <c r="A4" t="s">
        <v>23</v>
      </c>
      <c r="B4" t="s">
        <v>24</v>
      </c>
      <c r="C4" t="s">
        <v>25</v>
      </c>
      <c r="D4">
        <v>11601</v>
      </c>
      <c r="E4">
        <v>1145.0186999999999</v>
      </c>
      <c r="F4" t="s">
        <v>16</v>
      </c>
      <c r="G4" s="2">
        <v>46113.741296296299</v>
      </c>
      <c r="H4" t="s">
        <v>17</v>
      </c>
      <c r="I4" t="s">
        <v>18</v>
      </c>
      <c r="K4">
        <v>183568</v>
      </c>
      <c r="L4" t="s">
        <v>19</v>
      </c>
      <c r="M4" s="2">
        <v>46113.741296296299</v>
      </c>
    </row>
    <row r="5" spans="1:13" x14ac:dyDescent="0.25">
      <c r="A5" t="s">
        <v>26</v>
      </c>
      <c r="B5" t="s">
        <v>27</v>
      </c>
      <c r="C5" t="s">
        <v>28</v>
      </c>
      <c r="D5">
        <v>5992</v>
      </c>
      <c r="E5">
        <v>290.01279999999997</v>
      </c>
      <c r="F5" t="s">
        <v>16</v>
      </c>
      <c r="G5" s="2">
        <v>46114.0760532407</v>
      </c>
      <c r="H5" t="s">
        <v>17</v>
      </c>
      <c r="I5" t="s">
        <v>18</v>
      </c>
      <c r="K5">
        <v>183569</v>
      </c>
      <c r="L5" t="s">
        <v>19</v>
      </c>
      <c r="M5" s="2">
        <v>46114.0760532407</v>
      </c>
    </row>
    <row r="6" spans="1:13" x14ac:dyDescent="0.25">
      <c r="A6" t="s">
        <v>29</v>
      </c>
      <c r="B6" t="s">
        <v>30</v>
      </c>
      <c r="C6" t="s">
        <v>31</v>
      </c>
      <c r="D6">
        <v>11641</v>
      </c>
      <c r="E6">
        <v>880.05960000000005</v>
      </c>
      <c r="F6" t="s">
        <v>16</v>
      </c>
      <c r="G6" s="2">
        <v>46113.750231481499</v>
      </c>
      <c r="H6" t="s">
        <v>17</v>
      </c>
      <c r="I6" t="s">
        <v>18</v>
      </c>
      <c r="K6">
        <v>183564</v>
      </c>
      <c r="L6" t="s">
        <v>19</v>
      </c>
      <c r="M6" s="2">
        <v>46113.750231481499</v>
      </c>
    </row>
    <row r="7" spans="1:13" x14ac:dyDescent="0.25">
      <c r="A7" t="s">
        <v>32</v>
      </c>
      <c r="B7" t="s">
        <v>30</v>
      </c>
      <c r="C7" t="s">
        <v>31</v>
      </c>
      <c r="D7">
        <v>12567</v>
      </c>
      <c r="E7">
        <v>950.0652</v>
      </c>
      <c r="F7" t="s">
        <v>16</v>
      </c>
      <c r="G7" s="2">
        <v>46114.064606481501</v>
      </c>
      <c r="H7" t="s">
        <v>17</v>
      </c>
      <c r="I7" t="s">
        <v>18</v>
      </c>
      <c r="K7">
        <v>183564</v>
      </c>
      <c r="L7" t="s">
        <v>19</v>
      </c>
      <c r="M7" s="2">
        <v>46114.064606481501</v>
      </c>
    </row>
    <row r="8" spans="1:13" x14ac:dyDescent="0.25">
      <c r="A8" t="s">
        <v>33</v>
      </c>
      <c r="B8" t="s">
        <v>34</v>
      </c>
      <c r="C8" t="s">
        <v>35</v>
      </c>
      <c r="D8">
        <v>11406</v>
      </c>
      <c r="E8">
        <v>633.03300000000002</v>
      </c>
      <c r="F8" t="s">
        <v>16</v>
      </c>
      <c r="G8" s="2">
        <v>46114.198159722197</v>
      </c>
      <c r="H8" t="s">
        <v>17</v>
      </c>
      <c r="I8" t="s">
        <v>18</v>
      </c>
      <c r="K8">
        <v>183566</v>
      </c>
      <c r="L8" t="s">
        <v>19</v>
      </c>
      <c r="M8" s="2">
        <v>46114.198159722197</v>
      </c>
    </row>
    <row r="9" spans="1:13" x14ac:dyDescent="0.25">
      <c r="A9" t="s">
        <v>36</v>
      </c>
      <c r="B9" t="s">
        <v>37</v>
      </c>
      <c r="C9" t="s">
        <v>38</v>
      </c>
      <c r="D9">
        <v>9049</v>
      </c>
      <c r="E9">
        <v>1750.0765999999999</v>
      </c>
      <c r="F9" t="s">
        <v>16</v>
      </c>
      <c r="G9" s="2">
        <v>46114.570474537002</v>
      </c>
      <c r="H9" t="s">
        <v>17</v>
      </c>
      <c r="I9" t="s">
        <v>18</v>
      </c>
      <c r="K9">
        <v>183506</v>
      </c>
      <c r="L9" t="s">
        <v>19</v>
      </c>
      <c r="M9" s="2">
        <v>46114.570474537002</v>
      </c>
    </row>
    <row r="10" spans="1:13" x14ac:dyDescent="0.25">
      <c r="A10" t="s">
        <v>39</v>
      </c>
      <c r="B10" t="s">
        <v>40</v>
      </c>
      <c r="C10" t="s">
        <v>41</v>
      </c>
      <c r="D10">
        <v>15032</v>
      </c>
      <c r="E10">
        <v>950.02240000000006</v>
      </c>
      <c r="F10" t="s">
        <v>16</v>
      </c>
      <c r="G10" s="2">
        <v>46114.406192129602</v>
      </c>
      <c r="H10" t="s">
        <v>17</v>
      </c>
      <c r="I10" t="s">
        <v>18</v>
      </c>
      <c r="K10">
        <v>183556</v>
      </c>
      <c r="L10" t="s">
        <v>19</v>
      </c>
      <c r="M10" s="2">
        <v>46114.406192129602</v>
      </c>
    </row>
    <row r="11" spans="1:13" x14ac:dyDescent="0.25">
      <c r="A11" t="s">
        <v>42</v>
      </c>
      <c r="B11" t="s">
        <v>27</v>
      </c>
      <c r="C11" t="s">
        <v>28</v>
      </c>
      <c r="D11">
        <v>6199</v>
      </c>
      <c r="E11">
        <v>300.03159999999997</v>
      </c>
      <c r="F11" t="s">
        <v>16</v>
      </c>
      <c r="G11" s="2">
        <v>46114.496979166703</v>
      </c>
      <c r="H11" t="s">
        <v>17</v>
      </c>
      <c r="I11" t="s">
        <v>18</v>
      </c>
      <c r="K11">
        <v>183569</v>
      </c>
      <c r="L11" t="s">
        <v>19</v>
      </c>
      <c r="M11" s="2">
        <v>46114.496979166703</v>
      </c>
    </row>
    <row r="12" spans="1:13" x14ac:dyDescent="0.25">
      <c r="A12" t="s">
        <v>43</v>
      </c>
      <c r="B12" t="s">
        <v>44</v>
      </c>
      <c r="C12" t="s">
        <v>45</v>
      </c>
      <c r="D12">
        <v>6007</v>
      </c>
      <c r="E12">
        <v>65.476299999999995</v>
      </c>
      <c r="F12" t="s">
        <v>46</v>
      </c>
      <c r="G12" s="2">
        <v>46118.573773148099</v>
      </c>
      <c r="H12" t="s">
        <v>17</v>
      </c>
      <c r="I12" t="s">
        <v>18</v>
      </c>
      <c r="K12">
        <v>183799</v>
      </c>
      <c r="L12" t="s">
        <v>47</v>
      </c>
      <c r="M12" s="2">
        <v>46118.573773148099</v>
      </c>
    </row>
    <row r="13" spans="1:13" x14ac:dyDescent="0.25">
      <c r="A13" t="s">
        <v>48</v>
      </c>
      <c r="B13" t="s">
        <v>44</v>
      </c>
      <c r="C13" t="s">
        <v>45</v>
      </c>
      <c r="D13">
        <v>6007</v>
      </c>
      <c r="E13">
        <v>65.476299999999995</v>
      </c>
      <c r="F13" t="s">
        <v>46</v>
      </c>
      <c r="G13" s="2">
        <v>46118.573773148099</v>
      </c>
      <c r="H13" t="s">
        <v>17</v>
      </c>
      <c r="I13" t="s">
        <v>18</v>
      </c>
      <c r="K13">
        <v>183799</v>
      </c>
      <c r="L13" t="s">
        <v>47</v>
      </c>
      <c r="M13" s="2">
        <v>46118.573773148099</v>
      </c>
    </row>
    <row r="14" spans="1:13" x14ac:dyDescent="0.25">
      <c r="A14" t="s">
        <v>49</v>
      </c>
      <c r="B14" t="s">
        <v>50</v>
      </c>
      <c r="C14" t="s">
        <v>51</v>
      </c>
      <c r="D14">
        <v>5747</v>
      </c>
      <c r="E14">
        <v>74.710999999999999</v>
      </c>
      <c r="F14" t="s">
        <v>46</v>
      </c>
      <c r="G14" s="2">
        <v>46118.573773148099</v>
      </c>
      <c r="H14" t="s">
        <v>17</v>
      </c>
      <c r="I14" t="s">
        <v>18</v>
      </c>
      <c r="K14">
        <v>183799</v>
      </c>
      <c r="L14" t="s">
        <v>47</v>
      </c>
      <c r="M14" s="2">
        <v>46118.573773148099</v>
      </c>
    </row>
    <row r="15" spans="1:13" x14ac:dyDescent="0.25">
      <c r="A15" t="s">
        <v>52</v>
      </c>
      <c r="B15" t="s">
        <v>44</v>
      </c>
      <c r="C15" t="s">
        <v>45</v>
      </c>
      <c r="D15">
        <v>1494</v>
      </c>
      <c r="E15">
        <v>16.284600000000001</v>
      </c>
      <c r="F15" t="s">
        <v>46</v>
      </c>
      <c r="G15" s="2">
        <v>46118.573773148099</v>
      </c>
      <c r="H15" t="s">
        <v>17</v>
      </c>
      <c r="I15" t="s">
        <v>18</v>
      </c>
      <c r="K15">
        <v>183799</v>
      </c>
      <c r="L15" t="s">
        <v>47</v>
      </c>
      <c r="M15" s="2">
        <v>46118.573773148099</v>
      </c>
    </row>
    <row r="16" spans="1:13" x14ac:dyDescent="0.25">
      <c r="A16" t="s">
        <v>53</v>
      </c>
      <c r="B16" t="s">
        <v>44</v>
      </c>
      <c r="C16" t="s">
        <v>45</v>
      </c>
      <c r="D16">
        <v>2621</v>
      </c>
      <c r="E16">
        <v>28.568899999999999</v>
      </c>
      <c r="F16" t="s">
        <v>46</v>
      </c>
      <c r="G16" s="2">
        <v>46118.573773148099</v>
      </c>
      <c r="H16" t="s">
        <v>17</v>
      </c>
      <c r="I16" t="s">
        <v>18</v>
      </c>
      <c r="K16">
        <v>183799</v>
      </c>
      <c r="L16" t="s">
        <v>47</v>
      </c>
      <c r="M16" s="2">
        <v>46118.573773148099</v>
      </c>
    </row>
    <row r="17" spans="1:13" x14ac:dyDescent="0.25">
      <c r="A17" t="s">
        <v>54</v>
      </c>
      <c r="B17" t="s">
        <v>44</v>
      </c>
      <c r="C17" t="s">
        <v>45</v>
      </c>
      <c r="D17">
        <v>6007</v>
      </c>
      <c r="E17">
        <v>65.476299999999995</v>
      </c>
      <c r="F17" t="s">
        <v>46</v>
      </c>
      <c r="G17" s="2">
        <v>46118.573773148099</v>
      </c>
      <c r="H17" t="s">
        <v>17</v>
      </c>
      <c r="I17" t="s">
        <v>18</v>
      </c>
      <c r="K17">
        <v>183799</v>
      </c>
      <c r="L17" t="s">
        <v>47</v>
      </c>
      <c r="M17" s="2">
        <v>46118.573773148099</v>
      </c>
    </row>
    <row r="18" spans="1:13" x14ac:dyDescent="0.25">
      <c r="A18" t="s">
        <v>55</v>
      </c>
      <c r="B18" t="s">
        <v>44</v>
      </c>
      <c r="C18" t="s">
        <v>45</v>
      </c>
      <c r="D18">
        <v>6007</v>
      </c>
      <c r="E18">
        <v>65.476299999999995</v>
      </c>
      <c r="F18" t="s">
        <v>46</v>
      </c>
      <c r="G18" s="2">
        <v>46118.573773148099</v>
      </c>
      <c r="H18" t="s">
        <v>17</v>
      </c>
      <c r="I18" t="s">
        <v>18</v>
      </c>
      <c r="K18">
        <v>183799</v>
      </c>
      <c r="L18" t="s">
        <v>47</v>
      </c>
      <c r="M18" s="2">
        <v>46118.573773148099</v>
      </c>
    </row>
    <row r="19" spans="1:13" x14ac:dyDescent="0.25">
      <c r="A19" t="s">
        <v>56</v>
      </c>
      <c r="B19" t="s">
        <v>57</v>
      </c>
      <c r="C19" t="s">
        <v>58</v>
      </c>
      <c r="D19">
        <v>4954</v>
      </c>
    </row>
    <row r="20" spans="1:13" x14ac:dyDescent="0.25">
      <c r="A20" t="s">
        <v>59</v>
      </c>
      <c r="B20" s="4" t="s">
        <v>60</v>
      </c>
      <c r="C20" t="s">
        <v>61</v>
      </c>
      <c r="D20" s="5">
        <v>12107</v>
      </c>
    </row>
    <row r="21" spans="1:13" x14ac:dyDescent="0.25">
      <c r="A21" t="s">
        <v>62</v>
      </c>
      <c r="B21" s="4" t="s">
        <v>63</v>
      </c>
      <c r="C21" t="s">
        <v>64</v>
      </c>
      <c r="D21" s="5">
        <v>12016</v>
      </c>
    </row>
    <row r="22" spans="1:13" x14ac:dyDescent="0.25">
      <c r="A22" t="s">
        <v>65</v>
      </c>
      <c r="B22" t="s">
        <v>66</v>
      </c>
      <c r="C22" t="s">
        <v>67</v>
      </c>
      <c r="D22">
        <v>9100</v>
      </c>
      <c r="E22">
        <v>3155.88</v>
      </c>
      <c r="F22" t="s">
        <v>68</v>
      </c>
      <c r="G22" s="2">
        <v>46119.462893518503</v>
      </c>
      <c r="H22" t="s">
        <v>17</v>
      </c>
      <c r="I22" t="s">
        <v>18</v>
      </c>
      <c r="K22">
        <v>181608</v>
      </c>
      <c r="L22" t="s">
        <v>47</v>
      </c>
      <c r="M22" s="2">
        <v>46119.462893518503</v>
      </c>
    </row>
    <row r="23" spans="1:13" x14ac:dyDescent="0.25">
      <c r="A23" t="s">
        <v>69</v>
      </c>
      <c r="B23" t="s">
        <v>66</v>
      </c>
      <c r="C23" t="s">
        <v>67</v>
      </c>
      <c r="D23">
        <v>9200</v>
      </c>
      <c r="E23">
        <v>3190.56</v>
      </c>
      <c r="F23" t="s">
        <v>70</v>
      </c>
      <c r="G23" s="2">
        <v>46120.080833333297</v>
      </c>
      <c r="H23" t="s">
        <v>17</v>
      </c>
      <c r="I23" t="s">
        <v>18</v>
      </c>
      <c r="L23" t="s">
        <v>47</v>
      </c>
      <c r="M23" s="2">
        <v>46120.080833333297</v>
      </c>
    </row>
    <row r="24" spans="1:13" x14ac:dyDescent="0.25">
      <c r="A24" t="s">
        <v>71</v>
      </c>
      <c r="B24" t="s">
        <v>66</v>
      </c>
      <c r="C24" t="s">
        <v>67</v>
      </c>
      <c r="D24">
        <v>9250</v>
      </c>
      <c r="E24">
        <v>3207.9</v>
      </c>
      <c r="F24" t="s">
        <v>68</v>
      </c>
      <c r="G24" s="2">
        <v>46120.297164351898</v>
      </c>
      <c r="H24" t="s">
        <v>17</v>
      </c>
      <c r="I24" t="s">
        <v>18</v>
      </c>
      <c r="K24">
        <v>181608</v>
      </c>
      <c r="L24" t="s">
        <v>47</v>
      </c>
      <c r="M24" s="2">
        <v>46120.297164351898</v>
      </c>
    </row>
    <row r="25" spans="1:13" x14ac:dyDescent="0.25">
      <c r="A25" t="s">
        <v>72</v>
      </c>
      <c r="B25" t="s">
        <v>66</v>
      </c>
      <c r="C25" t="s">
        <v>67</v>
      </c>
      <c r="D25">
        <v>9200</v>
      </c>
      <c r="E25">
        <v>3190.56</v>
      </c>
      <c r="F25" t="s">
        <v>68</v>
      </c>
      <c r="G25" s="2">
        <v>46120.606817129599</v>
      </c>
      <c r="H25" t="s">
        <v>17</v>
      </c>
      <c r="I25" t="s">
        <v>18</v>
      </c>
      <c r="K25">
        <v>181608</v>
      </c>
      <c r="L25" t="s">
        <v>47</v>
      </c>
      <c r="M25" s="2">
        <v>46120.606817129599</v>
      </c>
    </row>
    <row r="26" spans="1:13" x14ac:dyDescent="0.25">
      <c r="A26" t="s">
        <v>73</v>
      </c>
      <c r="B26" t="s">
        <v>66</v>
      </c>
      <c r="C26" t="s">
        <v>67</v>
      </c>
      <c r="D26">
        <v>9100</v>
      </c>
      <c r="E26">
        <v>3155.88</v>
      </c>
      <c r="F26" t="s">
        <v>68</v>
      </c>
      <c r="G26" s="2">
        <v>46120.988449074102</v>
      </c>
      <c r="H26" t="s">
        <v>17</v>
      </c>
      <c r="I26" t="s">
        <v>18</v>
      </c>
      <c r="K26">
        <v>181608</v>
      </c>
      <c r="L26" t="s">
        <v>47</v>
      </c>
      <c r="M26" s="2">
        <v>46120.988449074102</v>
      </c>
    </row>
    <row r="27" spans="1:13" x14ac:dyDescent="0.25">
      <c r="A27" t="s">
        <v>74</v>
      </c>
      <c r="B27" t="s">
        <v>66</v>
      </c>
      <c r="C27" t="s">
        <v>67</v>
      </c>
      <c r="D27">
        <v>9200</v>
      </c>
      <c r="E27">
        <v>3190.56</v>
      </c>
      <c r="F27" t="s">
        <v>68</v>
      </c>
      <c r="G27" s="2">
        <v>46121.415243055599</v>
      </c>
      <c r="H27" t="s">
        <v>17</v>
      </c>
      <c r="I27" t="s">
        <v>18</v>
      </c>
      <c r="K27">
        <v>181608</v>
      </c>
      <c r="L27" t="s">
        <v>47</v>
      </c>
      <c r="M27" s="2">
        <v>46121.415243055599</v>
      </c>
    </row>
    <row r="28" spans="1:13" x14ac:dyDescent="0.25">
      <c r="A28" t="s">
        <v>75</v>
      </c>
      <c r="B28" t="s">
        <v>66</v>
      </c>
      <c r="C28" t="s">
        <v>67</v>
      </c>
      <c r="D28">
        <v>9300</v>
      </c>
      <c r="E28">
        <v>3225.24</v>
      </c>
      <c r="F28" t="s">
        <v>68</v>
      </c>
      <c r="G28" s="2">
        <v>46121.621817129599</v>
      </c>
      <c r="H28" t="s">
        <v>17</v>
      </c>
      <c r="I28" t="s">
        <v>18</v>
      </c>
      <c r="K28">
        <v>181608</v>
      </c>
      <c r="L28" t="s">
        <v>47</v>
      </c>
      <c r="M28" s="2">
        <v>46121.621817129599</v>
      </c>
    </row>
    <row r="29" spans="1:13" x14ac:dyDescent="0.25">
      <c r="A29" t="s">
        <v>76</v>
      </c>
      <c r="B29" t="s">
        <v>66</v>
      </c>
      <c r="C29" t="s">
        <v>67</v>
      </c>
      <c r="D29">
        <v>9200</v>
      </c>
      <c r="E29">
        <v>3190.56</v>
      </c>
      <c r="F29" t="s">
        <v>68</v>
      </c>
      <c r="G29" s="2">
        <v>46122.121296296304</v>
      </c>
      <c r="H29" t="s">
        <v>17</v>
      </c>
      <c r="I29" t="s">
        <v>18</v>
      </c>
      <c r="K29">
        <v>181608</v>
      </c>
      <c r="L29" t="s">
        <v>47</v>
      </c>
      <c r="M29" s="2">
        <v>46122.121296296304</v>
      </c>
    </row>
    <row r="30" spans="1:13" x14ac:dyDescent="0.25">
      <c r="A30" t="s">
        <v>81</v>
      </c>
      <c r="B30" t="s">
        <v>77</v>
      </c>
      <c r="C30" t="s">
        <v>78</v>
      </c>
      <c r="D30">
        <v>20067</v>
      </c>
    </row>
    <row r="31" spans="1:13" x14ac:dyDescent="0.25">
      <c r="A31" t="s">
        <v>82</v>
      </c>
      <c r="B31" t="s">
        <v>79</v>
      </c>
      <c r="C31" t="s">
        <v>80</v>
      </c>
      <c r="D31">
        <v>4022</v>
      </c>
    </row>
    <row r="32" spans="1:13" x14ac:dyDescent="0.25">
      <c r="A32" t="s">
        <v>85</v>
      </c>
      <c r="B32" s="4" t="s">
        <v>83</v>
      </c>
      <c r="C32" t="s">
        <v>84</v>
      </c>
      <c r="D32" s="5">
        <v>6759</v>
      </c>
    </row>
    <row r="33" spans="1:13" x14ac:dyDescent="0.25">
      <c r="A33" t="s">
        <v>86</v>
      </c>
      <c r="B33" s="6" t="s">
        <v>87</v>
      </c>
      <c r="C33" t="s">
        <v>88</v>
      </c>
      <c r="D33">
        <v>11172</v>
      </c>
    </row>
    <row r="34" spans="1:13" x14ac:dyDescent="0.25">
      <c r="A34" t="s">
        <v>89</v>
      </c>
      <c r="B34" t="s">
        <v>90</v>
      </c>
      <c r="C34" t="s">
        <v>91</v>
      </c>
      <c r="D34">
        <v>68000</v>
      </c>
    </row>
    <row r="35" spans="1:13" x14ac:dyDescent="0.25">
      <c r="A35" t="s">
        <v>92</v>
      </c>
      <c r="B35" t="s">
        <v>90</v>
      </c>
      <c r="C35" t="s">
        <v>91</v>
      </c>
      <c r="D35">
        <v>70000</v>
      </c>
    </row>
    <row r="36" spans="1:13" x14ac:dyDescent="0.25">
      <c r="A36" t="s">
        <v>93</v>
      </c>
      <c r="B36" t="s">
        <v>90</v>
      </c>
      <c r="C36" t="s">
        <v>91</v>
      </c>
      <c r="D36">
        <v>69000</v>
      </c>
    </row>
    <row r="37" spans="1:13" x14ac:dyDescent="0.25">
      <c r="A37" t="s">
        <v>94</v>
      </c>
      <c r="B37" t="s">
        <v>90</v>
      </c>
      <c r="C37" t="s">
        <v>91</v>
      </c>
      <c r="D37">
        <v>62000</v>
      </c>
    </row>
    <row r="38" spans="1:13" x14ac:dyDescent="0.25">
      <c r="A38" t="s">
        <v>95</v>
      </c>
      <c r="B38" t="s">
        <v>90</v>
      </c>
      <c r="C38" t="s">
        <v>91</v>
      </c>
      <c r="D38">
        <v>70000</v>
      </c>
    </row>
    <row r="39" spans="1:13" x14ac:dyDescent="0.25">
      <c r="A39" t="s">
        <v>96</v>
      </c>
      <c r="B39" t="s">
        <v>90</v>
      </c>
      <c r="C39" t="s">
        <v>91</v>
      </c>
      <c r="D39">
        <v>70176</v>
      </c>
    </row>
    <row r="40" spans="1:13" x14ac:dyDescent="0.25">
      <c r="A40" t="s">
        <v>97</v>
      </c>
      <c r="B40" t="s">
        <v>90</v>
      </c>
      <c r="C40" t="s">
        <v>91</v>
      </c>
      <c r="D40">
        <v>70000</v>
      </c>
    </row>
    <row r="41" spans="1:13" x14ac:dyDescent="0.25">
      <c r="A41" t="s">
        <v>98</v>
      </c>
      <c r="B41" t="s">
        <v>90</v>
      </c>
      <c r="C41" t="s">
        <v>91</v>
      </c>
      <c r="D41">
        <v>70176</v>
      </c>
    </row>
    <row r="42" spans="1:13" x14ac:dyDescent="0.25">
      <c r="A42" t="s">
        <v>99</v>
      </c>
      <c r="B42" t="s">
        <v>90</v>
      </c>
      <c r="C42" t="s">
        <v>91</v>
      </c>
      <c r="D42">
        <v>71000</v>
      </c>
    </row>
    <row r="43" spans="1:13" x14ac:dyDescent="0.25">
      <c r="A43" t="s">
        <v>100</v>
      </c>
      <c r="B43" t="s">
        <v>101</v>
      </c>
      <c r="C43" t="s">
        <v>102</v>
      </c>
      <c r="D43">
        <v>559</v>
      </c>
      <c r="E43">
        <v>314.15800000000002</v>
      </c>
      <c r="F43" t="s">
        <v>103</v>
      </c>
      <c r="G43" s="2">
        <v>46115.566956018498</v>
      </c>
      <c r="H43" t="s">
        <v>17</v>
      </c>
      <c r="I43" t="s">
        <v>18</v>
      </c>
      <c r="K43">
        <v>183446</v>
      </c>
      <c r="L43" t="s">
        <v>47</v>
      </c>
      <c r="M43" s="2">
        <v>46115.566956018498</v>
      </c>
    </row>
    <row r="44" spans="1:13" x14ac:dyDescent="0.25">
      <c r="A44" t="s">
        <v>104</v>
      </c>
      <c r="B44">
        <v>40002501</v>
      </c>
      <c r="C44" t="s">
        <v>91</v>
      </c>
      <c r="D44">
        <v>70176</v>
      </c>
    </row>
    <row r="45" spans="1:13" x14ac:dyDescent="0.25">
      <c r="A45" t="s">
        <v>105</v>
      </c>
      <c r="B45" t="s">
        <v>106</v>
      </c>
      <c r="C45" t="s">
        <v>107</v>
      </c>
      <c r="D45">
        <v>1532</v>
      </c>
      <c r="E45">
        <v>1596.3440000000001</v>
      </c>
      <c r="F45" t="s">
        <v>108</v>
      </c>
      <c r="G45" s="2">
        <v>46125.3723032407</v>
      </c>
      <c r="H45" t="s">
        <v>17</v>
      </c>
      <c r="I45" t="s">
        <v>18</v>
      </c>
      <c r="J45" t="str">
        <f>_xlfn.XLOOKUP([1]!Table1[[#This Row],[BARKOD KODU]],[2]!Table1[BOBİN BARKODU],[2]!Table1[SAYILAN MİKTAR (METRE)],"--")</f>
        <v>--</v>
      </c>
      <c r="K45">
        <v>893692</v>
      </c>
      <c r="M45" s="2">
        <v>46125.3723032407</v>
      </c>
    </row>
    <row r="46" spans="1:13" x14ac:dyDescent="0.25">
      <c r="A46" t="s">
        <v>109</v>
      </c>
      <c r="B46">
        <v>40002515</v>
      </c>
      <c r="C46" t="s">
        <v>110</v>
      </c>
      <c r="D46">
        <v>3100</v>
      </c>
    </row>
    <row r="47" spans="1:13" x14ac:dyDescent="0.25">
      <c r="A47" t="s">
        <v>111</v>
      </c>
      <c r="B47" t="s">
        <v>112</v>
      </c>
      <c r="C47" t="s">
        <v>113</v>
      </c>
      <c r="D47">
        <v>19050</v>
      </c>
      <c r="E47">
        <v>346.71000000000004</v>
      </c>
      <c r="F47" t="s">
        <v>70</v>
      </c>
      <c r="G47" s="2">
        <v>46132.072592592602</v>
      </c>
      <c r="H47" t="s">
        <v>17</v>
      </c>
      <c r="I47" t="s">
        <v>18</v>
      </c>
      <c r="L47" t="s">
        <v>47</v>
      </c>
      <c r="M47" s="2">
        <v>46132.072592592602</v>
      </c>
    </row>
    <row r="48" spans="1:13" x14ac:dyDescent="0.25">
      <c r="A48" t="s">
        <v>114</v>
      </c>
      <c r="B48" t="s">
        <v>112</v>
      </c>
      <c r="C48" t="s">
        <v>113</v>
      </c>
      <c r="D48">
        <v>10300</v>
      </c>
      <c r="E48">
        <v>187.46</v>
      </c>
      <c r="F48" t="s">
        <v>70</v>
      </c>
      <c r="G48" s="2">
        <v>46132.642789351798</v>
      </c>
      <c r="H48" t="s">
        <v>17</v>
      </c>
      <c r="I48" t="s">
        <v>18</v>
      </c>
      <c r="L48" t="s">
        <v>47</v>
      </c>
      <c r="M48" s="2">
        <v>46132.642789351798</v>
      </c>
    </row>
    <row r="49" spans="1:13" x14ac:dyDescent="0.25">
      <c r="A49" t="s">
        <v>115</v>
      </c>
      <c r="B49" t="s">
        <v>116</v>
      </c>
      <c r="C49" t="s">
        <v>117</v>
      </c>
      <c r="D49">
        <v>3432</v>
      </c>
      <c r="E49">
        <v>640.06799999999998</v>
      </c>
      <c r="F49" t="s">
        <v>16</v>
      </c>
      <c r="G49" s="2">
        <v>46136.628784722197</v>
      </c>
      <c r="H49" t="s">
        <v>17</v>
      </c>
      <c r="I49" t="s">
        <v>18</v>
      </c>
      <c r="K49">
        <v>184623</v>
      </c>
      <c r="L49" t="s">
        <v>19</v>
      </c>
      <c r="M49" s="2">
        <v>46136.628784722197</v>
      </c>
    </row>
    <row r="50" spans="1:13" x14ac:dyDescent="0.25">
      <c r="A50" t="s">
        <v>118</v>
      </c>
      <c r="B50" t="s">
        <v>119</v>
      </c>
      <c r="C50" t="s">
        <v>120</v>
      </c>
      <c r="D50">
        <v>3471.07</v>
      </c>
      <c r="E50">
        <v>167.999788</v>
      </c>
      <c r="F50" t="s">
        <v>121</v>
      </c>
      <c r="G50" s="2">
        <v>46134.565486111103</v>
      </c>
      <c r="H50" t="s">
        <v>17</v>
      </c>
      <c r="I50" t="s">
        <v>18</v>
      </c>
      <c r="L50" t="s">
        <v>19</v>
      </c>
      <c r="M50" s="2">
        <v>46134.565486111103</v>
      </c>
    </row>
    <row r="51" spans="1:13" x14ac:dyDescent="0.25">
      <c r="A51" t="s">
        <v>122</v>
      </c>
      <c r="B51" t="s">
        <v>123</v>
      </c>
      <c r="C51" t="s">
        <v>124</v>
      </c>
      <c r="D51">
        <v>5420</v>
      </c>
      <c r="E51">
        <v>200.54</v>
      </c>
      <c r="F51" t="s">
        <v>125</v>
      </c>
      <c r="G51" s="2">
        <v>46120.225092592598</v>
      </c>
      <c r="H51" t="s">
        <v>17</v>
      </c>
      <c r="I51" t="s">
        <v>18</v>
      </c>
      <c r="K51">
        <v>182590</v>
      </c>
      <c r="L51" t="s">
        <v>47</v>
      </c>
      <c r="M51" s="2">
        <v>46120.225092592598</v>
      </c>
    </row>
    <row r="52" spans="1:13" x14ac:dyDescent="0.25">
      <c r="A52" t="s">
        <v>126</v>
      </c>
      <c r="B52" t="s">
        <v>123</v>
      </c>
      <c r="C52" t="s">
        <v>124</v>
      </c>
      <c r="D52">
        <v>5420</v>
      </c>
      <c r="E52">
        <v>200.54</v>
      </c>
      <c r="F52" t="s">
        <v>127</v>
      </c>
      <c r="G52" s="2">
        <v>46121.150937500002</v>
      </c>
      <c r="H52" t="s">
        <v>17</v>
      </c>
      <c r="I52" t="s">
        <v>18</v>
      </c>
      <c r="L52" t="s">
        <v>47</v>
      </c>
      <c r="M52" s="2">
        <v>46121.150937500002</v>
      </c>
    </row>
    <row r="53" spans="1:13" x14ac:dyDescent="0.25">
      <c r="A53" t="s">
        <v>128</v>
      </c>
      <c r="B53" t="s">
        <v>123</v>
      </c>
      <c r="C53" t="s">
        <v>124</v>
      </c>
      <c r="D53">
        <v>5420</v>
      </c>
      <c r="E53">
        <v>200.54</v>
      </c>
      <c r="F53" t="s">
        <v>129</v>
      </c>
      <c r="G53" s="2">
        <v>46121.399525462999</v>
      </c>
      <c r="H53" t="s">
        <v>17</v>
      </c>
      <c r="I53" t="s">
        <v>18</v>
      </c>
      <c r="K53">
        <v>184133</v>
      </c>
      <c r="L53" t="s">
        <v>47</v>
      </c>
      <c r="M53" s="2">
        <v>46121.399525462999</v>
      </c>
    </row>
    <row r="54" spans="1:13" x14ac:dyDescent="0.25">
      <c r="A54" t="s">
        <v>130</v>
      </c>
      <c r="B54" t="s">
        <v>123</v>
      </c>
      <c r="C54" t="s">
        <v>124</v>
      </c>
      <c r="D54">
        <v>5420</v>
      </c>
      <c r="E54">
        <v>200.54</v>
      </c>
      <c r="F54" t="s">
        <v>129</v>
      </c>
      <c r="G54" s="2">
        <v>46126.5678819444</v>
      </c>
      <c r="H54" t="s">
        <v>17</v>
      </c>
      <c r="I54" t="s">
        <v>18</v>
      </c>
      <c r="K54">
        <v>184133</v>
      </c>
      <c r="L54" t="s">
        <v>47</v>
      </c>
      <c r="M54" s="2">
        <v>46126.5678819444</v>
      </c>
    </row>
    <row r="55" spans="1:13" x14ac:dyDescent="0.25">
      <c r="A55" t="s">
        <v>131</v>
      </c>
      <c r="B55" t="s">
        <v>123</v>
      </c>
      <c r="C55" t="s">
        <v>124</v>
      </c>
      <c r="D55">
        <v>5420</v>
      </c>
      <c r="E55">
        <v>200.54</v>
      </c>
      <c r="F55" t="s">
        <v>132</v>
      </c>
      <c r="G55" s="2">
        <v>46126.206273148098</v>
      </c>
      <c r="H55" t="s">
        <v>17</v>
      </c>
      <c r="I55" t="s">
        <v>18</v>
      </c>
      <c r="K55">
        <v>184438</v>
      </c>
      <c r="L55" t="s">
        <v>47</v>
      </c>
      <c r="M55" s="2">
        <v>46126.206273148098</v>
      </c>
    </row>
    <row r="56" spans="1:13" x14ac:dyDescent="0.25">
      <c r="A56" t="s">
        <v>133</v>
      </c>
      <c r="B56" t="s">
        <v>123</v>
      </c>
      <c r="C56" t="s">
        <v>124</v>
      </c>
      <c r="D56">
        <v>5420</v>
      </c>
      <c r="E56">
        <v>200.54</v>
      </c>
      <c r="F56" t="s">
        <v>134</v>
      </c>
      <c r="G56" s="2">
        <v>46133.366481481498</v>
      </c>
      <c r="H56" t="s">
        <v>17</v>
      </c>
      <c r="I56" t="s">
        <v>18</v>
      </c>
      <c r="K56">
        <v>184439</v>
      </c>
      <c r="L56" t="s">
        <v>47</v>
      </c>
      <c r="M56" s="2">
        <v>46133.366481481498</v>
      </c>
    </row>
    <row r="57" spans="1:13" x14ac:dyDescent="0.25">
      <c r="A57" t="s">
        <v>135</v>
      </c>
      <c r="B57" t="s">
        <v>123</v>
      </c>
      <c r="C57" t="s">
        <v>124</v>
      </c>
      <c r="D57">
        <v>5420</v>
      </c>
      <c r="E57">
        <v>200.54</v>
      </c>
      <c r="F57" t="s">
        <v>136</v>
      </c>
      <c r="G57" s="2">
        <v>46127.642384259299</v>
      </c>
      <c r="H57" t="s">
        <v>17</v>
      </c>
      <c r="I57" t="s">
        <v>18</v>
      </c>
      <c r="K57">
        <v>184593</v>
      </c>
      <c r="L57" t="s">
        <v>47</v>
      </c>
      <c r="M57" s="2">
        <v>46127.642384259299</v>
      </c>
    </row>
    <row r="58" spans="1:13" x14ac:dyDescent="0.25">
      <c r="A58" t="s">
        <v>137</v>
      </c>
      <c r="B58" t="s">
        <v>123</v>
      </c>
      <c r="C58" t="s">
        <v>124</v>
      </c>
      <c r="D58">
        <v>5420</v>
      </c>
      <c r="E58">
        <v>200.54</v>
      </c>
      <c r="F58" t="s">
        <v>138</v>
      </c>
      <c r="G58" s="2">
        <v>46121.664675925902</v>
      </c>
      <c r="H58" t="s">
        <v>17</v>
      </c>
      <c r="I58" t="s">
        <v>18</v>
      </c>
      <c r="K58">
        <v>184593</v>
      </c>
      <c r="L58" t="s">
        <v>47</v>
      </c>
      <c r="M58" s="2">
        <v>46121.664675925902</v>
      </c>
    </row>
    <row r="59" spans="1:13" x14ac:dyDescent="0.25">
      <c r="A59" t="s">
        <v>139</v>
      </c>
      <c r="B59" t="s">
        <v>123</v>
      </c>
      <c r="C59" t="s">
        <v>124</v>
      </c>
      <c r="D59">
        <v>5420</v>
      </c>
      <c r="E59">
        <v>200.54</v>
      </c>
      <c r="F59" t="s">
        <v>140</v>
      </c>
      <c r="G59" s="2">
        <v>46125.724722222199</v>
      </c>
      <c r="H59" t="s">
        <v>17</v>
      </c>
      <c r="I59" t="s">
        <v>18</v>
      </c>
      <c r="K59">
        <v>184592</v>
      </c>
      <c r="L59" t="s">
        <v>47</v>
      </c>
      <c r="M59" s="2">
        <v>46125.724722222199</v>
      </c>
    </row>
    <row r="60" spans="1:13" x14ac:dyDescent="0.25">
      <c r="A60" t="s">
        <v>141</v>
      </c>
      <c r="B60" t="s">
        <v>123</v>
      </c>
      <c r="C60" t="s">
        <v>124</v>
      </c>
      <c r="D60">
        <v>5420</v>
      </c>
      <c r="E60">
        <v>200.54</v>
      </c>
      <c r="F60" t="s">
        <v>140</v>
      </c>
      <c r="G60" s="2">
        <v>46127.397847222201</v>
      </c>
      <c r="H60" t="s">
        <v>17</v>
      </c>
      <c r="I60" t="s">
        <v>18</v>
      </c>
      <c r="K60">
        <v>184592</v>
      </c>
      <c r="L60" t="s">
        <v>47</v>
      </c>
      <c r="M60" s="2">
        <v>46127.397847222201</v>
      </c>
    </row>
    <row r="61" spans="1:13" x14ac:dyDescent="0.25">
      <c r="A61" t="s">
        <v>142</v>
      </c>
      <c r="B61" t="s">
        <v>123</v>
      </c>
      <c r="C61" t="s">
        <v>124</v>
      </c>
      <c r="D61">
        <v>5420</v>
      </c>
      <c r="E61">
        <v>200.54</v>
      </c>
      <c r="F61" t="s">
        <v>140</v>
      </c>
      <c r="G61" s="2">
        <v>46128.418090277803</v>
      </c>
      <c r="H61" t="s">
        <v>17</v>
      </c>
      <c r="I61" t="s">
        <v>18</v>
      </c>
      <c r="K61">
        <v>184592</v>
      </c>
      <c r="L61" t="s">
        <v>47</v>
      </c>
      <c r="M61" s="2">
        <v>46128.418090277803</v>
      </c>
    </row>
    <row r="62" spans="1:13" x14ac:dyDescent="0.25">
      <c r="A62" t="s">
        <v>143</v>
      </c>
      <c r="B62" t="s">
        <v>123</v>
      </c>
      <c r="C62" t="s">
        <v>124</v>
      </c>
      <c r="D62">
        <v>5420</v>
      </c>
      <c r="E62">
        <v>200.54</v>
      </c>
      <c r="F62" t="s">
        <v>138</v>
      </c>
      <c r="G62" s="2">
        <v>46132.4040046296</v>
      </c>
      <c r="H62" t="s">
        <v>17</v>
      </c>
      <c r="I62" t="s">
        <v>18</v>
      </c>
      <c r="K62">
        <v>184445</v>
      </c>
      <c r="L62" t="s">
        <v>47</v>
      </c>
      <c r="M62" s="2">
        <v>46132.4040046296</v>
      </c>
    </row>
    <row r="63" spans="1:13" x14ac:dyDescent="0.25">
      <c r="A63" t="s">
        <v>144</v>
      </c>
      <c r="B63" t="s">
        <v>123</v>
      </c>
      <c r="C63" t="s">
        <v>124</v>
      </c>
      <c r="D63">
        <v>5420</v>
      </c>
      <c r="E63">
        <v>200.54</v>
      </c>
      <c r="F63" t="s">
        <v>140</v>
      </c>
      <c r="G63" s="2">
        <v>46129.453402777799</v>
      </c>
      <c r="H63" t="s">
        <v>17</v>
      </c>
      <c r="I63" t="s">
        <v>18</v>
      </c>
      <c r="K63">
        <v>185202</v>
      </c>
      <c r="L63" t="s">
        <v>47</v>
      </c>
      <c r="M63" s="2">
        <v>46129.453402777799</v>
      </c>
    </row>
    <row r="64" spans="1:13" x14ac:dyDescent="0.25">
      <c r="A64" t="s">
        <v>145</v>
      </c>
      <c r="B64" t="s">
        <v>123</v>
      </c>
      <c r="C64" t="s">
        <v>124</v>
      </c>
      <c r="D64">
        <v>5420</v>
      </c>
      <c r="E64">
        <v>200.54</v>
      </c>
      <c r="F64" t="s">
        <v>146</v>
      </c>
      <c r="G64" s="2">
        <v>46127.550983796304</v>
      </c>
      <c r="H64" t="s">
        <v>17</v>
      </c>
      <c r="I64" t="s">
        <v>18</v>
      </c>
      <c r="K64">
        <v>184715</v>
      </c>
      <c r="L64" t="s">
        <v>47</v>
      </c>
      <c r="M64" s="2">
        <v>46127.550983796304</v>
      </c>
    </row>
    <row r="65" spans="1:13" x14ac:dyDescent="0.25">
      <c r="A65" t="s">
        <v>147</v>
      </c>
      <c r="B65" t="s">
        <v>123</v>
      </c>
      <c r="C65" t="s">
        <v>124</v>
      </c>
      <c r="D65">
        <v>5420</v>
      </c>
      <c r="E65">
        <v>200.54</v>
      </c>
      <c r="F65" t="s">
        <v>146</v>
      </c>
      <c r="G65" s="2">
        <v>46130.549328703702</v>
      </c>
      <c r="H65" t="s">
        <v>17</v>
      </c>
      <c r="I65" t="s">
        <v>18</v>
      </c>
      <c r="K65">
        <v>184715</v>
      </c>
      <c r="L65" t="s">
        <v>47</v>
      </c>
      <c r="M65" s="2">
        <v>46130.549328703702</v>
      </c>
    </row>
    <row r="66" spans="1:13" x14ac:dyDescent="0.25">
      <c r="A66" t="s">
        <v>148</v>
      </c>
      <c r="B66" t="s">
        <v>123</v>
      </c>
      <c r="C66" t="s">
        <v>124</v>
      </c>
      <c r="D66">
        <v>5420</v>
      </c>
      <c r="E66">
        <v>200.54</v>
      </c>
      <c r="F66" t="s">
        <v>146</v>
      </c>
      <c r="G66" s="2">
        <v>46133.148807870399</v>
      </c>
      <c r="H66" t="s">
        <v>17</v>
      </c>
      <c r="I66" t="s">
        <v>18</v>
      </c>
      <c r="K66">
        <v>184715</v>
      </c>
      <c r="L66" t="s">
        <v>47</v>
      </c>
      <c r="M66" s="2">
        <v>46133.148807870399</v>
      </c>
    </row>
    <row r="67" spans="1:13" x14ac:dyDescent="0.25">
      <c r="A67" t="s">
        <v>149</v>
      </c>
      <c r="B67" t="s">
        <v>123</v>
      </c>
      <c r="C67" t="s">
        <v>124</v>
      </c>
      <c r="D67">
        <v>5420</v>
      </c>
      <c r="E67">
        <v>200.54</v>
      </c>
      <c r="F67" t="s">
        <v>146</v>
      </c>
      <c r="G67" s="2">
        <v>46134.409756944398</v>
      </c>
      <c r="H67" t="s">
        <v>17</v>
      </c>
      <c r="I67" t="s">
        <v>18</v>
      </c>
      <c r="K67">
        <v>184715</v>
      </c>
      <c r="L67" t="s">
        <v>47</v>
      </c>
      <c r="M67" s="2">
        <v>46134.409756944398</v>
      </c>
    </row>
    <row r="68" spans="1:13" x14ac:dyDescent="0.25">
      <c r="A68" t="s">
        <v>150</v>
      </c>
      <c r="B68" t="s">
        <v>123</v>
      </c>
      <c r="C68" t="s">
        <v>124</v>
      </c>
      <c r="D68">
        <v>5420</v>
      </c>
      <c r="E68">
        <v>200.54</v>
      </c>
      <c r="F68" t="s">
        <v>146</v>
      </c>
      <c r="G68" s="2">
        <v>46137.272199074097</v>
      </c>
      <c r="H68" t="s">
        <v>17</v>
      </c>
      <c r="I68" t="s">
        <v>18</v>
      </c>
      <c r="K68">
        <v>184715</v>
      </c>
      <c r="L68" t="s">
        <v>47</v>
      </c>
      <c r="M68" s="2">
        <v>46137.272199074097</v>
      </c>
    </row>
    <row r="69" spans="1:13" x14ac:dyDescent="0.25">
      <c r="A69" t="s">
        <v>151</v>
      </c>
      <c r="B69" t="s">
        <v>123</v>
      </c>
      <c r="C69" t="s">
        <v>124</v>
      </c>
      <c r="D69">
        <v>5420</v>
      </c>
      <c r="E69">
        <v>200.54</v>
      </c>
      <c r="F69" t="s">
        <v>146</v>
      </c>
      <c r="G69" s="2">
        <v>46137.352222222202</v>
      </c>
      <c r="H69" t="s">
        <v>17</v>
      </c>
      <c r="I69" t="s">
        <v>18</v>
      </c>
      <c r="K69">
        <v>184715</v>
      </c>
      <c r="L69" t="s">
        <v>47</v>
      </c>
      <c r="M69" s="2">
        <v>46137.352222222202</v>
      </c>
    </row>
    <row r="70" spans="1:13" x14ac:dyDescent="0.25">
      <c r="A70" t="s">
        <v>152</v>
      </c>
      <c r="B70" t="s">
        <v>123</v>
      </c>
      <c r="C70" t="s">
        <v>124</v>
      </c>
      <c r="D70">
        <v>5420</v>
      </c>
      <c r="E70">
        <v>200.54</v>
      </c>
      <c r="F70" t="s">
        <v>129</v>
      </c>
      <c r="G70" s="2">
        <v>46132.445127314801</v>
      </c>
      <c r="H70" t="s">
        <v>17</v>
      </c>
      <c r="I70" t="s">
        <v>18</v>
      </c>
      <c r="K70">
        <v>184714</v>
      </c>
      <c r="L70" t="s">
        <v>47</v>
      </c>
      <c r="M70" s="2">
        <v>46132.445127314801</v>
      </c>
    </row>
    <row r="71" spans="1:13" x14ac:dyDescent="0.25">
      <c r="A71" t="s">
        <v>153</v>
      </c>
      <c r="B71" t="s">
        <v>123</v>
      </c>
      <c r="C71" t="s">
        <v>124</v>
      </c>
      <c r="D71">
        <v>5420</v>
      </c>
      <c r="E71">
        <v>200.54</v>
      </c>
      <c r="F71" t="s">
        <v>125</v>
      </c>
      <c r="G71" s="2">
        <v>46137.523865740703</v>
      </c>
      <c r="H71" t="s">
        <v>17</v>
      </c>
      <c r="I71" t="s">
        <v>18</v>
      </c>
      <c r="K71">
        <v>184723</v>
      </c>
      <c r="L71" t="s">
        <v>47</v>
      </c>
      <c r="M71" s="2">
        <v>46137.523865740703</v>
      </c>
    </row>
    <row r="72" spans="1:13" x14ac:dyDescent="0.25">
      <c r="A72" t="s">
        <v>154</v>
      </c>
      <c r="B72" t="s">
        <v>123</v>
      </c>
      <c r="C72" t="s">
        <v>124</v>
      </c>
      <c r="D72">
        <v>5420</v>
      </c>
      <c r="E72">
        <v>200.54</v>
      </c>
      <c r="F72" t="s">
        <v>155</v>
      </c>
      <c r="G72" s="2">
        <v>46134.938275462999</v>
      </c>
      <c r="H72" t="s">
        <v>17</v>
      </c>
      <c r="I72" t="s">
        <v>18</v>
      </c>
      <c r="K72">
        <v>184722</v>
      </c>
      <c r="L72" t="s">
        <v>47</v>
      </c>
      <c r="M72" s="2">
        <v>46134.938275462999</v>
      </c>
    </row>
    <row r="73" spans="1:13" x14ac:dyDescent="0.25">
      <c r="A73" t="s">
        <v>156</v>
      </c>
      <c r="B73" t="s">
        <v>123</v>
      </c>
      <c r="C73" t="s">
        <v>124</v>
      </c>
      <c r="D73">
        <v>5420</v>
      </c>
      <c r="E73">
        <v>200.54</v>
      </c>
      <c r="F73" t="s">
        <v>157</v>
      </c>
      <c r="G73" s="2">
        <v>46137.965972222199</v>
      </c>
      <c r="H73" t="s">
        <v>17</v>
      </c>
      <c r="I73" t="s">
        <v>18</v>
      </c>
      <c r="K73">
        <v>184722</v>
      </c>
      <c r="L73" t="s">
        <v>47</v>
      </c>
      <c r="M73" s="2">
        <v>46137.965972222199</v>
      </c>
    </row>
    <row r="74" spans="1:13" x14ac:dyDescent="0.25">
      <c r="A74" t="s">
        <v>158</v>
      </c>
      <c r="B74" t="s">
        <v>123</v>
      </c>
      <c r="C74" t="s">
        <v>124</v>
      </c>
      <c r="D74">
        <v>5385</v>
      </c>
      <c r="E74">
        <v>199.24499999999998</v>
      </c>
      <c r="F74" t="s">
        <v>159</v>
      </c>
      <c r="G74" s="2">
        <v>46133.713969907403</v>
      </c>
      <c r="H74" t="s">
        <v>17</v>
      </c>
      <c r="I74" t="s">
        <v>18</v>
      </c>
      <c r="K74">
        <v>185271</v>
      </c>
      <c r="L74" t="s">
        <v>47</v>
      </c>
      <c r="M74" s="2">
        <v>46133.713969907403</v>
      </c>
    </row>
    <row r="75" spans="1:13" x14ac:dyDescent="0.25">
      <c r="A75" t="s">
        <v>160</v>
      </c>
      <c r="B75" t="s">
        <v>123</v>
      </c>
      <c r="C75" t="s">
        <v>124</v>
      </c>
      <c r="D75">
        <v>5385</v>
      </c>
      <c r="E75">
        <v>199.24499999999998</v>
      </c>
      <c r="F75" t="s">
        <v>159</v>
      </c>
      <c r="G75" s="2">
        <v>46134.606493055602</v>
      </c>
      <c r="H75" t="s">
        <v>17</v>
      </c>
      <c r="I75" t="s">
        <v>18</v>
      </c>
      <c r="K75">
        <v>185271</v>
      </c>
      <c r="L75" t="s">
        <v>47</v>
      </c>
      <c r="M75" s="2">
        <v>46134.606493055602</v>
      </c>
    </row>
    <row r="76" spans="1:13" x14ac:dyDescent="0.25">
      <c r="A76" t="s">
        <v>161</v>
      </c>
      <c r="B76" t="s">
        <v>123</v>
      </c>
      <c r="C76" t="s">
        <v>124</v>
      </c>
      <c r="D76">
        <v>5385</v>
      </c>
      <c r="E76">
        <v>199.24499999999998</v>
      </c>
      <c r="F76" t="s">
        <v>159</v>
      </c>
      <c r="G76" s="2">
        <v>46134.7180324074</v>
      </c>
      <c r="H76" t="s">
        <v>17</v>
      </c>
      <c r="I76" t="s">
        <v>18</v>
      </c>
      <c r="K76">
        <v>185271</v>
      </c>
      <c r="L76" t="s">
        <v>47</v>
      </c>
      <c r="M76" s="2">
        <v>46134.7180324074</v>
      </c>
    </row>
    <row r="77" spans="1:13" x14ac:dyDescent="0.25">
      <c r="A77" t="s">
        <v>162</v>
      </c>
      <c r="B77" t="s">
        <v>123</v>
      </c>
      <c r="C77" t="s">
        <v>124</v>
      </c>
      <c r="D77">
        <v>5385</v>
      </c>
      <c r="E77">
        <v>199.24499999999998</v>
      </c>
      <c r="F77" t="s">
        <v>159</v>
      </c>
      <c r="G77" s="2">
        <v>46137.771747685198</v>
      </c>
      <c r="H77" t="s">
        <v>17</v>
      </c>
      <c r="I77" t="s">
        <v>18</v>
      </c>
      <c r="K77">
        <v>185271</v>
      </c>
      <c r="L77" t="s">
        <v>47</v>
      </c>
      <c r="M77" s="2">
        <v>46137.771747685198</v>
      </c>
    </row>
    <row r="78" spans="1:13" x14ac:dyDescent="0.25">
      <c r="A78" t="s">
        <v>163</v>
      </c>
      <c r="B78" t="s">
        <v>123</v>
      </c>
      <c r="C78" t="s">
        <v>124</v>
      </c>
      <c r="D78">
        <v>5385</v>
      </c>
      <c r="E78">
        <v>199.24499999999998</v>
      </c>
      <c r="F78" t="s">
        <v>159</v>
      </c>
      <c r="G78" s="2">
        <v>46139.1173263889</v>
      </c>
      <c r="H78" t="s">
        <v>17</v>
      </c>
      <c r="I78" t="s">
        <v>18</v>
      </c>
      <c r="K78">
        <v>185271</v>
      </c>
      <c r="L78" t="s">
        <v>47</v>
      </c>
      <c r="M78" s="2">
        <v>46139.1173263889</v>
      </c>
    </row>
    <row r="79" spans="1:13" x14ac:dyDescent="0.25">
      <c r="A79" t="s">
        <v>164</v>
      </c>
      <c r="B79" t="s">
        <v>123</v>
      </c>
      <c r="C79" t="s">
        <v>124</v>
      </c>
      <c r="D79">
        <v>5385</v>
      </c>
      <c r="E79">
        <v>199.24499999999998</v>
      </c>
      <c r="F79" t="s">
        <v>165</v>
      </c>
      <c r="G79" s="2">
        <v>46137.303414351903</v>
      </c>
      <c r="H79" t="s">
        <v>17</v>
      </c>
      <c r="I79" t="s">
        <v>18</v>
      </c>
      <c r="K79">
        <v>185477</v>
      </c>
      <c r="L79" t="s">
        <v>47</v>
      </c>
      <c r="M79" s="2">
        <v>46137.303414351903</v>
      </c>
    </row>
    <row r="80" spans="1:13" x14ac:dyDescent="0.25">
      <c r="A80" t="s">
        <v>166</v>
      </c>
      <c r="B80" t="s">
        <v>123</v>
      </c>
      <c r="C80" t="s">
        <v>124</v>
      </c>
      <c r="D80">
        <v>5385</v>
      </c>
      <c r="E80">
        <v>199.24499999999998</v>
      </c>
      <c r="F80" t="s">
        <v>165</v>
      </c>
      <c r="G80" s="2">
        <v>46137.658923611103</v>
      </c>
      <c r="H80" t="s">
        <v>17</v>
      </c>
      <c r="I80" t="s">
        <v>18</v>
      </c>
      <c r="K80">
        <v>185477</v>
      </c>
      <c r="L80" t="s">
        <v>47</v>
      </c>
      <c r="M80" s="2">
        <v>46137.658923611103</v>
      </c>
    </row>
    <row r="81" spans="1:13" x14ac:dyDescent="0.25">
      <c r="A81" t="s">
        <v>167</v>
      </c>
      <c r="B81" t="s">
        <v>123</v>
      </c>
      <c r="C81" t="s">
        <v>124</v>
      </c>
      <c r="D81">
        <v>1800</v>
      </c>
      <c r="E81">
        <v>66.599999999999994</v>
      </c>
      <c r="F81" t="s">
        <v>127</v>
      </c>
      <c r="G81" s="2">
        <v>46121.6859259259</v>
      </c>
      <c r="H81" t="s">
        <v>17</v>
      </c>
      <c r="I81" t="s">
        <v>18</v>
      </c>
      <c r="L81" t="s">
        <v>168</v>
      </c>
      <c r="M81" s="2">
        <v>46121.6859259259</v>
      </c>
    </row>
    <row r="82" spans="1:13" x14ac:dyDescent="0.25">
      <c r="A82" t="s">
        <v>89</v>
      </c>
      <c r="B82" t="s">
        <v>169</v>
      </c>
      <c r="C82" t="s">
        <v>170</v>
      </c>
      <c r="D82">
        <v>59563</v>
      </c>
      <c r="E82">
        <v>1358.0364</v>
      </c>
      <c r="F82" t="s">
        <v>70</v>
      </c>
      <c r="G82" s="2">
        <v>46123.652025463001</v>
      </c>
      <c r="H82" t="s">
        <v>17</v>
      </c>
      <c r="I82" t="s">
        <v>18</v>
      </c>
      <c r="L82" t="s">
        <v>47</v>
      </c>
      <c r="M82" s="2">
        <v>46123.652025463001</v>
      </c>
    </row>
    <row r="83" spans="1:13" x14ac:dyDescent="0.25">
      <c r="A83" t="s">
        <v>171</v>
      </c>
      <c r="B83" t="s">
        <v>169</v>
      </c>
      <c r="C83" t="s">
        <v>170</v>
      </c>
      <c r="D83">
        <v>28280</v>
      </c>
      <c r="E83">
        <v>644.78399999999999</v>
      </c>
      <c r="F83" t="s">
        <v>70</v>
      </c>
      <c r="G83" s="2">
        <v>46132.270023148201</v>
      </c>
      <c r="H83" t="s">
        <v>17</v>
      </c>
      <c r="I83" t="s">
        <v>18</v>
      </c>
      <c r="L83" t="s">
        <v>172</v>
      </c>
      <c r="M83" s="2">
        <v>46132.270023148201</v>
      </c>
    </row>
    <row r="84" spans="1:13" x14ac:dyDescent="0.25">
      <c r="A84" t="s">
        <v>173</v>
      </c>
      <c r="B84" t="s">
        <v>174</v>
      </c>
      <c r="C84" t="s">
        <v>175</v>
      </c>
      <c r="D84">
        <v>10931</v>
      </c>
      <c r="E84">
        <v>249.2268</v>
      </c>
      <c r="F84" t="s">
        <v>70</v>
      </c>
      <c r="G84" s="2">
        <v>46133.368518518502</v>
      </c>
      <c r="H84" t="s">
        <v>17</v>
      </c>
      <c r="I84" t="s">
        <v>18</v>
      </c>
      <c r="L84" t="s">
        <v>47</v>
      </c>
      <c r="M84" s="2">
        <v>46133.368518518502</v>
      </c>
    </row>
    <row r="85" spans="1:13" x14ac:dyDescent="0.25">
      <c r="A85" t="s">
        <v>176</v>
      </c>
      <c r="B85" t="s">
        <v>177</v>
      </c>
      <c r="C85" t="s">
        <v>178</v>
      </c>
      <c r="D85">
        <v>3719</v>
      </c>
      <c r="E85">
        <v>1324.3359</v>
      </c>
      <c r="F85" t="s">
        <v>70</v>
      </c>
      <c r="G85" s="2">
        <v>46133.656527777799</v>
      </c>
      <c r="H85" t="s">
        <v>17</v>
      </c>
      <c r="I85" t="s">
        <v>18</v>
      </c>
      <c r="L85" t="s">
        <v>47</v>
      </c>
      <c r="M85" s="2">
        <v>46133.656527777799</v>
      </c>
    </row>
    <row r="86" spans="1:13" x14ac:dyDescent="0.25">
      <c r="A86" t="s">
        <v>179</v>
      </c>
      <c r="B86" t="s">
        <v>180</v>
      </c>
      <c r="C86" t="s">
        <v>181</v>
      </c>
      <c r="D86">
        <v>11325</v>
      </c>
      <c r="E86">
        <v>403.17</v>
      </c>
      <c r="F86" t="s">
        <v>70</v>
      </c>
      <c r="G86" s="2">
        <v>46127.894652777803</v>
      </c>
      <c r="H86" t="s">
        <v>17</v>
      </c>
      <c r="I86" t="s">
        <v>18</v>
      </c>
      <c r="L86" t="s">
        <v>47</v>
      </c>
      <c r="M86" s="2">
        <v>46127.894652777803</v>
      </c>
    </row>
    <row r="87" spans="1:13" x14ac:dyDescent="0.25">
      <c r="A87" t="s">
        <v>182</v>
      </c>
      <c r="B87" t="s">
        <v>180</v>
      </c>
      <c r="C87" t="s">
        <v>181</v>
      </c>
      <c r="D87">
        <v>26106</v>
      </c>
      <c r="E87">
        <v>929.37360000000001</v>
      </c>
      <c r="F87" t="s">
        <v>70</v>
      </c>
      <c r="G87" s="2">
        <v>46133.339444444398</v>
      </c>
      <c r="H87" t="s">
        <v>17</v>
      </c>
      <c r="I87" t="s">
        <v>18</v>
      </c>
      <c r="L87" t="s">
        <v>172</v>
      </c>
      <c r="M87" s="2">
        <v>46133.339444444398</v>
      </c>
    </row>
    <row r="88" spans="1:13" x14ac:dyDescent="0.25">
      <c r="A88" t="s">
        <v>183</v>
      </c>
      <c r="B88" t="s">
        <v>184</v>
      </c>
      <c r="C88" t="s">
        <v>185</v>
      </c>
      <c r="D88" s="7">
        <v>10069</v>
      </c>
      <c r="E88" s="7">
        <v>104.71759999999999</v>
      </c>
      <c r="F88" t="s">
        <v>186</v>
      </c>
      <c r="G88" s="2">
        <v>46121.111631944397</v>
      </c>
      <c r="H88" t="s">
        <v>17</v>
      </c>
      <c r="I88" t="s">
        <v>18</v>
      </c>
      <c r="K88">
        <v>184567</v>
      </c>
      <c r="L88" t="s">
        <v>47</v>
      </c>
      <c r="M88" s="2">
        <v>46121.111631944397</v>
      </c>
    </row>
    <row r="89" spans="1:13" x14ac:dyDescent="0.25">
      <c r="A89" t="s">
        <v>187</v>
      </c>
      <c r="B89" t="s">
        <v>184</v>
      </c>
      <c r="C89" t="s">
        <v>185</v>
      </c>
      <c r="D89" s="7">
        <v>3693</v>
      </c>
      <c r="E89" s="7">
        <v>38.407199999999996</v>
      </c>
      <c r="F89" t="s">
        <v>186</v>
      </c>
      <c r="G89" s="2">
        <v>46121.456458333298</v>
      </c>
      <c r="H89" t="s">
        <v>17</v>
      </c>
      <c r="I89" t="s">
        <v>18</v>
      </c>
      <c r="K89">
        <v>184567</v>
      </c>
      <c r="L89" t="s">
        <v>47</v>
      </c>
      <c r="M89" s="2">
        <v>46121.456458333298</v>
      </c>
    </row>
    <row r="90" spans="1:13" x14ac:dyDescent="0.25">
      <c r="A90" t="s">
        <v>188</v>
      </c>
      <c r="B90" t="s">
        <v>184</v>
      </c>
      <c r="C90" t="s">
        <v>185</v>
      </c>
      <c r="D90" s="7">
        <v>10069</v>
      </c>
      <c r="E90" s="7">
        <v>104.71759999999999</v>
      </c>
      <c r="F90" t="s">
        <v>186</v>
      </c>
      <c r="G90" s="2">
        <v>46121.627962963001</v>
      </c>
      <c r="H90" t="s">
        <v>17</v>
      </c>
      <c r="I90" t="s">
        <v>18</v>
      </c>
      <c r="K90">
        <v>184567</v>
      </c>
      <c r="L90" t="s">
        <v>47</v>
      </c>
      <c r="M90" s="2">
        <v>46121.627962963001</v>
      </c>
    </row>
    <row r="91" spans="1:13" x14ac:dyDescent="0.25">
      <c r="A91" t="s">
        <v>189</v>
      </c>
      <c r="B91" t="s">
        <v>184</v>
      </c>
      <c r="C91" t="s">
        <v>185</v>
      </c>
      <c r="D91" s="7">
        <v>10069</v>
      </c>
      <c r="E91" s="7">
        <v>104.71759999999999</v>
      </c>
      <c r="F91" t="s">
        <v>186</v>
      </c>
      <c r="G91" s="2">
        <v>46121.628449074102</v>
      </c>
      <c r="H91" t="s">
        <v>17</v>
      </c>
      <c r="I91" t="s">
        <v>18</v>
      </c>
      <c r="K91">
        <v>184567</v>
      </c>
      <c r="L91" t="s">
        <v>47</v>
      </c>
      <c r="M91" s="2">
        <v>46121.628449074102</v>
      </c>
    </row>
    <row r="92" spans="1:13" x14ac:dyDescent="0.25">
      <c r="A92" t="s">
        <v>190</v>
      </c>
      <c r="B92" t="s">
        <v>191</v>
      </c>
      <c r="C92" t="s">
        <v>192</v>
      </c>
      <c r="D92" s="7">
        <v>9803</v>
      </c>
      <c r="E92" s="7">
        <v>424.4699</v>
      </c>
      <c r="F92" t="s">
        <v>193</v>
      </c>
      <c r="G92" s="2">
        <v>46120.964212963001</v>
      </c>
      <c r="H92" t="s">
        <v>17</v>
      </c>
      <c r="I92" t="s">
        <v>18</v>
      </c>
      <c r="K92">
        <v>183501</v>
      </c>
      <c r="L92" t="s">
        <v>47</v>
      </c>
      <c r="M92" s="2">
        <v>46120.964212963001</v>
      </c>
    </row>
    <row r="93" spans="1:13" x14ac:dyDescent="0.25">
      <c r="A93" t="s">
        <v>194</v>
      </c>
      <c r="B93" t="s">
        <v>195</v>
      </c>
      <c r="C93" t="s">
        <v>196</v>
      </c>
      <c r="D93" s="7">
        <v>2348</v>
      </c>
      <c r="E93" s="7">
        <v>121.86120000000001</v>
      </c>
      <c r="F93" t="s">
        <v>193</v>
      </c>
      <c r="G93" s="2">
        <v>46134.272395833301</v>
      </c>
      <c r="H93" t="s">
        <v>17</v>
      </c>
      <c r="I93" t="s">
        <v>18</v>
      </c>
      <c r="K93">
        <v>184974</v>
      </c>
      <c r="L93" t="s">
        <v>47</v>
      </c>
      <c r="M93" s="2">
        <v>46134.272395833301</v>
      </c>
    </row>
    <row r="94" spans="1:13" x14ac:dyDescent="0.25">
      <c r="A94" t="s">
        <v>197</v>
      </c>
      <c r="B94" t="s">
        <v>195</v>
      </c>
      <c r="C94" t="s">
        <v>196</v>
      </c>
      <c r="D94" s="7">
        <v>2348</v>
      </c>
      <c r="E94" s="7">
        <v>121.86120000000001</v>
      </c>
      <c r="F94" t="s">
        <v>193</v>
      </c>
      <c r="G94" s="2">
        <v>46134.790960648097</v>
      </c>
      <c r="H94" t="s">
        <v>17</v>
      </c>
      <c r="I94" t="s">
        <v>18</v>
      </c>
      <c r="K94">
        <v>184974</v>
      </c>
      <c r="L94" t="s">
        <v>47</v>
      </c>
      <c r="M94" s="2">
        <v>46134.790960648097</v>
      </c>
    </row>
    <row r="95" spans="1:13" x14ac:dyDescent="0.25">
      <c r="A95" t="s">
        <v>198</v>
      </c>
      <c r="B95" t="s">
        <v>199</v>
      </c>
      <c r="C95" t="s">
        <v>84</v>
      </c>
      <c r="D95">
        <v>16003.178579088501</v>
      </c>
      <c r="E95">
        <v>2984.5928050000052</v>
      </c>
      <c r="F95" t="s">
        <v>70</v>
      </c>
      <c r="G95" s="2">
        <v>46113.378148148098</v>
      </c>
      <c r="H95" t="s">
        <v>17</v>
      </c>
      <c r="I95" t="s">
        <v>18</v>
      </c>
      <c r="M95" s="2">
        <v>46113.378148148098</v>
      </c>
    </row>
    <row r="96" spans="1:13" x14ac:dyDescent="0.25">
      <c r="A96" t="s">
        <v>200</v>
      </c>
      <c r="B96" t="s">
        <v>201</v>
      </c>
      <c r="C96" t="s">
        <v>202</v>
      </c>
      <c r="D96">
        <v>21582.624235924901</v>
      </c>
      <c r="E96">
        <v>4025.159419999994</v>
      </c>
      <c r="F96" t="s">
        <v>203</v>
      </c>
      <c r="G96" s="2">
        <v>46113.378148148098</v>
      </c>
      <c r="H96" t="s">
        <v>17</v>
      </c>
      <c r="I96" t="s">
        <v>18</v>
      </c>
      <c r="K96">
        <v>185354</v>
      </c>
      <c r="M96" s="2">
        <v>46113.378148148098</v>
      </c>
    </row>
    <row r="97" spans="1:13" x14ac:dyDescent="0.25">
      <c r="A97" t="s">
        <v>204</v>
      </c>
      <c r="B97" t="s">
        <v>205</v>
      </c>
      <c r="C97" t="s">
        <v>206</v>
      </c>
      <c r="D97">
        <v>17434.151554959801</v>
      </c>
      <c r="E97">
        <v>3251.4692650000029</v>
      </c>
      <c r="F97" t="s">
        <v>207</v>
      </c>
      <c r="G97" s="2">
        <v>46113.378148148098</v>
      </c>
      <c r="H97" t="s">
        <v>17</v>
      </c>
      <c r="I97" t="s">
        <v>18</v>
      </c>
      <c r="K97">
        <v>183535</v>
      </c>
      <c r="M97" s="2">
        <v>46113.378148148098</v>
      </c>
    </row>
    <row r="98" spans="1:13" x14ac:dyDescent="0.25">
      <c r="A98" t="s">
        <v>208</v>
      </c>
      <c r="B98" t="s">
        <v>209</v>
      </c>
      <c r="C98" t="s">
        <v>210</v>
      </c>
      <c r="D98">
        <v>3193.9927913496199</v>
      </c>
      <c r="E98">
        <v>1595.0800000000002</v>
      </c>
      <c r="F98" t="s">
        <v>108</v>
      </c>
      <c r="G98" s="2">
        <v>46113.378171296303</v>
      </c>
      <c r="H98" t="s">
        <v>17</v>
      </c>
      <c r="I98" t="s">
        <v>18</v>
      </c>
      <c r="M98" s="2">
        <v>46113.378171296303</v>
      </c>
    </row>
    <row r="99" spans="1:13" x14ac:dyDescent="0.25">
      <c r="A99" t="s">
        <v>211</v>
      </c>
      <c r="B99" t="s">
        <v>106</v>
      </c>
      <c r="C99" t="s">
        <v>107</v>
      </c>
      <c r="D99">
        <v>1526</v>
      </c>
      <c r="E99">
        <v>1590.0920000000001</v>
      </c>
      <c r="F99" t="s">
        <v>108</v>
      </c>
      <c r="G99" s="2">
        <v>46127.114594907398</v>
      </c>
      <c r="H99" t="s">
        <v>17</v>
      </c>
      <c r="I99" t="s">
        <v>18</v>
      </c>
      <c r="K99">
        <v>893692</v>
      </c>
      <c r="M99" s="2">
        <v>46127.114594907398</v>
      </c>
    </row>
    <row r="100" spans="1:13" x14ac:dyDescent="0.25">
      <c r="A100" t="s">
        <v>212</v>
      </c>
      <c r="B100" t="s">
        <v>106</v>
      </c>
      <c r="C100" t="s">
        <v>107</v>
      </c>
      <c r="D100">
        <v>1525</v>
      </c>
      <c r="E100">
        <v>1589.05</v>
      </c>
      <c r="F100" t="s">
        <v>108</v>
      </c>
      <c r="G100" s="2">
        <v>46127.674178240697</v>
      </c>
      <c r="H100" t="s">
        <v>17</v>
      </c>
      <c r="I100" t="s">
        <v>18</v>
      </c>
      <c r="K100">
        <v>893692</v>
      </c>
      <c r="M100" s="2">
        <v>46127.674178240697</v>
      </c>
    </row>
    <row r="101" spans="1:13" x14ac:dyDescent="0.25">
      <c r="A101" t="s">
        <v>213</v>
      </c>
      <c r="B101" t="s">
        <v>106</v>
      </c>
      <c r="C101" t="s">
        <v>107</v>
      </c>
      <c r="D101">
        <v>1524</v>
      </c>
      <c r="E101">
        <v>1588.008</v>
      </c>
      <c r="F101" t="s">
        <v>108</v>
      </c>
      <c r="G101" s="2">
        <v>46132.740127314799</v>
      </c>
      <c r="H101" t="s">
        <v>17</v>
      </c>
      <c r="I101" t="s">
        <v>18</v>
      </c>
      <c r="K101">
        <v>893692</v>
      </c>
      <c r="M101" s="2">
        <v>46132.740127314799</v>
      </c>
    </row>
    <row r="102" spans="1:13" x14ac:dyDescent="0.25">
      <c r="A102" t="s">
        <v>214</v>
      </c>
      <c r="B102" t="s">
        <v>106</v>
      </c>
      <c r="C102" t="s">
        <v>107</v>
      </c>
      <c r="D102">
        <v>1518</v>
      </c>
      <c r="E102">
        <v>1581.7560000000001</v>
      </c>
      <c r="F102" t="s">
        <v>108</v>
      </c>
      <c r="G102" s="2">
        <v>46132.739849537</v>
      </c>
      <c r="H102" t="s">
        <v>17</v>
      </c>
      <c r="I102" t="s">
        <v>18</v>
      </c>
      <c r="K102">
        <v>893692</v>
      </c>
      <c r="M102" s="2">
        <v>46132.739849537</v>
      </c>
    </row>
    <row r="103" spans="1:13" x14ac:dyDescent="0.25">
      <c r="A103" t="s">
        <v>215</v>
      </c>
      <c r="B103" t="s">
        <v>106</v>
      </c>
      <c r="C103" t="s">
        <v>107</v>
      </c>
      <c r="D103">
        <v>179.91</v>
      </c>
      <c r="E103">
        <v>187.46621999999999</v>
      </c>
      <c r="F103" t="s">
        <v>216</v>
      </c>
      <c r="G103" s="2">
        <v>46137.244490740697</v>
      </c>
      <c r="H103" t="s">
        <v>17</v>
      </c>
      <c r="I103" t="s">
        <v>18</v>
      </c>
      <c r="K103">
        <v>184665</v>
      </c>
      <c r="M103" s="2">
        <v>46137.244490740697</v>
      </c>
    </row>
    <row r="104" spans="1:13" x14ac:dyDescent="0.25">
      <c r="A104" t="s">
        <v>217</v>
      </c>
      <c r="B104" t="s">
        <v>106</v>
      </c>
      <c r="C104" t="s">
        <v>107</v>
      </c>
      <c r="D104">
        <v>928.19</v>
      </c>
      <c r="E104">
        <v>967.17398000000014</v>
      </c>
      <c r="F104" t="s">
        <v>216</v>
      </c>
      <c r="G104" s="2">
        <v>46139.285613425898</v>
      </c>
      <c r="H104" t="s">
        <v>17</v>
      </c>
      <c r="I104" t="s">
        <v>18</v>
      </c>
      <c r="K104">
        <v>184664</v>
      </c>
      <c r="M104" s="2">
        <v>46139.285613425898</v>
      </c>
    </row>
    <row r="105" spans="1:13" x14ac:dyDescent="0.25">
      <c r="A105" t="s">
        <v>218</v>
      </c>
      <c r="B105" t="s">
        <v>106</v>
      </c>
      <c r="C105" t="s">
        <v>107</v>
      </c>
      <c r="D105">
        <v>384</v>
      </c>
      <c r="E105">
        <v>400.12800000000004</v>
      </c>
      <c r="G105" s="2">
        <v>46139.476539351897</v>
      </c>
      <c r="H105" t="s">
        <v>17</v>
      </c>
      <c r="I105" t="s">
        <v>18</v>
      </c>
      <c r="L105" t="s">
        <v>47</v>
      </c>
      <c r="M105" s="2">
        <v>46139.476539351897</v>
      </c>
    </row>
    <row r="106" spans="1:13" x14ac:dyDescent="0.25">
      <c r="A106" t="s">
        <v>219</v>
      </c>
      <c r="B106" t="s">
        <v>106</v>
      </c>
      <c r="C106" t="s">
        <v>107</v>
      </c>
      <c r="D106">
        <v>409</v>
      </c>
      <c r="E106">
        <v>426.178</v>
      </c>
      <c r="G106" s="2">
        <v>46139.476539351897</v>
      </c>
      <c r="H106" t="s">
        <v>17</v>
      </c>
      <c r="I106" t="s">
        <v>18</v>
      </c>
      <c r="L106" t="s">
        <v>47</v>
      </c>
      <c r="M106" s="2">
        <v>46139.476539351897</v>
      </c>
    </row>
    <row r="107" spans="1:13" x14ac:dyDescent="0.25">
      <c r="A107" t="s">
        <v>220</v>
      </c>
      <c r="B107" t="s">
        <v>106</v>
      </c>
      <c r="C107" t="s">
        <v>107</v>
      </c>
      <c r="D107">
        <v>211</v>
      </c>
      <c r="E107">
        <v>219.86199999999999</v>
      </c>
      <c r="G107" s="2">
        <v>46139.476539351897</v>
      </c>
      <c r="H107" t="s">
        <v>17</v>
      </c>
      <c r="I107" t="s">
        <v>18</v>
      </c>
      <c r="L107" t="s">
        <v>47</v>
      </c>
      <c r="M107" s="2">
        <v>46139.476539351897</v>
      </c>
    </row>
    <row r="108" spans="1:13" x14ac:dyDescent="0.25">
      <c r="A108" t="s">
        <v>221</v>
      </c>
      <c r="B108" t="s">
        <v>106</v>
      </c>
      <c r="C108" t="s">
        <v>107</v>
      </c>
      <c r="D108">
        <v>384</v>
      </c>
      <c r="E108">
        <v>400.12800000000004</v>
      </c>
      <c r="G108" s="2">
        <v>46139.476539351897</v>
      </c>
      <c r="H108" t="s">
        <v>17</v>
      </c>
      <c r="I108" t="s">
        <v>18</v>
      </c>
      <c r="L108" t="s">
        <v>47</v>
      </c>
      <c r="M108" s="2">
        <v>46139.476539351897</v>
      </c>
    </row>
    <row r="109" spans="1:13" x14ac:dyDescent="0.25">
      <c r="A109" t="s">
        <v>222</v>
      </c>
      <c r="B109" t="s">
        <v>106</v>
      </c>
      <c r="C109" t="s">
        <v>107</v>
      </c>
      <c r="D109">
        <v>1026</v>
      </c>
      <c r="E109">
        <v>1069.0920000000001</v>
      </c>
      <c r="G109" s="2">
        <v>46139.476539351897</v>
      </c>
      <c r="H109" t="s">
        <v>17</v>
      </c>
      <c r="I109" t="s">
        <v>18</v>
      </c>
      <c r="L109" t="s">
        <v>47</v>
      </c>
      <c r="M109" s="2">
        <v>46139.476539351897</v>
      </c>
    </row>
    <row r="110" spans="1:13" x14ac:dyDescent="0.25">
      <c r="A110" t="s">
        <v>223</v>
      </c>
      <c r="B110" t="s">
        <v>106</v>
      </c>
      <c r="C110" t="s">
        <v>107</v>
      </c>
      <c r="D110">
        <v>1066</v>
      </c>
      <c r="E110">
        <v>1110.7719999999999</v>
      </c>
      <c r="G110" s="2">
        <v>46139.476539351897</v>
      </c>
      <c r="H110" t="s">
        <v>17</v>
      </c>
      <c r="I110" t="s">
        <v>18</v>
      </c>
      <c r="L110" t="s">
        <v>47</v>
      </c>
      <c r="M110" s="2">
        <v>46139.476539351897</v>
      </c>
    </row>
    <row r="111" spans="1:13" x14ac:dyDescent="0.25">
      <c r="A111" t="s">
        <v>224</v>
      </c>
      <c r="B111" t="s">
        <v>106</v>
      </c>
      <c r="C111" t="s">
        <v>107</v>
      </c>
      <c r="D111">
        <v>259.58999999999997</v>
      </c>
      <c r="E111">
        <v>270.49277999999998</v>
      </c>
      <c r="F111" t="s">
        <v>216</v>
      </c>
      <c r="G111" s="2">
        <v>46139.726550925901</v>
      </c>
      <c r="H111" t="s">
        <v>17</v>
      </c>
      <c r="I111" t="s">
        <v>18</v>
      </c>
      <c r="K111">
        <v>184664</v>
      </c>
      <c r="M111" s="2">
        <v>46139.726550925901</v>
      </c>
    </row>
    <row r="112" spans="1:13" x14ac:dyDescent="0.25">
      <c r="A112" t="s">
        <v>225</v>
      </c>
      <c r="B112" t="s">
        <v>106</v>
      </c>
      <c r="C112" t="s">
        <v>107</v>
      </c>
      <c r="D112">
        <v>804.3</v>
      </c>
      <c r="E112">
        <v>838.0806</v>
      </c>
      <c r="F112" t="s">
        <v>226</v>
      </c>
      <c r="G112" s="2">
        <v>46118.617210648103</v>
      </c>
      <c r="H112" t="s">
        <v>17</v>
      </c>
      <c r="I112" t="s">
        <v>18</v>
      </c>
      <c r="K112">
        <v>183768</v>
      </c>
      <c r="M112" s="2">
        <v>46118.617210648103</v>
      </c>
    </row>
    <row r="113" spans="1:13" x14ac:dyDescent="0.25">
      <c r="A113" t="s">
        <v>227</v>
      </c>
      <c r="B113" t="s">
        <v>228</v>
      </c>
      <c r="C113" t="s">
        <v>229</v>
      </c>
      <c r="D113">
        <v>65.14</v>
      </c>
      <c r="E113">
        <v>67.875880000000009</v>
      </c>
      <c r="F113" t="s">
        <v>226</v>
      </c>
      <c r="G113" s="2">
        <v>46122.380150463003</v>
      </c>
      <c r="H113" t="s">
        <v>17</v>
      </c>
      <c r="I113" t="s">
        <v>18</v>
      </c>
      <c r="K113">
        <v>184111</v>
      </c>
      <c r="M113" s="2">
        <v>46122.380150463003</v>
      </c>
    </row>
    <row r="114" spans="1:13" x14ac:dyDescent="0.25">
      <c r="A114" t="s">
        <v>230</v>
      </c>
      <c r="B114" t="s">
        <v>228</v>
      </c>
      <c r="C114" t="s">
        <v>229</v>
      </c>
      <c r="D114">
        <v>180.27</v>
      </c>
      <c r="E114">
        <v>187.84134000000003</v>
      </c>
      <c r="F114" t="s">
        <v>226</v>
      </c>
      <c r="G114" s="2">
        <v>46122.731562499997</v>
      </c>
      <c r="H114" t="s">
        <v>17</v>
      </c>
      <c r="I114" t="s">
        <v>18</v>
      </c>
      <c r="K114">
        <v>184110</v>
      </c>
      <c r="M114" s="2">
        <v>46122.731562499997</v>
      </c>
    </row>
    <row r="115" spans="1:13" x14ac:dyDescent="0.25">
      <c r="A115" t="s">
        <v>231</v>
      </c>
      <c r="B115" t="s">
        <v>228</v>
      </c>
      <c r="C115" t="s">
        <v>229</v>
      </c>
      <c r="D115">
        <v>65.8599999999999</v>
      </c>
      <c r="E115">
        <v>68.626119999999901</v>
      </c>
      <c r="F115" t="s">
        <v>226</v>
      </c>
      <c r="G115" s="2">
        <v>46123.617928240703</v>
      </c>
      <c r="H115" t="s">
        <v>17</v>
      </c>
      <c r="I115" t="s">
        <v>18</v>
      </c>
      <c r="K115">
        <v>184657</v>
      </c>
      <c r="M115" s="2">
        <v>46123.617928240703</v>
      </c>
    </row>
    <row r="116" spans="1:13" x14ac:dyDescent="0.25">
      <c r="A116" t="s">
        <v>232</v>
      </c>
      <c r="B116" t="s">
        <v>233</v>
      </c>
      <c r="C116" t="s">
        <v>234</v>
      </c>
      <c r="D116">
        <v>14.219999999999899</v>
      </c>
      <c r="E116">
        <v>12.625937999999911</v>
      </c>
      <c r="F116" t="s">
        <v>216</v>
      </c>
      <c r="G116" s="2">
        <v>46120.953518518501</v>
      </c>
      <c r="H116" t="s">
        <v>17</v>
      </c>
      <c r="I116" t="s">
        <v>18</v>
      </c>
      <c r="K116">
        <v>184054</v>
      </c>
      <c r="M116" s="2">
        <v>46120.953518518501</v>
      </c>
    </row>
    <row r="117" spans="1:13" x14ac:dyDescent="0.25">
      <c r="A117" t="s">
        <v>235</v>
      </c>
      <c r="B117" t="s">
        <v>233</v>
      </c>
      <c r="C117" t="s">
        <v>234</v>
      </c>
      <c r="D117">
        <v>69.220000000000297</v>
      </c>
      <c r="E117">
        <v>61.460438000000266</v>
      </c>
      <c r="F117" t="s">
        <v>216</v>
      </c>
      <c r="G117" s="2">
        <v>46121.055486111101</v>
      </c>
      <c r="H117" t="s">
        <v>17</v>
      </c>
      <c r="I117" t="s">
        <v>18</v>
      </c>
      <c r="K117">
        <v>184107</v>
      </c>
      <c r="M117" s="2">
        <v>46121.055486111101</v>
      </c>
    </row>
    <row r="118" spans="1:13" x14ac:dyDescent="0.25">
      <c r="A118" t="s">
        <v>236</v>
      </c>
      <c r="B118" t="s">
        <v>237</v>
      </c>
      <c r="C118" t="s">
        <v>238</v>
      </c>
      <c r="D118">
        <v>2141</v>
      </c>
      <c r="E118">
        <v>1597.4001000000001</v>
      </c>
      <c r="F118" t="s">
        <v>108</v>
      </c>
      <c r="G118" s="2">
        <v>46134.6954050926</v>
      </c>
      <c r="H118" t="s">
        <v>17</v>
      </c>
      <c r="I118" t="s">
        <v>18</v>
      </c>
      <c r="K118">
        <v>893695</v>
      </c>
      <c r="M118" s="2">
        <v>46134.6954050926</v>
      </c>
    </row>
    <row r="119" spans="1:13" x14ac:dyDescent="0.25">
      <c r="A119" t="s">
        <v>239</v>
      </c>
      <c r="B119" t="s">
        <v>240</v>
      </c>
      <c r="C119" t="s">
        <v>241</v>
      </c>
      <c r="D119">
        <v>806.04</v>
      </c>
      <c r="E119">
        <v>497.00426400000003</v>
      </c>
      <c r="F119" t="s">
        <v>242</v>
      </c>
      <c r="G119" s="2">
        <v>46127.957314814797</v>
      </c>
      <c r="H119" t="s">
        <v>17</v>
      </c>
      <c r="I119" t="s">
        <v>18</v>
      </c>
      <c r="K119">
        <v>184063</v>
      </c>
      <c r="M119" s="2">
        <v>46127.957314814797</v>
      </c>
    </row>
    <row r="120" spans="1:13" x14ac:dyDescent="0.25">
      <c r="A120" t="s">
        <v>243</v>
      </c>
      <c r="B120" t="s">
        <v>240</v>
      </c>
      <c r="C120" t="s">
        <v>241</v>
      </c>
      <c r="D120">
        <v>191.8</v>
      </c>
      <c r="E120">
        <v>118.26388000000001</v>
      </c>
      <c r="F120" t="s">
        <v>242</v>
      </c>
      <c r="G120" s="2">
        <v>46128.288275462997</v>
      </c>
      <c r="H120" t="s">
        <v>17</v>
      </c>
      <c r="I120" t="s">
        <v>18</v>
      </c>
      <c r="K120">
        <v>184076</v>
      </c>
      <c r="M120" s="2">
        <v>46128.288275462997</v>
      </c>
    </row>
    <row r="121" spans="1:13" x14ac:dyDescent="0.25">
      <c r="A121" t="s">
        <v>244</v>
      </c>
      <c r="B121" t="s">
        <v>240</v>
      </c>
      <c r="C121" t="s">
        <v>241</v>
      </c>
      <c r="D121">
        <v>36</v>
      </c>
      <c r="E121">
        <v>22.197600000000001</v>
      </c>
      <c r="F121" t="s">
        <v>245</v>
      </c>
      <c r="G121" s="2">
        <v>46128.960625</v>
      </c>
      <c r="H121" t="s">
        <v>17</v>
      </c>
      <c r="I121" t="s">
        <v>18</v>
      </c>
      <c r="K121">
        <v>184735</v>
      </c>
      <c r="M121" s="2">
        <v>46128.960625</v>
      </c>
    </row>
    <row r="122" spans="1:13" x14ac:dyDescent="0.25">
      <c r="A122" t="s">
        <v>246</v>
      </c>
      <c r="B122" t="s">
        <v>209</v>
      </c>
      <c r="C122" t="s">
        <v>210</v>
      </c>
      <c r="D122">
        <v>55.340000000000103</v>
      </c>
      <c r="E122">
        <v>27.636796000000054</v>
      </c>
      <c r="F122" t="s">
        <v>245</v>
      </c>
      <c r="G122" s="2">
        <v>46115.362638888902</v>
      </c>
      <c r="H122" t="s">
        <v>17</v>
      </c>
      <c r="I122" t="s">
        <v>18</v>
      </c>
      <c r="K122">
        <v>181753</v>
      </c>
      <c r="M122" s="2">
        <v>46115.362638888902</v>
      </c>
    </row>
    <row r="123" spans="1:13" x14ac:dyDescent="0.25">
      <c r="A123" t="s">
        <v>247</v>
      </c>
      <c r="B123" t="s">
        <v>209</v>
      </c>
      <c r="C123" t="s">
        <v>210</v>
      </c>
      <c r="D123">
        <v>22.73</v>
      </c>
      <c r="E123">
        <v>11.351362</v>
      </c>
      <c r="F123" t="s">
        <v>245</v>
      </c>
      <c r="G123" s="2">
        <v>46122.040405092601</v>
      </c>
      <c r="H123" t="s">
        <v>17</v>
      </c>
      <c r="I123" t="s">
        <v>18</v>
      </c>
      <c r="K123">
        <v>181608</v>
      </c>
      <c r="M123" s="2">
        <v>46122.040405092601</v>
      </c>
    </row>
    <row r="124" spans="1:13" x14ac:dyDescent="0.25">
      <c r="A124" t="s">
        <v>248</v>
      </c>
      <c r="B124" t="s">
        <v>209</v>
      </c>
      <c r="C124" t="s">
        <v>210</v>
      </c>
      <c r="D124">
        <v>3204</v>
      </c>
      <c r="E124">
        <v>1600.0776000000001</v>
      </c>
      <c r="F124" t="s">
        <v>70</v>
      </c>
      <c r="G124" s="2">
        <v>46134.745509259301</v>
      </c>
      <c r="H124" t="s">
        <v>17</v>
      </c>
      <c r="I124" t="s">
        <v>18</v>
      </c>
      <c r="M124" s="2">
        <v>46134.745509259301</v>
      </c>
    </row>
    <row r="125" spans="1:13" x14ac:dyDescent="0.25">
      <c r="A125" t="s">
        <v>249</v>
      </c>
      <c r="B125" t="s">
        <v>250</v>
      </c>
      <c r="C125" t="s">
        <v>80</v>
      </c>
      <c r="D125">
        <v>4071</v>
      </c>
      <c r="E125">
        <v>1606.4166</v>
      </c>
      <c r="F125" t="s">
        <v>70</v>
      </c>
      <c r="G125" s="2">
        <v>46119.045578703699</v>
      </c>
      <c r="H125" t="s">
        <v>17</v>
      </c>
      <c r="I125" t="s">
        <v>18</v>
      </c>
      <c r="M125" s="2">
        <v>46119.045578703699</v>
      </c>
    </row>
    <row r="126" spans="1:13" x14ac:dyDescent="0.25">
      <c r="A126" t="s">
        <v>251</v>
      </c>
      <c r="B126" t="s">
        <v>250</v>
      </c>
      <c r="C126" t="s">
        <v>80</v>
      </c>
      <c r="D126">
        <v>20.5</v>
      </c>
      <c r="E126">
        <v>8.0892999999999997</v>
      </c>
      <c r="F126" t="s">
        <v>245</v>
      </c>
      <c r="G126" s="2">
        <v>46136.378784722197</v>
      </c>
      <c r="H126" t="s">
        <v>17</v>
      </c>
      <c r="I126" t="s">
        <v>18</v>
      </c>
      <c r="K126">
        <v>184020</v>
      </c>
      <c r="M126" s="2">
        <v>46136.378784722197</v>
      </c>
    </row>
    <row r="127" spans="1:13" x14ac:dyDescent="0.25">
      <c r="A127" t="s">
        <v>252</v>
      </c>
      <c r="B127" t="s">
        <v>250</v>
      </c>
      <c r="C127" t="s">
        <v>80</v>
      </c>
      <c r="D127">
        <v>7343</v>
      </c>
      <c r="E127">
        <v>2897.5477999999998</v>
      </c>
      <c r="F127" t="s">
        <v>70</v>
      </c>
      <c r="G127" s="2">
        <v>46139.770624999997</v>
      </c>
      <c r="H127" t="s">
        <v>17</v>
      </c>
      <c r="I127" t="s">
        <v>18</v>
      </c>
      <c r="M127" s="2">
        <v>46139.770624999997</v>
      </c>
    </row>
    <row r="128" spans="1:13" x14ac:dyDescent="0.25">
      <c r="A128" t="s">
        <v>253</v>
      </c>
      <c r="B128" t="s">
        <v>250</v>
      </c>
      <c r="C128" t="s">
        <v>80</v>
      </c>
      <c r="D128">
        <v>180.91</v>
      </c>
      <c r="E128">
        <v>71.387085999999996</v>
      </c>
      <c r="F128" t="s">
        <v>245</v>
      </c>
      <c r="G128" s="2">
        <v>46139.808495370402</v>
      </c>
      <c r="H128" t="s">
        <v>17</v>
      </c>
      <c r="I128" t="s">
        <v>18</v>
      </c>
      <c r="K128">
        <v>185280</v>
      </c>
      <c r="M128" s="2">
        <v>46139.808495370402</v>
      </c>
    </row>
    <row r="129" spans="1:13" x14ac:dyDescent="0.25">
      <c r="A129" t="s">
        <v>254</v>
      </c>
      <c r="B129" t="s">
        <v>255</v>
      </c>
      <c r="C129" t="s">
        <v>256</v>
      </c>
      <c r="D129">
        <v>1193</v>
      </c>
      <c r="E129">
        <v>360.40529999999995</v>
      </c>
      <c r="F129" t="s">
        <v>70</v>
      </c>
      <c r="G129" s="2">
        <v>46116.728344907402</v>
      </c>
      <c r="H129" t="s">
        <v>17</v>
      </c>
      <c r="I129" t="s">
        <v>18</v>
      </c>
      <c r="M129" s="2">
        <v>46116.728344907402</v>
      </c>
    </row>
    <row r="130" spans="1:13" x14ac:dyDescent="0.25">
      <c r="A130" t="s">
        <v>257</v>
      </c>
      <c r="B130" t="s">
        <v>255</v>
      </c>
      <c r="C130" t="s">
        <v>256</v>
      </c>
      <c r="D130">
        <v>1972.47</v>
      </c>
      <c r="E130">
        <v>595.88318700000002</v>
      </c>
      <c r="F130" t="s">
        <v>258</v>
      </c>
      <c r="G130" s="2">
        <v>46120.779884259297</v>
      </c>
      <c r="H130" t="s">
        <v>17</v>
      </c>
      <c r="I130" t="s">
        <v>18</v>
      </c>
      <c r="K130">
        <v>184580</v>
      </c>
      <c r="M130" s="2">
        <v>46120.779884259297</v>
      </c>
    </row>
    <row r="131" spans="1:13" x14ac:dyDescent="0.25">
      <c r="A131" t="s">
        <v>259</v>
      </c>
      <c r="B131" t="s">
        <v>255</v>
      </c>
      <c r="C131" t="s">
        <v>256</v>
      </c>
      <c r="D131">
        <v>8481</v>
      </c>
      <c r="E131">
        <v>2562.1100999999999</v>
      </c>
      <c r="F131" t="s">
        <v>108</v>
      </c>
      <c r="G131" s="2">
        <v>46120.826585648101</v>
      </c>
      <c r="H131" t="s">
        <v>17</v>
      </c>
      <c r="I131" t="s">
        <v>18</v>
      </c>
      <c r="K131">
        <v>893699</v>
      </c>
      <c r="M131" s="2">
        <v>46120.826585648101</v>
      </c>
    </row>
    <row r="132" spans="1:13" x14ac:dyDescent="0.25">
      <c r="A132" t="s">
        <v>260</v>
      </c>
      <c r="B132" t="s">
        <v>255</v>
      </c>
      <c r="C132" t="s">
        <v>256</v>
      </c>
      <c r="D132">
        <v>18895</v>
      </c>
      <c r="E132">
        <v>5708.1794999999993</v>
      </c>
      <c r="F132" t="s">
        <v>70</v>
      </c>
      <c r="G132" s="2">
        <v>46121.0475925926</v>
      </c>
      <c r="H132" t="s">
        <v>17</v>
      </c>
      <c r="I132" t="s">
        <v>18</v>
      </c>
      <c r="M132" s="2">
        <v>46121.0475925926</v>
      </c>
    </row>
    <row r="133" spans="1:13" x14ac:dyDescent="0.25">
      <c r="A133" t="s">
        <v>261</v>
      </c>
      <c r="B133" t="s">
        <v>255</v>
      </c>
      <c r="C133" t="s">
        <v>256</v>
      </c>
      <c r="D133">
        <v>34.199999999999797</v>
      </c>
      <c r="E133">
        <v>10.331819999999938</v>
      </c>
      <c r="F133" t="s">
        <v>245</v>
      </c>
      <c r="G133" s="2">
        <v>46125.717650462997</v>
      </c>
      <c r="H133" t="s">
        <v>17</v>
      </c>
      <c r="I133" t="s">
        <v>18</v>
      </c>
      <c r="K133">
        <v>184578</v>
      </c>
      <c r="M133" s="2">
        <v>46125.717650462997</v>
      </c>
    </row>
    <row r="134" spans="1:13" x14ac:dyDescent="0.25">
      <c r="A134" t="s">
        <v>262</v>
      </c>
      <c r="B134" t="s">
        <v>255</v>
      </c>
      <c r="C134" t="s">
        <v>256</v>
      </c>
      <c r="D134">
        <v>153</v>
      </c>
      <c r="E134">
        <v>46.221299999999999</v>
      </c>
      <c r="F134" t="s">
        <v>70</v>
      </c>
      <c r="G134" s="2">
        <v>46128.693460648101</v>
      </c>
      <c r="H134" t="s">
        <v>17</v>
      </c>
      <c r="I134" t="s">
        <v>18</v>
      </c>
      <c r="M134" s="2">
        <v>46128.693460648101</v>
      </c>
    </row>
    <row r="135" spans="1:13" x14ac:dyDescent="0.25">
      <c r="A135" t="s">
        <v>263</v>
      </c>
      <c r="B135" t="s">
        <v>255</v>
      </c>
      <c r="C135" t="s">
        <v>256</v>
      </c>
      <c r="D135">
        <v>11.510000000000201</v>
      </c>
      <c r="E135">
        <v>3.4771710000000602</v>
      </c>
      <c r="F135" t="s">
        <v>245</v>
      </c>
      <c r="G135" s="2">
        <v>46130.107604166697</v>
      </c>
      <c r="H135" t="s">
        <v>17</v>
      </c>
      <c r="I135" t="s">
        <v>18</v>
      </c>
      <c r="K135">
        <v>184578</v>
      </c>
      <c r="M135" s="2">
        <v>46130.107604166697</v>
      </c>
    </row>
    <row r="136" spans="1:13" x14ac:dyDescent="0.25">
      <c r="A136" t="s">
        <v>264</v>
      </c>
      <c r="B136" t="s">
        <v>255</v>
      </c>
      <c r="C136" t="s">
        <v>256</v>
      </c>
      <c r="D136">
        <v>4713.1499999999996</v>
      </c>
      <c r="E136">
        <v>1423.8426149999998</v>
      </c>
      <c r="F136" t="s">
        <v>258</v>
      </c>
      <c r="G136" s="2">
        <v>46114.6858333333</v>
      </c>
      <c r="H136" t="s">
        <v>17</v>
      </c>
      <c r="I136" t="s">
        <v>18</v>
      </c>
      <c r="K136">
        <v>182934</v>
      </c>
      <c r="M136" s="2">
        <v>46114.6858333333</v>
      </c>
    </row>
    <row r="137" spans="1:13" x14ac:dyDescent="0.25">
      <c r="A137" t="s">
        <v>265</v>
      </c>
      <c r="B137" t="s">
        <v>255</v>
      </c>
      <c r="C137" t="s">
        <v>256</v>
      </c>
      <c r="D137">
        <v>214.95</v>
      </c>
      <c r="E137">
        <v>64.93639499999999</v>
      </c>
      <c r="F137" t="s">
        <v>245</v>
      </c>
      <c r="G137" s="2">
        <v>46137.622905092598</v>
      </c>
      <c r="H137" t="s">
        <v>17</v>
      </c>
      <c r="I137" t="s">
        <v>18</v>
      </c>
      <c r="K137">
        <v>184578</v>
      </c>
      <c r="M137" s="2">
        <v>46137.622905092598</v>
      </c>
    </row>
    <row r="138" spans="1:13" x14ac:dyDescent="0.25">
      <c r="A138" t="s">
        <v>266</v>
      </c>
      <c r="B138" t="s">
        <v>255</v>
      </c>
      <c r="C138" t="s">
        <v>256</v>
      </c>
      <c r="D138">
        <v>6565</v>
      </c>
      <c r="E138">
        <v>1983.2864999999999</v>
      </c>
      <c r="F138" t="s">
        <v>70</v>
      </c>
      <c r="G138" s="2">
        <v>46140.406134259298</v>
      </c>
      <c r="H138" t="s">
        <v>17</v>
      </c>
      <c r="I138" t="s">
        <v>18</v>
      </c>
      <c r="M138" s="2">
        <v>46140.406134259298</v>
      </c>
    </row>
    <row r="139" spans="1:13" x14ac:dyDescent="0.25">
      <c r="A139" t="s">
        <v>267</v>
      </c>
      <c r="B139" t="s">
        <v>255</v>
      </c>
      <c r="C139" t="s">
        <v>256</v>
      </c>
      <c r="D139">
        <v>521</v>
      </c>
      <c r="E139">
        <v>157.39409999999998</v>
      </c>
      <c r="F139" t="s">
        <v>70</v>
      </c>
      <c r="G139" s="2">
        <v>46140.918287036999</v>
      </c>
      <c r="H139" t="s">
        <v>17</v>
      </c>
      <c r="I139" t="s">
        <v>18</v>
      </c>
      <c r="M139" s="2">
        <v>46140.918287036999</v>
      </c>
    </row>
    <row r="140" spans="1:13" x14ac:dyDescent="0.25">
      <c r="A140" t="s">
        <v>268</v>
      </c>
      <c r="B140" t="s">
        <v>199</v>
      </c>
      <c r="C140" t="s">
        <v>84</v>
      </c>
      <c r="D140">
        <v>540</v>
      </c>
      <c r="E140">
        <v>100.71</v>
      </c>
      <c r="G140" s="2">
        <v>46128.404652777797</v>
      </c>
      <c r="H140" t="s">
        <v>17</v>
      </c>
      <c r="I140" t="s">
        <v>18</v>
      </c>
      <c r="L140" t="s">
        <v>47</v>
      </c>
      <c r="M140" s="2">
        <v>46128.404652777797</v>
      </c>
    </row>
    <row r="141" spans="1:13" x14ac:dyDescent="0.25">
      <c r="A141" t="s">
        <v>269</v>
      </c>
      <c r="B141" t="s">
        <v>199</v>
      </c>
      <c r="C141" t="s">
        <v>84</v>
      </c>
      <c r="D141">
        <v>488.02</v>
      </c>
      <c r="E141">
        <v>91.015729999999991</v>
      </c>
      <c r="F141" t="s">
        <v>270</v>
      </c>
      <c r="G141" s="2">
        <v>46128.960868055598</v>
      </c>
      <c r="H141" t="s">
        <v>17</v>
      </c>
      <c r="I141" t="s">
        <v>18</v>
      </c>
      <c r="K141">
        <v>185027</v>
      </c>
      <c r="M141" s="2">
        <v>46128.960868055598</v>
      </c>
    </row>
    <row r="142" spans="1:13" x14ac:dyDescent="0.25">
      <c r="A142" t="s">
        <v>271</v>
      </c>
      <c r="B142" t="s">
        <v>199</v>
      </c>
      <c r="C142" t="s">
        <v>84</v>
      </c>
      <c r="D142">
        <v>205.38999999999899</v>
      </c>
      <c r="E142">
        <v>38.305234999999811</v>
      </c>
      <c r="F142" t="s">
        <v>207</v>
      </c>
      <c r="G142" s="2">
        <v>46129.033414351798</v>
      </c>
      <c r="H142" t="s">
        <v>17</v>
      </c>
      <c r="I142" t="s">
        <v>18</v>
      </c>
      <c r="K142">
        <v>184732</v>
      </c>
      <c r="M142" s="2">
        <v>46129.033414351798</v>
      </c>
    </row>
    <row r="143" spans="1:13" x14ac:dyDescent="0.25">
      <c r="A143" t="s">
        <v>272</v>
      </c>
      <c r="B143" t="s">
        <v>199</v>
      </c>
      <c r="C143" t="s">
        <v>84</v>
      </c>
      <c r="D143">
        <v>2094</v>
      </c>
      <c r="E143">
        <v>390.53100000000001</v>
      </c>
      <c r="F143" t="s">
        <v>70</v>
      </c>
      <c r="G143" s="2">
        <v>46116.4129398148</v>
      </c>
      <c r="H143" t="s">
        <v>17</v>
      </c>
      <c r="I143" t="s">
        <v>18</v>
      </c>
      <c r="M143" s="2">
        <v>46116.4129398148</v>
      </c>
    </row>
    <row r="144" spans="1:13" x14ac:dyDescent="0.25">
      <c r="A144" t="s">
        <v>273</v>
      </c>
      <c r="B144" t="s">
        <v>199</v>
      </c>
      <c r="C144" t="s">
        <v>84</v>
      </c>
      <c r="D144">
        <v>815.57</v>
      </c>
      <c r="E144">
        <v>152.10380500000002</v>
      </c>
      <c r="F144" t="s">
        <v>270</v>
      </c>
      <c r="G144" s="2">
        <v>46132.944618055597</v>
      </c>
      <c r="H144" t="s">
        <v>17</v>
      </c>
      <c r="I144" t="s">
        <v>18</v>
      </c>
      <c r="K144">
        <v>185024</v>
      </c>
      <c r="M144" s="2">
        <v>46132.944618055597</v>
      </c>
    </row>
    <row r="145" spans="1:13" x14ac:dyDescent="0.25">
      <c r="A145" t="s">
        <v>274</v>
      </c>
      <c r="B145" t="s">
        <v>199</v>
      </c>
      <c r="C145" t="s">
        <v>84</v>
      </c>
      <c r="D145">
        <v>2099.06</v>
      </c>
      <c r="E145">
        <v>391.47469000000001</v>
      </c>
      <c r="F145" t="s">
        <v>275</v>
      </c>
      <c r="G145" s="2">
        <v>46134.393657407403</v>
      </c>
      <c r="H145" t="s">
        <v>17</v>
      </c>
      <c r="I145" t="s">
        <v>18</v>
      </c>
      <c r="K145">
        <v>185525</v>
      </c>
      <c r="M145" s="2">
        <v>46134.393657407403</v>
      </c>
    </row>
    <row r="146" spans="1:13" x14ac:dyDescent="0.25">
      <c r="A146" t="s">
        <v>276</v>
      </c>
      <c r="B146" t="s">
        <v>199</v>
      </c>
      <c r="C146" t="s">
        <v>84</v>
      </c>
      <c r="D146">
        <v>20.5</v>
      </c>
      <c r="E146">
        <v>3.8232499999999998</v>
      </c>
      <c r="F146" t="s">
        <v>270</v>
      </c>
      <c r="G146" s="2">
        <v>46136.134490740696</v>
      </c>
      <c r="H146" t="s">
        <v>17</v>
      </c>
      <c r="I146" t="s">
        <v>18</v>
      </c>
      <c r="K146">
        <v>184120</v>
      </c>
      <c r="M146" s="2">
        <v>46136.134490740696</v>
      </c>
    </row>
    <row r="147" spans="1:13" x14ac:dyDescent="0.25">
      <c r="A147" t="s">
        <v>277</v>
      </c>
      <c r="B147" t="s">
        <v>199</v>
      </c>
      <c r="C147" t="s">
        <v>84</v>
      </c>
      <c r="D147">
        <v>32.430000000000298</v>
      </c>
      <c r="E147">
        <v>6.0481950000000557</v>
      </c>
      <c r="F147" t="s">
        <v>270</v>
      </c>
      <c r="G147" s="2">
        <v>46137.388726851903</v>
      </c>
      <c r="H147" t="s">
        <v>17</v>
      </c>
      <c r="I147" t="s">
        <v>18</v>
      </c>
      <c r="K147">
        <v>184731</v>
      </c>
      <c r="M147" s="2">
        <v>46137.388726851903</v>
      </c>
    </row>
    <row r="148" spans="1:13" x14ac:dyDescent="0.25">
      <c r="A148" t="s">
        <v>278</v>
      </c>
      <c r="B148" t="s">
        <v>199</v>
      </c>
      <c r="C148" t="s">
        <v>84</v>
      </c>
      <c r="D148">
        <v>1021.64</v>
      </c>
      <c r="E148">
        <v>190.53585999999999</v>
      </c>
      <c r="F148" t="s">
        <v>279</v>
      </c>
      <c r="G148" s="2">
        <v>46137.359490740702</v>
      </c>
      <c r="H148" t="s">
        <v>17</v>
      </c>
      <c r="I148" t="s">
        <v>18</v>
      </c>
      <c r="K148">
        <v>185524</v>
      </c>
      <c r="M148" s="2">
        <v>46137.359490740702</v>
      </c>
    </row>
    <row r="149" spans="1:13" x14ac:dyDescent="0.25">
      <c r="A149" t="s">
        <v>280</v>
      </c>
      <c r="B149" t="s">
        <v>199</v>
      </c>
      <c r="C149" t="s">
        <v>84</v>
      </c>
      <c r="D149">
        <v>33.430000000000298</v>
      </c>
      <c r="E149">
        <v>6.2346950000000554</v>
      </c>
      <c r="F149" t="s">
        <v>270</v>
      </c>
      <c r="G149" s="2">
        <v>46139.625324074099</v>
      </c>
      <c r="H149" t="s">
        <v>17</v>
      </c>
      <c r="I149" t="s">
        <v>18</v>
      </c>
      <c r="K149">
        <v>184731</v>
      </c>
      <c r="M149" s="2">
        <v>46139.625324074099</v>
      </c>
    </row>
    <row r="150" spans="1:13" x14ac:dyDescent="0.25">
      <c r="A150" t="s">
        <v>281</v>
      </c>
      <c r="B150" t="s">
        <v>199</v>
      </c>
      <c r="C150" t="s">
        <v>84</v>
      </c>
      <c r="D150">
        <v>111.73</v>
      </c>
      <c r="E150">
        <v>20.837645000000002</v>
      </c>
      <c r="F150" t="s">
        <v>270</v>
      </c>
      <c r="G150" s="2">
        <v>46120.738009259301</v>
      </c>
      <c r="H150" t="s">
        <v>17</v>
      </c>
      <c r="I150" t="s">
        <v>18</v>
      </c>
      <c r="K150">
        <v>184120</v>
      </c>
      <c r="M150" s="2">
        <v>46120.738009259301</v>
      </c>
    </row>
    <row r="151" spans="1:13" x14ac:dyDescent="0.25">
      <c r="A151" t="s">
        <v>282</v>
      </c>
      <c r="B151" t="s">
        <v>199</v>
      </c>
      <c r="C151" t="s">
        <v>84</v>
      </c>
      <c r="D151">
        <v>901.84</v>
      </c>
      <c r="E151">
        <v>168.19316000000001</v>
      </c>
      <c r="F151" t="s">
        <v>207</v>
      </c>
      <c r="G151" s="2">
        <v>46122.974467592598</v>
      </c>
      <c r="H151" t="s">
        <v>17</v>
      </c>
      <c r="I151" t="s">
        <v>18</v>
      </c>
      <c r="K151">
        <v>184742</v>
      </c>
      <c r="M151" s="2">
        <v>46122.974467592598</v>
      </c>
    </row>
    <row r="152" spans="1:13" x14ac:dyDescent="0.25">
      <c r="A152" t="s">
        <v>283</v>
      </c>
      <c r="B152" t="s">
        <v>199</v>
      </c>
      <c r="C152" t="s">
        <v>84</v>
      </c>
      <c r="D152">
        <v>533.4</v>
      </c>
      <c r="E152">
        <v>99.479099999999988</v>
      </c>
      <c r="F152" t="s">
        <v>284</v>
      </c>
      <c r="G152" s="2">
        <v>46125.0243402778</v>
      </c>
      <c r="H152" t="s">
        <v>17</v>
      </c>
      <c r="I152" t="s">
        <v>18</v>
      </c>
      <c r="K152">
        <v>184754</v>
      </c>
      <c r="M152" s="2">
        <v>46125.0243402778</v>
      </c>
    </row>
    <row r="153" spans="1:13" x14ac:dyDescent="0.25">
      <c r="A153" t="s">
        <v>285</v>
      </c>
      <c r="B153" t="s">
        <v>199</v>
      </c>
      <c r="C153" t="s">
        <v>84</v>
      </c>
      <c r="D153">
        <v>652.74</v>
      </c>
      <c r="E153">
        <v>121.73601000000001</v>
      </c>
      <c r="F153" t="s">
        <v>270</v>
      </c>
      <c r="G153" s="2">
        <v>46126.021921296298</v>
      </c>
      <c r="H153" t="s">
        <v>17</v>
      </c>
      <c r="I153" t="s">
        <v>18</v>
      </c>
      <c r="K153">
        <v>184731</v>
      </c>
      <c r="M153" s="2">
        <v>46126.021921296298</v>
      </c>
    </row>
    <row r="154" spans="1:13" x14ac:dyDescent="0.25">
      <c r="A154" t="s">
        <v>286</v>
      </c>
      <c r="B154" t="s">
        <v>287</v>
      </c>
      <c r="C154" t="s">
        <v>288</v>
      </c>
      <c r="D154">
        <v>2.5299999999999701</v>
      </c>
      <c r="E154">
        <v>3.9933519999999527</v>
      </c>
      <c r="F154" t="s">
        <v>226</v>
      </c>
      <c r="G154" s="2">
        <v>46129.286284722199</v>
      </c>
      <c r="H154" t="s">
        <v>17</v>
      </c>
      <c r="I154" t="s">
        <v>18</v>
      </c>
      <c r="K154">
        <v>180925</v>
      </c>
      <c r="M154" s="2">
        <v>46129.286284722199</v>
      </c>
    </row>
    <row r="155" spans="1:13" x14ac:dyDescent="0.25">
      <c r="A155" t="s">
        <v>289</v>
      </c>
      <c r="B155" t="s">
        <v>287</v>
      </c>
      <c r="C155" t="s">
        <v>288</v>
      </c>
      <c r="D155">
        <v>424.04</v>
      </c>
      <c r="E155">
        <v>669.30473600000005</v>
      </c>
      <c r="F155" t="s">
        <v>226</v>
      </c>
      <c r="G155" s="2">
        <v>46140.375625000001</v>
      </c>
      <c r="H155" t="s">
        <v>17</v>
      </c>
      <c r="I155" t="s">
        <v>18</v>
      </c>
      <c r="K155">
        <v>185258</v>
      </c>
      <c r="M155" s="2">
        <v>46140.375625000001</v>
      </c>
    </row>
    <row r="156" spans="1:13" x14ac:dyDescent="0.25">
      <c r="A156" t="s">
        <v>290</v>
      </c>
      <c r="B156" t="s">
        <v>291</v>
      </c>
      <c r="C156" t="s">
        <v>292</v>
      </c>
      <c r="D156">
        <v>85.5</v>
      </c>
      <c r="E156">
        <v>63.791550000000001</v>
      </c>
      <c r="F156" t="s">
        <v>245</v>
      </c>
      <c r="G156" s="2">
        <v>46134.735347222202</v>
      </c>
      <c r="H156" t="s">
        <v>17</v>
      </c>
      <c r="I156" t="s">
        <v>18</v>
      </c>
      <c r="K156">
        <v>184365</v>
      </c>
      <c r="M156" s="2">
        <v>46134.735347222202</v>
      </c>
    </row>
    <row r="157" spans="1:13" x14ac:dyDescent="0.25">
      <c r="A157" t="s">
        <v>293</v>
      </c>
      <c r="B157" t="s">
        <v>294</v>
      </c>
      <c r="C157" t="s">
        <v>295</v>
      </c>
      <c r="D157">
        <v>62</v>
      </c>
      <c r="E157">
        <v>38.229200000000006</v>
      </c>
      <c r="F157" t="s">
        <v>216</v>
      </c>
      <c r="G157" s="2">
        <v>46125.956840277802</v>
      </c>
      <c r="H157" t="s">
        <v>17</v>
      </c>
      <c r="I157" t="s">
        <v>18</v>
      </c>
      <c r="K157">
        <v>184656</v>
      </c>
      <c r="M157" s="2">
        <v>46125.956840277802</v>
      </c>
    </row>
    <row r="158" spans="1:13" x14ac:dyDescent="0.25">
      <c r="A158" t="s">
        <v>296</v>
      </c>
      <c r="B158" t="s">
        <v>297</v>
      </c>
      <c r="C158" t="s">
        <v>298</v>
      </c>
      <c r="D158">
        <v>30</v>
      </c>
      <c r="E158">
        <v>14.982000000000001</v>
      </c>
      <c r="F158" t="s">
        <v>299</v>
      </c>
      <c r="G158" s="2">
        <v>46133.363749999997</v>
      </c>
      <c r="H158" t="s">
        <v>17</v>
      </c>
      <c r="I158" t="s">
        <v>18</v>
      </c>
      <c r="K158">
        <v>184084</v>
      </c>
      <c r="M158" s="2">
        <v>46133.363749999997</v>
      </c>
    </row>
    <row r="159" spans="1:13" x14ac:dyDescent="0.25">
      <c r="A159" t="s">
        <v>300</v>
      </c>
      <c r="B159" t="s">
        <v>301</v>
      </c>
      <c r="C159" t="s">
        <v>302</v>
      </c>
      <c r="D159">
        <v>190.38</v>
      </c>
      <c r="E159">
        <v>57.513797999999994</v>
      </c>
      <c r="F159" t="s">
        <v>299</v>
      </c>
      <c r="G159" s="2">
        <v>46120.447835648098</v>
      </c>
      <c r="H159" t="s">
        <v>17</v>
      </c>
      <c r="I159" t="s">
        <v>18</v>
      </c>
      <c r="K159">
        <v>184109</v>
      </c>
      <c r="M159" s="2">
        <v>46120.447835648098</v>
      </c>
    </row>
    <row r="160" spans="1:13" x14ac:dyDescent="0.25">
      <c r="A160" t="s">
        <v>303</v>
      </c>
      <c r="B160" t="s">
        <v>304</v>
      </c>
      <c r="C160" t="s">
        <v>64</v>
      </c>
      <c r="D160">
        <v>12681.244075066999</v>
      </c>
      <c r="E160">
        <v>2365.0520199999955</v>
      </c>
      <c r="F160" t="s">
        <v>207</v>
      </c>
      <c r="G160" s="2">
        <v>46114.031180555598</v>
      </c>
      <c r="H160" t="s">
        <v>17</v>
      </c>
      <c r="I160" t="s">
        <v>18</v>
      </c>
      <c r="K160">
        <v>184576</v>
      </c>
      <c r="M160" s="2">
        <v>46114.031180555598</v>
      </c>
    </row>
    <row r="161" spans="1:13" x14ac:dyDescent="0.25">
      <c r="A161" t="s">
        <v>305</v>
      </c>
      <c r="B161" t="s">
        <v>304</v>
      </c>
      <c r="C161" t="s">
        <v>64</v>
      </c>
      <c r="D161">
        <v>119.77</v>
      </c>
      <c r="E161">
        <v>22.337104999999998</v>
      </c>
      <c r="F161" t="s">
        <v>306</v>
      </c>
      <c r="G161" s="2">
        <v>46122.296539351897</v>
      </c>
      <c r="H161" t="s">
        <v>17</v>
      </c>
      <c r="I161" t="s">
        <v>18</v>
      </c>
      <c r="K161">
        <v>184576</v>
      </c>
      <c r="M161" s="2">
        <v>46122.296539351897</v>
      </c>
    </row>
    <row r="162" spans="1:13" x14ac:dyDescent="0.25">
      <c r="A162" t="s">
        <v>307</v>
      </c>
      <c r="B162" t="s">
        <v>304</v>
      </c>
      <c r="C162" t="s">
        <v>64</v>
      </c>
      <c r="D162">
        <v>1183</v>
      </c>
      <c r="E162">
        <v>220.62950000000001</v>
      </c>
      <c r="F162" t="s">
        <v>308</v>
      </c>
      <c r="G162" s="2">
        <v>46122.7256597222</v>
      </c>
      <c r="H162" t="s">
        <v>17</v>
      </c>
      <c r="I162" t="s">
        <v>18</v>
      </c>
      <c r="K162">
        <v>182496</v>
      </c>
      <c r="M162" s="2">
        <v>46122.7256597222</v>
      </c>
    </row>
    <row r="163" spans="1:13" x14ac:dyDescent="0.25">
      <c r="A163" t="s">
        <v>309</v>
      </c>
      <c r="B163" t="s">
        <v>304</v>
      </c>
      <c r="C163" t="s">
        <v>64</v>
      </c>
      <c r="D163">
        <v>393.78</v>
      </c>
      <c r="E163">
        <v>73.439969999999988</v>
      </c>
      <c r="F163" t="s">
        <v>270</v>
      </c>
      <c r="G163" s="2">
        <v>46125.027997685203</v>
      </c>
      <c r="H163" t="s">
        <v>17</v>
      </c>
      <c r="I163" t="s">
        <v>18</v>
      </c>
      <c r="K163">
        <v>184575</v>
      </c>
      <c r="M163" s="2">
        <v>46125.027997685203</v>
      </c>
    </row>
    <row r="164" spans="1:13" x14ac:dyDescent="0.25">
      <c r="A164" t="s">
        <v>310</v>
      </c>
      <c r="B164" t="s">
        <v>304</v>
      </c>
      <c r="C164" t="s">
        <v>64</v>
      </c>
      <c r="D164">
        <v>30.3600000000006</v>
      </c>
      <c r="E164">
        <v>5.6621400000001119</v>
      </c>
      <c r="F164" t="s">
        <v>207</v>
      </c>
      <c r="G164" s="2">
        <v>46115.707442129598</v>
      </c>
      <c r="H164" t="s">
        <v>17</v>
      </c>
      <c r="I164" t="s">
        <v>18</v>
      </c>
      <c r="K164">
        <v>181602</v>
      </c>
      <c r="M164" s="2">
        <v>46115.707442129598</v>
      </c>
    </row>
    <row r="165" spans="1:13" x14ac:dyDescent="0.25">
      <c r="A165" t="s">
        <v>311</v>
      </c>
      <c r="B165" t="s">
        <v>304</v>
      </c>
      <c r="C165" t="s">
        <v>64</v>
      </c>
      <c r="D165">
        <v>458</v>
      </c>
      <c r="E165">
        <v>85.417000000000002</v>
      </c>
      <c r="F165" t="s">
        <v>203</v>
      </c>
      <c r="G165" s="2">
        <v>46128.366562499999</v>
      </c>
      <c r="H165" t="s">
        <v>17</v>
      </c>
      <c r="I165" t="s">
        <v>18</v>
      </c>
      <c r="K165">
        <v>184367</v>
      </c>
      <c r="M165" s="2">
        <v>46128.366562499999</v>
      </c>
    </row>
    <row r="166" spans="1:13" x14ac:dyDescent="0.25">
      <c r="A166" t="s">
        <v>312</v>
      </c>
      <c r="B166" t="s">
        <v>304</v>
      </c>
      <c r="C166" t="s">
        <v>64</v>
      </c>
      <c r="D166">
        <v>2244</v>
      </c>
      <c r="E166">
        <v>418.50599999999997</v>
      </c>
      <c r="F166" t="s">
        <v>308</v>
      </c>
      <c r="G166" s="2">
        <v>46136.941493055601</v>
      </c>
      <c r="H166" t="s">
        <v>17</v>
      </c>
      <c r="I166" t="s">
        <v>18</v>
      </c>
      <c r="K166">
        <v>185485</v>
      </c>
      <c r="M166" s="2">
        <v>46136.941493055601</v>
      </c>
    </row>
    <row r="167" spans="1:13" x14ac:dyDescent="0.25">
      <c r="A167" t="s">
        <v>313</v>
      </c>
      <c r="B167" t="s">
        <v>304</v>
      </c>
      <c r="C167" t="s">
        <v>64</v>
      </c>
      <c r="D167">
        <v>504.15</v>
      </c>
      <c r="E167">
        <v>94.023974999999993</v>
      </c>
      <c r="F167" t="s">
        <v>270</v>
      </c>
      <c r="G167" s="2">
        <v>46139.895462963003</v>
      </c>
      <c r="H167" t="s">
        <v>17</v>
      </c>
      <c r="I167" t="s">
        <v>18</v>
      </c>
      <c r="K167">
        <v>184575</v>
      </c>
      <c r="M167" s="2">
        <v>46139.895462963003</v>
      </c>
    </row>
    <row r="168" spans="1:13" x14ac:dyDescent="0.25">
      <c r="A168" t="s">
        <v>314</v>
      </c>
      <c r="B168" t="s">
        <v>304</v>
      </c>
      <c r="C168" t="s">
        <v>64</v>
      </c>
      <c r="D168">
        <v>181.48</v>
      </c>
      <c r="E168">
        <v>33.846019999999996</v>
      </c>
      <c r="F168" t="s">
        <v>306</v>
      </c>
      <c r="G168" s="2">
        <v>46133.064155092601</v>
      </c>
      <c r="H168" t="s">
        <v>17</v>
      </c>
      <c r="I168" t="s">
        <v>18</v>
      </c>
      <c r="K168">
        <v>185278</v>
      </c>
      <c r="M168" s="2">
        <v>46133.064155092601</v>
      </c>
    </row>
    <row r="169" spans="1:13" x14ac:dyDescent="0.25">
      <c r="A169" t="s">
        <v>315</v>
      </c>
      <c r="B169" t="s">
        <v>316</v>
      </c>
      <c r="C169" t="s">
        <v>317</v>
      </c>
      <c r="D169">
        <v>1564.4</v>
      </c>
      <c r="E169">
        <v>472.60523999999998</v>
      </c>
      <c r="F169" t="s">
        <v>306</v>
      </c>
      <c r="G169" s="2">
        <v>46113.688564814802</v>
      </c>
      <c r="H169" t="s">
        <v>17</v>
      </c>
      <c r="I169" t="s">
        <v>18</v>
      </c>
      <c r="K169">
        <v>183397</v>
      </c>
      <c r="M169" s="2">
        <v>46113.688564814802</v>
      </c>
    </row>
    <row r="170" spans="1:13" x14ac:dyDescent="0.25">
      <c r="A170" t="s">
        <v>318</v>
      </c>
      <c r="B170" t="s">
        <v>201</v>
      </c>
      <c r="C170" t="s">
        <v>202</v>
      </c>
      <c r="D170">
        <v>5686.84</v>
      </c>
      <c r="E170">
        <v>1060.59566</v>
      </c>
      <c r="F170" t="s">
        <v>308</v>
      </c>
      <c r="G170" s="2">
        <v>46116.638912037</v>
      </c>
      <c r="H170" t="s">
        <v>17</v>
      </c>
      <c r="I170" t="s">
        <v>18</v>
      </c>
      <c r="K170">
        <v>183750</v>
      </c>
      <c r="M170" s="2">
        <v>46116.638912037</v>
      </c>
    </row>
    <row r="171" spans="1:13" x14ac:dyDescent="0.25">
      <c r="A171" t="s">
        <v>319</v>
      </c>
      <c r="B171" t="s">
        <v>201</v>
      </c>
      <c r="C171" t="s">
        <v>202</v>
      </c>
      <c r="D171">
        <v>8542</v>
      </c>
      <c r="E171">
        <v>1593.0830000000001</v>
      </c>
      <c r="F171" t="s">
        <v>108</v>
      </c>
      <c r="G171" s="2">
        <v>46116.739571759303</v>
      </c>
      <c r="H171" t="s">
        <v>17</v>
      </c>
      <c r="I171" t="s">
        <v>18</v>
      </c>
      <c r="K171">
        <v>893711</v>
      </c>
      <c r="M171" s="2">
        <v>46116.739571759303</v>
      </c>
    </row>
    <row r="172" spans="1:13" x14ac:dyDescent="0.25">
      <c r="A172" t="s">
        <v>320</v>
      </c>
      <c r="B172" t="s">
        <v>201</v>
      </c>
      <c r="C172" t="s">
        <v>202</v>
      </c>
      <c r="D172">
        <v>118.25</v>
      </c>
      <c r="E172">
        <v>22.053625</v>
      </c>
      <c r="F172" t="s">
        <v>207</v>
      </c>
      <c r="G172" s="2">
        <v>46118.038993055598</v>
      </c>
      <c r="H172" t="s">
        <v>17</v>
      </c>
      <c r="I172" t="s">
        <v>18</v>
      </c>
      <c r="K172">
        <v>178931</v>
      </c>
      <c r="M172" s="2">
        <v>46118.038993055598</v>
      </c>
    </row>
    <row r="173" spans="1:13" x14ac:dyDescent="0.25">
      <c r="A173" t="s">
        <v>321</v>
      </c>
      <c r="B173" t="s">
        <v>201</v>
      </c>
      <c r="C173" t="s">
        <v>202</v>
      </c>
      <c r="D173">
        <v>177.009999999999</v>
      </c>
      <c r="E173">
        <v>33.012364999999811</v>
      </c>
      <c r="F173" t="s">
        <v>203</v>
      </c>
      <c r="G173" s="2">
        <v>46119.046087962997</v>
      </c>
      <c r="H173" t="s">
        <v>17</v>
      </c>
      <c r="I173" t="s">
        <v>18</v>
      </c>
      <c r="K173">
        <v>183320</v>
      </c>
      <c r="M173" s="2">
        <v>46119.046087962997</v>
      </c>
    </row>
    <row r="174" spans="1:13" x14ac:dyDescent="0.25">
      <c r="A174" t="s">
        <v>322</v>
      </c>
      <c r="B174" t="s">
        <v>201</v>
      </c>
      <c r="C174" t="s">
        <v>202</v>
      </c>
      <c r="D174">
        <v>1416.89</v>
      </c>
      <c r="E174">
        <v>264.24998500000004</v>
      </c>
      <c r="F174" t="s">
        <v>306</v>
      </c>
      <c r="G174" s="2">
        <v>46119.045671296299</v>
      </c>
      <c r="H174" t="s">
        <v>17</v>
      </c>
      <c r="I174" t="s">
        <v>18</v>
      </c>
      <c r="K174">
        <v>184122</v>
      </c>
      <c r="M174" s="2">
        <v>46119.045671296299</v>
      </c>
    </row>
    <row r="175" spans="1:13" x14ac:dyDescent="0.25">
      <c r="A175" t="s">
        <v>323</v>
      </c>
      <c r="B175" t="s">
        <v>201</v>
      </c>
      <c r="C175" t="s">
        <v>202</v>
      </c>
      <c r="D175">
        <v>4834</v>
      </c>
      <c r="E175">
        <v>901.54099999999994</v>
      </c>
      <c r="F175" t="s">
        <v>70</v>
      </c>
      <c r="G175" s="2">
        <v>46122.823668981502</v>
      </c>
      <c r="H175" t="s">
        <v>17</v>
      </c>
      <c r="I175" t="s">
        <v>18</v>
      </c>
      <c r="M175" s="2">
        <v>46122.823668981502</v>
      </c>
    </row>
    <row r="176" spans="1:13" x14ac:dyDescent="0.25">
      <c r="A176" t="s">
        <v>324</v>
      </c>
      <c r="B176" t="s">
        <v>201</v>
      </c>
      <c r="C176" t="s">
        <v>202</v>
      </c>
      <c r="D176">
        <v>10960</v>
      </c>
      <c r="E176">
        <v>2044.04</v>
      </c>
      <c r="F176" t="s">
        <v>70</v>
      </c>
      <c r="G176" s="2">
        <v>46121.7124652778</v>
      </c>
      <c r="H176" t="s">
        <v>17</v>
      </c>
      <c r="I176" t="s">
        <v>18</v>
      </c>
      <c r="M176" s="2">
        <v>46121.7124652778</v>
      </c>
    </row>
    <row r="177" spans="1:13" x14ac:dyDescent="0.25">
      <c r="A177" t="s">
        <v>325</v>
      </c>
      <c r="B177" t="s">
        <v>201</v>
      </c>
      <c r="C177" t="s">
        <v>202</v>
      </c>
      <c r="D177">
        <v>233.45</v>
      </c>
      <c r="E177">
        <v>43.538424999999997</v>
      </c>
      <c r="F177" t="s">
        <v>207</v>
      </c>
      <c r="G177" s="2">
        <v>46125.786608796298</v>
      </c>
      <c r="H177" t="s">
        <v>17</v>
      </c>
      <c r="I177" t="s">
        <v>18</v>
      </c>
      <c r="K177">
        <v>184734</v>
      </c>
      <c r="M177" s="2">
        <v>46125.786608796298</v>
      </c>
    </row>
    <row r="178" spans="1:13" x14ac:dyDescent="0.25">
      <c r="A178" t="s">
        <v>326</v>
      </c>
      <c r="B178" t="s">
        <v>201</v>
      </c>
      <c r="C178" t="s">
        <v>202</v>
      </c>
      <c r="D178">
        <v>5919.76</v>
      </c>
      <c r="E178">
        <v>1104.0352399999999</v>
      </c>
      <c r="F178" t="s">
        <v>306</v>
      </c>
      <c r="G178" s="2">
        <v>46125.627685185202</v>
      </c>
      <c r="H178" t="s">
        <v>17</v>
      </c>
      <c r="I178" t="s">
        <v>18</v>
      </c>
      <c r="K178">
        <v>184579</v>
      </c>
      <c r="M178" s="2">
        <v>46125.627685185202</v>
      </c>
    </row>
    <row r="179" spans="1:13" x14ac:dyDescent="0.25">
      <c r="A179" t="s">
        <v>327</v>
      </c>
      <c r="B179" t="s">
        <v>201</v>
      </c>
      <c r="C179" t="s">
        <v>202</v>
      </c>
      <c r="D179">
        <v>1539</v>
      </c>
      <c r="E179">
        <v>287.02350000000001</v>
      </c>
      <c r="F179" t="s">
        <v>70</v>
      </c>
      <c r="G179" s="2">
        <v>46127.033935185202</v>
      </c>
      <c r="H179" t="s">
        <v>17</v>
      </c>
      <c r="I179" t="s">
        <v>18</v>
      </c>
      <c r="M179" s="2">
        <v>46127.033935185202</v>
      </c>
    </row>
    <row r="180" spans="1:13" x14ac:dyDescent="0.25">
      <c r="A180" t="s">
        <v>328</v>
      </c>
      <c r="B180" t="s">
        <v>201</v>
      </c>
      <c r="C180" t="s">
        <v>202</v>
      </c>
      <c r="D180">
        <v>4613</v>
      </c>
      <c r="E180">
        <v>860.32449999999994</v>
      </c>
      <c r="F180" t="s">
        <v>203</v>
      </c>
      <c r="G180" s="2">
        <v>46127.355208333298</v>
      </c>
      <c r="H180" t="s">
        <v>17</v>
      </c>
      <c r="I180" t="s">
        <v>18</v>
      </c>
      <c r="K180">
        <v>183751</v>
      </c>
      <c r="M180" s="2">
        <v>46127.355208333298</v>
      </c>
    </row>
    <row r="181" spans="1:13" x14ac:dyDescent="0.25">
      <c r="A181" t="s">
        <v>329</v>
      </c>
      <c r="B181" t="s">
        <v>201</v>
      </c>
      <c r="C181" t="s">
        <v>202</v>
      </c>
      <c r="D181">
        <v>8558</v>
      </c>
      <c r="E181">
        <v>1596.067</v>
      </c>
      <c r="F181" t="s">
        <v>70</v>
      </c>
      <c r="G181" s="2">
        <v>46128.708587963003</v>
      </c>
      <c r="H181" t="s">
        <v>17</v>
      </c>
      <c r="I181" t="s">
        <v>18</v>
      </c>
      <c r="M181" s="2">
        <v>46128.708587963003</v>
      </c>
    </row>
    <row r="182" spans="1:13" x14ac:dyDescent="0.25">
      <c r="A182" t="s">
        <v>330</v>
      </c>
      <c r="B182" t="s">
        <v>201</v>
      </c>
      <c r="C182" t="s">
        <v>202</v>
      </c>
      <c r="D182">
        <v>8580</v>
      </c>
      <c r="E182">
        <v>1600.17</v>
      </c>
      <c r="F182" t="s">
        <v>70</v>
      </c>
      <c r="G182" s="2">
        <v>46129.015231481499</v>
      </c>
      <c r="H182" t="s">
        <v>17</v>
      </c>
      <c r="I182" t="s">
        <v>18</v>
      </c>
      <c r="M182" s="2">
        <v>46129.015231481499</v>
      </c>
    </row>
    <row r="183" spans="1:13" x14ac:dyDescent="0.25">
      <c r="A183" t="s">
        <v>331</v>
      </c>
      <c r="B183" t="s">
        <v>201</v>
      </c>
      <c r="C183" t="s">
        <v>202</v>
      </c>
      <c r="D183">
        <v>8574</v>
      </c>
      <c r="E183">
        <v>1599.0509999999999</v>
      </c>
      <c r="F183" t="s">
        <v>108</v>
      </c>
      <c r="G183" s="2">
        <v>46129.015335648102</v>
      </c>
      <c r="H183" t="s">
        <v>17</v>
      </c>
      <c r="I183" t="s">
        <v>18</v>
      </c>
      <c r="K183">
        <v>893711</v>
      </c>
      <c r="M183" s="2">
        <v>46129.015335648102</v>
      </c>
    </row>
    <row r="184" spans="1:13" x14ac:dyDescent="0.25">
      <c r="A184" t="s">
        <v>332</v>
      </c>
      <c r="B184" t="s">
        <v>201</v>
      </c>
      <c r="C184" t="s">
        <v>202</v>
      </c>
      <c r="D184">
        <v>4981.41</v>
      </c>
      <c r="E184">
        <v>929.03296499999999</v>
      </c>
      <c r="F184" t="s">
        <v>308</v>
      </c>
      <c r="G184" s="2">
        <v>46129.027060185203</v>
      </c>
      <c r="H184" t="s">
        <v>17</v>
      </c>
      <c r="I184" t="s">
        <v>18</v>
      </c>
      <c r="K184">
        <v>183752</v>
      </c>
      <c r="M184" s="2">
        <v>46129.027060185203</v>
      </c>
    </row>
    <row r="185" spans="1:13" x14ac:dyDescent="0.25">
      <c r="A185" t="s">
        <v>333</v>
      </c>
      <c r="B185" t="s">
        <v>201</v>
      </c>
      <c r="C185" t="s">
        <v>202</v>
      </c>
      <c r="D185">
        <v>623.96</v>
      </c>
      <c r="E185">
        <v>116.36854000000001</v>
      </c>
      <c r="F185" t="s">
        <v>270</v>
      </c>
      <c r="G185" s="2">
        <v>46129.709131944401</v>
      </c>
      <c r="H185" t="s">
        <v>17</v>
      </c>
      <c r="I185" t="s">
        <v>18</v>
      </c>
      <c r="K185">
        <v>185050</v>
      </c>
      <c r="M185" s="2">
        <v>46129.709131944401</v>
      </c>
    </row>
    <row r="186" spans="1:13" x14ac:dyDescent="0.25">
      <c r="A186" t="s">
        <v>334</v>
      </c>
      <c r="B186" t="s">
        <v>201</v>
      </c>
      <c r="C186" t="s">
        <v>202</v>
      </c>
      <c r="D186">
        <v>6958</v>
      </c>
      <c r="E186">
        <v>1297.6669999999999</v>
      </c>
      <c r="F186" t="s">
        <v>70</v>
      </c>
      <c r="G186" s="2">
        <v>46129.709583333301</v>
      </c>
      <c r="H186" t="s">
        <v>17</v>
      </c>
      <c r="I186" t="s">
        <v>18</v>
      </c>
      <c r="M186" s="2">
        <v>46129.709583333301</v>
      </c>
    </row>
    <row r="187" spans="1:13" x14ac:dyDescent="0.25">
      <c r="A187" t="s">
        <v>335</v>
      </c>
      <c r="B187" t="s">
        <v>201</v>
      </c>
      <c r="C187" t="s">
        <v>202</v>
      </c>
      <c r="D187">
        <v>8547</v>
      </c>
      <c r="E187">
        <v>1594.0155</v>
      </c>
      <c r="F187" t="s">
        <v>70</v>
      </c>
      <c r="G187" s="2">
        <v>46130.475277777798</v>
      </c>
      <c r="H187" t="s">
        <v>17</v>
      </c>
      <c r="I187" t="s">
        <v>18</v>
      </c>
      <c r="M187" s="2">
        <v>46130.475277777798</v>
      </c>
    </row>
    <row r="188" spans="1:13" x14ac:dyDescent="0.25">
      <c r="A188" t="s">
        <v>336</v>
      </c>
      <c r="B188" t="s">
        <v>201</v>
      </c>
      <c r="C188" t="s">
        <v>202</v>
      </c>
      <c r="D188">
        <v>8510</v>
      </c>
      <c r="E188">
        <v>1587.115</v>
      </c>
      <c r="F188" t="s">
        <v>70</v>
      </c>
      <c r="G188" s="2">
        <v>46132.419687499998</v>
      </c>
      <c r="H188" t="s">
        <v>17</v>
      </c>
      <c r="I188" t="s">
        <v>18</v>
      </c>
      <c r="M188" s="2">
        <v>46132.419687499998</v>
      </c>
    </row>
    <row r="189" spans="1:13" x14ac:dyDescent="0.25">
      <c r="A189" t="s">
        <v>337</v>
      </c>
      <c r="B189" t="s">
        <v>201</v>
      </c>
      <c r="C189" t="s">
        <v>202</v>
      </c>
      <c r="D189">
        <v>156.93</v>
      </c>
      <c r="E189">
        <v>29.267445000000002</v>
      </c>
      <c r="F189" t="s">
        <v>306</v>
      </c>
      <c r="G189" s="2">
        <v>46133.377303240697</v>
      </c>
      <c r="H189" t="s">
        <v>17</v>
      </c>
      <c r="I189" t="s">
        <v>18</v>
      </c>
      <c r="K189">
        <v>183752</v>
      </c>
      <c r="M189" s="2">
        <v>46133.377303240697</v>
      </c>
    </row>
    <row r="190" spans="1:13" x14ac:dyDescent="0.25">
      <c r="A190" t="s">
        <v>338</v>
      </c>
      <c r="B190" t="s">
        <v>201</v>
      </c>
      <c r="C190" t="s">
        <v>202</v>
      </c>
      <c r="D190">
        <v>436.58</v>
      </c>
      <c r="E190">
        <v>81.422169999999994</v>
      </c>
      <c r="F190" t="s">
        <v>270</v>
      </c>
      <c r="G190" s="2">
        <v>46133.698078703703</v>
      </c>
      <c r="H190" t="s">
        <v>17</v>
      </c>
      <c r="I190" t="s">
        <v>18</v>
      </c>
      <c r="K190">
        <v>185281</v>
      </c>
      <c r="M190" s="2">
        <v>46133.698078703703</v>
      </c>
    </row>
    <row r="191" spans="1:13" x14ac:dyDescent="0.25">
      <c r="A191" t="s">
        <v>339</v>
      </c>
      <c r="B191" t="s">
        <v>201</v>
      </c>
      <c r="C191" t="s">
        <v>202</v>
      </c>
      <c r="D191">
        <v>281.49</v>
      </c>
      <c r="E191">
        <v>52.497885000000004</v>
      </c>
      <c r="F191" t="s">
        <v>270</v>
      </c>
      <c r="G191" s="2">
        <v>46133.714039351798</v>
      </c>
      <c r="H191" t="s">
        <v>17</v>
      </c>
      <c r="I191" t="s">
        <v>18</v>
      </c>
      <c r="K191">
        <v>185707</v>
      </c>
      <c r="M191" s="2">
        <v>46133.714039351798</v>
      </c>
    </row>
    <row r="192" spans="1:13" x14ac:dyDescent="0.25">
      <c r="A192" t="s">
        <v>340</v>
      </c>
      <c r="B192" t="s">
        <v>201</v>
      </c>
      <c r="C192" t="s">
        <v>202</v>
      </c>
      <c r="D192">
        <v>6738</v>
      </c>
      <c r="E192">
        <v>1256.6369999999999</v>
      </c>
      <c r="F192" t="s">
        <v>70</v>
      </c>
      <c r="G192" s="2">
        <v>46140.051365740699</v>
      </c>
      <c r="H192" t="s">
        <v>17</v>
      </c>
      <c r="I192" t="s">
        <v>18</v>
      </c>
      <c r="M192" s="2">
        <v>46140.051365740699</v>
      </c>
    </row>
    <row r="193" spans="1:13" x14ac:dyDescent="0.25">
      <c r="A193" t="s">
        <v>341</v>
      </c>
      <c r="B193" t="s">
        <v>201</v>
      </c>
      <c r="C193" t="s">
        <v>202</v>
      </c>
      <c r="D193">
        <v>879.66000000000099</v>
      </c>
      <c r="E193">
        <v>164.05659000000017</v>
      </c>
      <c r="F193" t="s">
        <v>308</v>
      </c>
      <c r="G193" s="2">
        <v>46137.690787036998</v>
      </c>
      <c r="H193" t="s">
        <v>17</v>
      </c>
      <c r="I193" t="s">
        <v>18</v>
      </c>
      <c r="K193">
        <v>183750</v>
      </c>
      <c r="M193" s="2">
        <v>46137.690787036998</v>
      </c>
    </row>
    <row r="194" spans="1:13" x14ac:dyDescent="0.25">
      <c r="A194" t="s">
        <v>342</v>
      </c>
      <c r="B194" t="s">
        <v>201</v>
      </c>
      <c r="C194" t="s">
        <v>202</v>
      </c>
      <c r="D194">
        <v>268.42</v>
      </c>
      <c r="E194">
        <v>50.06033</v>
      </c>
      <c r="F194" t="s">
        <v>207</v>
      </c>
      <c r="G194" s="2">
        <v>46115.027627314797</v>
      </c>
      <c r="H194" t="s">
        <v>17</v>
      </c>
      <c r="I194" t="s">
        <v>18</v>
      </c>
      <c r="K194">
        <v>181414</v>
      </c>
      <c r="M194" s="2">
        <v>46115.027627314797</v>
      </c>
    </row>
    <row r="195" spans="1:13" x14ac:dyDescent="0.25">
      <c r="A195" t="s">
        <v>343</v>
      </c>
      <c r="B195" t="s">
        <v>201</v>
      </c>
      <c r="C195" t="s">
        <v>202</v>
      </c>
      <c r="D195">
        <v>3070</v>
      </c>
      <c r="E195">
        <v>572.55499999999995</v>
      </c>
      <c r="F195" t="s">
        <v>308</v>
      </c>
      <c r="G195" s="2">
        <v>46136.077164351896</v>
      </c>
      <c r="H195" t="s">
        <v>17</v>
      </c>
      <c r="I195" t="s">
        <v>18</v>
      </c>
      <c r="K195">
        <v>184807</v>
      </c>
      <c r="M195" s="2">
        <v>46136.077164351896</v>
      </c>
    </row>
    <row r="196" spans="1:13" x14ac:dyDescent="0.25">
      <c r="A196" t="s">
        <v>344</v>
      </c>
      <c r="B196" t="s">
        <v>205</v>
      </c>
      <c r="C196" t="s">
        <v>206</v>
      </c>
      <c r="D196">
        <v>1111</v>
      </c>
      <c r="E196">
        <v>207.20150000000001</v>
      </c>
      <c r="F196" t="s">
        <v>203</v>
      </c>
      <c r="G196" s="2">
        <v>46126.401226851798</v>
      </c>
      <c r="H196" t="s">
        <v>17</v>
      </c>
      <c r="I196" t="s">
        <v>18</v>
      </c>
      <c r="K196">
        <v>184806</v>
      </c>
      <c r="M196" s="2">
        <v>46126.401226851798</v>
      </c>
    </row>
    <row r="197" spans="1:13" x14ac:dyDescent="0.25">
      <c r="A197" t="s">
        <v>345</v>
      </c>
      <c r="B197" t="s">
        <v>205</v>
      </c>
      <c r="C197" t="s">
        <v>206</v>
      </c>
      <c r="D197">
        <v>2267.7199999999998</v>
      </c>
      <c r="E197">
        <v>422.92977999999994</v>
      </c>
      <c r="F197" t="s">
        <v>203</v>
      </c>
      <c r="G197" s="2">
        <v>46119.774432870399</v>
      </c>
      <c r="H197" t="s">
        <v>17</v>
      </c>
      <c r="I197" t="s">
        <v>18</v>
      </c>
      <c r="K197">
        <v>183535</v>
      </c>
      <c r="M197" s="2">
        <v>46119.774432870399</v>
      </c>
    </row>
    <row r="198" spans="1:13" x14ac:dyDescent="0.25">
      <c r="A198" t="s">
        <v>346</v>
      </c>
      <c r="B198" t="s">
        <v>205</v>
      </c>
      <c r="C198" t="s">
        <v>206</v>
      </c>
      <c r="D198">
        <v>8687</v>
      </c>
      <c r="E198">
        <v>1620.1255000000001</v>
      </c>
      <c r="F198" t="s">
        <v>108</v>
      </c>
      <c r="G198" s="2">
        <v>46134.210763888899</v>
      </c>
      <c r="H198" t="s">
        <v>17</v>
      </c>
      <c r="I198" t="s">
        <v>18</v>
      </c>
      <c r="K198">
        <v>893712</v>
      </c>
      <c r="M198" s="2">
        <v>46134.210763888899</v>
      </c>
    </row>
    <row r="199" spans="1:13" x14ac:dyDescent="0.25">
      <c r="A199" t="s">
        <v>347</v>
      </c>
      <c r="B199" t="s">
        <v>205</v>
      </c>
      <c r="C199" t="s">
        <v>206</v>
      </c>
      <c r="D199">
        <v>663.51</v>
      </c>
      <c r="E199">
        <v>123.744615</v>
      </c>
      <c r="F199" t="s">
        <v>203</v>
      </c>
      <c r="G199" s="2">
        <v>46137.7214467593</v>
      </c>
      <c r="H199" t="s">
        <v>17</v>
      </c>
      <c r="I199" t="s">
        <v>18</v>
      </c>
      <c r="K199">
        <v>185458</v>
      </c>
      <c r="M199" s="2">
        <v>46137.7214467593</v>
      </c>
    </row>
    <row r="200" spans="1:13" x14ac:dyDescent="0.25">
      <c r="A200" t="s">
        <v>348</v>
      </c>
      <c r="B200" t="s">
        <v>349</v>
      </c>
      <c r="C200" t="s">
        <v>350</v>
      </c>
      <c r="D200">
        <v>229.58</v>
      </c>
      <c r="E200">
        <v>362.36907200000002</v>
      </c>
      <c r="F200" t="s">
        <v>226</v>
      </c>
      <c r="G200" s="2">
        <v>46119.7136342593</v>
      </c>
      <c r="H200" t="s">
        <v>17</v>
      </c>
      <c r="I200" t="s">
        <v>18</v>
      </c>
      <c r="K200">
        <v>183766</v>
      </c>
      <c r="M200" s="2">
        <v>46119.7136342593</v>
      </c>
    </row>
    <row r="201" spans="1:13" x14ac:dyDescent="0.25">
      <c r="A201" t="s">
        <v>351</v>
      </c>
      <c r="B201" t="s">
        <v>352</v>
      </c>
      <c r="C201" t="s">
        <v>353</v>
      </c>
      <c r="D201">
        <v>52.459999999999901</v>
      </c>
      <c r="E201">
        <v>39.140405999999928</v>
      </c>
      <c r="F201" t="s">
        <v>226</v>
      </c>
      <c r="G201" s="2">
        <v>46115.626898148097</v>
      </c>
      <c r="H201" t="s">
        <v>17</v>
      </c>
      <c r="I201" t="s">
        <v>18</v>
      </c>
      <c r="K201">
        <v>183767</v>
      </c>
      <c r="M201" s="2">
        <v>46115.626898148097</v>
      </c>
    </row>
    <row r="202" spans="1:13" x14ac:dyDescent="0.25">
      <c r="A202" t="s">
        <v>354</v>
      </c>
      <c r="B202" t="s">
        <v>355</v>
      </c>
      <c r="C202" t="s">
        <v>356</v>
      </c>
      <c r="D202">
        <v>914.60529411764901</v>
      </c>
      <c r="E202">
        <v>24.87726400000005</v>
      </c>
      <c r="F202" t="s">
        <v>357</v>
      </c>
      <c r="G202" s="2">
        <v>46113.378136574102</v>
      </c>
      <c r="H202" t="s">
        <v>17</v>
      </c>
      <c r="I202" t="s">
        <v>18</v>
      </c>
      <c r="K202">
        <v>183256</v>
      </c>
      <c r="L202" t="s">
        <v>19</v>
      </c>
      <c r="M202" s="2">
        <v>46113.378136574102</v>
      </c>
    </row>
    <row r="203" spans="1:13" x14ac:dyDescent="0.25">
      <c r="A203" t="s">
        <v>358</v>
      </c>
      <c r="B203" t="s">
        <v>359</v>
      </c>
      <c r="C203" t="s">
        <v>360</v>
      </c>
      <c r="D203">
        <v>501.94999999999601</v>
      </c>
      <c r="E203">
        <v>20.931314999999834</v>
      </c>
      <c r="F203" t="s">
        <v>121</v>
      </c>
      <c r="G203" s="2">
        <v>46132.788113425901</v>
      </c>
      <c r="H203" t="s">
        <v>17</v>
      </c>
      <c r="I203" t="s">
        <v>18</v>
      </c>
      <c r="K203">
        <v>185685</v>
      </c>
      <c r="L203" t="s">
        <v>19</v>
      </c>
      <c r="M203" s="2">
        <v>46132.788113425901</v>
      </c>
    </row>
    <row r="204" spans="1:13" x14ac:dyDescent="0.25">
      <c r="A204" t="s">
        <v>361</v>
      </c>
      <c r="B204" t="s">
        <v>362</v>
      </c>
      <c r="C204" t="s">
        <v>363</v>
      </c>
      <c r="D204">
        <v>5726.7410071941995</v>
      </c>
      <c r="E204">
        <v>79.601699999999369</v>
      </c>
      <c r="F204" t="s">
        <v>70</v>
      </c>
      <c r="G204" s="2">
        <v>46116.147800925901</v>
      </c>
      <c r="H204" t="s">
        <v>17</v>
      </c>
      <c r="I204" t="s">
        <v>18</v>
      </c>
      <c r="L204" t="s">
        <v>172</v>
      </c>
      <c r="M204" s="2">
        <v>46116.147800925901</v>
      </c>
    </row>
    <row r="205" spans="1:13" x14ac:dyDescent="0.25">
      <c r="A205" t="s">
        <v>364</v>
      </c>
      <c r="B205" t="s">
        <v>365</v>
      </c>
      <c r="C205" t="s">
        <v>366</v>
      </c>
      <c r="D205">
        <v>2428.2970376301018</v>
      </c>
      <c r="E205">
        <v>303.29429999999974</v>
      </c>
      <c r="F205" t="s">
        <v>70</v>
      </c>
      <c r="G205" s="2">
        <v>46118.038136574098</v>
      </c>
      <c r="H205" t="s">
        <v>17</v>
      </c>
      <c r="I205" t="s">
        <v>18</v>
      </c>
      <c r="L205" t="s">
        <v>172</v>
      </c>
      <c r="M205" s="2">
        <v>46118.038136574098</v>
      </c>
    </row>
    <row r="206" spans="1:13" x14ac:dyDescent="0.25">
      <c r="A206" t="s">
        <v>367</v>
      </c>
      <c r="B206" t="s">
        <v>368</v>
      </c>
      <c r="C206" t="s">
        <v>369</v>
      </c>
      <c r="D206">
        <v>5252</v>
      </c>
      <c r="E206">
        <v>202.202</v>
      </c>
      <c r="F206" t="s">
        <v>70</v>
      </c>
      <c r="G206" s="2">
        <v>46121.716018518498</v>
      </c>
      <c r="H206" t="s">
        <v>17</v>
      </c>
      <c r="I206" t="s">
        <v>18</v>
      </c>
      <c r="L206" t="s">
        <v>172</v>
      </c>
      <c r="M206" s="2">
        <v>46121.716018518498</v>
      </c>
    </row>
    <row r="207" spans="1:13" x14ac:dyDescent="0.25">
      <c r="A207" t="s">
        <v>364</v>
      </c>
      <c r="B207" t="s">
        <v>370</v>
      </c>
      <c r="C207" t="s">
        <v>371</v>
      </c>
      <c r="D207">
        <v>1547</v>
      </c>
      <c r="E207">
        <v>116.9532</v>
      </c>
      <c r="F207" t="s">
        <v>70</v>
      </c>
      <c r="G207" s="2">
        <v>46124.292939814797</v>
      </c>
      <c r="H207" t="s">
        <v>17</v>
      </c>
      <c r="I207" t="s">
        <v>18</v>
      </c>
      <c r="L207" t="s">
        <v>172</v>
      </c>
      <c r="M207" s="2">
        <v>46124.292939814797</v>
      </c>
    </row>
    <row r="208" spans="1:13" x14ac:dyDescent="0.25">
      <c r="A208" t="s">
        <v>372</v>
      </c>
      <c r="B208" t="s">
        <v>373</v>
      </c>
      <c r="C208" t="s">
        <v>374</v>
      </c>
      <c r="D208">
        <v>1525</v>
      </c>
      <c r="E208">
        <v>37.667499999999997</v>
      </c>
      <c r="F208" t="s">
        <v>70</v>
      </c>
      <c r="G208" s="2">
        <v>46124.549189814803</v>
      </c>
      <c r="H208" t="s">
        <v>17</v>
      </c>
      <c r="I208" t="s">
        <v>18</v>
      </c>
      <c r="L208" t="s">
        <v>172</v>
      </c>
      <c r="M208" s="2">
        <v>46124.549189814803</v>
      </c>
    </row>
    <row r="209" spans="1:13" x14ac:dyDescent="0.25">
      <c r="A209" t="s">
        <v>375</v>
      </c>
      <c r="B209" t="s">
        <v>376</v>
      </c>
      <c r="C209" t="s">
        <v>61</v>
      </c>
      <c r="D209">
        <v>5277</v>
      </c>
      <c r="E209">
        <v>255.4068</v>
      </c>
      <c r="F209" t="s">
        <v>70</v>
      </c>
      <c r="G209" s="2">
        <v>46124.778171296297</v>
      </c>
      <c r="H209" t="s">
        <v>17</v>
      </c>
      <c r="I209" t="s">
        <v>18</v>
      </c>
      <c r="L209" t="s">
        <v>172</v>
      </c>
      <c r="M209" s="2">
        <v>46124.778171296297</v>
      </c>
    </row>
    <row r="210" spans="1:13" x14ac:dyDescent="0.25">
      <c r="A210" t="s">
        <v>377</v>
      </c>
      <c r="B210" t="s">
        <v>378</v>
      </c>
      <c r="C210" t="s">
        <v>379</v>
      </c>
      <c r="D210">
        <v>3341</v>
      </c>
      <c r="E210">
        <v>211.15120000000002</v>
      </c>
      <c r="F210" t="s">
        <v>70</v>
      </c>
      <c r="G210" s="2">
        <v>46126.320590277799</v>
      </c>
      <c r="H210" t="s">
        <v>17</v>
      </c>
      <c r="I210" t="s">
        <v>18</v>
      </c>
      <c r="L210" t="s">
        <v>172</v>
      </c>
      <c r="M210" s="2">
        <v>46126.320590277799</v>
      </c>
    </row>
    <row r="211" spans="1:13" x14ac:dyDescent="0.25">
      <c r="A211" t="s">
        <v>380</v>
      </c>
      <c r="B211" t="s">
        <v>378</v>
      </c>
      <c r="C211" t="s">
        <v>379</v>
      </c>
      <c r="D211">
        <v>9942</v>
      </c>
      <c r="E211">
        <v>628.33440000000007</v>
      </c>
      <c r="F211" t="s">
        <v>70</v>
      </c>
      <c r="G211" s="2">
        <v>46126.641064814801</v>
      </c>
      <c r="H211" t="s">
        <v>17</v>
      </c>
      <c r="I211" t="s">
        <v>18</v>
      </c>
      <c r="L211" t="s">
        <v>172</v>
      </c>
      <c r="M211" s="2">
        <v>46126.641064814801</v>
      </c>
    </row>
    <row r="212" spans="1:13" x14ac:dyDescent="0.25">
      <c r="A212" t="s">
        <v>367</v>
      </c>
      <c r="B212" t="s">
        <v>381</v>
      </c>
      <c r="C212" t="s">
        <v>110</v>
      </c>
      <c r="D212">
        <v>9272</v>
      </c>
      <c r="E212">
        <v>448.76479999999998</v>
      </c>
      <c r="F212" t="s">
        <v>70</v>
      </c>
      <c r="G212" s="2">
        <v>46127.093425925901</v>
      </c>
      <c r="H212" t="s">
        <v>17</v>
      </c>
      <c r="I212" t="s">
        <v>18</v>
      </c>
      <c r="L212" t="s">
        <v>172</v>
      </c>
      <c r="M212" s="2">
        <v>46127.093425925901</v>
      </c>
    </row>
    <row r="213" spans="1:13" x14ac:dyDescent="0.25">
      <c r="A213" t="s">
        <v>382</v>
      </c>
      <c r="B213" t="s">
        <v>383</v>
      </c>
      <c r="C213" t="s">
        <v>384</v>
      </c>
      <c r="D213">
        <v>1603</v>
      </c>
      <c r="E213">
        <v>247.18260000000001</v>
      </c>
      <c r="F213" t="s">
        <v>70</v>
      </c>
      <c r="G213" s="2">
        <v>46128.907210648104</v>
      </c>
      <c r="H213" t="s">
        <v>17</v>
      </c>
      <c r="I213" t="s">
        <v>18</v>
      </c>
      <c r="L213" t="s">
        <v>172</v>
      </c>
      <c r="M213" s="2">
        <v>46128.907210648104</v>
      </c>
    </row>
    <row r="214" spans="1:13" x14ac:dyDescent="0.25">
      <c r="A214" t="s">
        <v>182</v>
      </c>
      <c r="B214" t="s">
        <v>385</v>
      </c>
      <c r="C214" t="s">
        <v>386</v>
      </c>
      <c r="D214">
        <v>1177.9887640450033</v>
      </c>
      <c r="E214">
        <v>41.936400000002116</v>
      </c>
      <c r="F214" t="s">
        <v>70</v>
      </c>
      <c r="G214" s="2">
        <v>46129.601168981499</v>
      </c>
      <c r="H214" t="s">
        <v>17</v>
      </c>
      <c r="I214" t="s">
        <v>18</v>
      </c>
      <c r="L214" t="s">
        <v>172</v>
      </c>
      <c r="M214" s="2">
        <v>46129.601168981499</v>
      </c>
    </row>
    <row r="215" spans="1:13" x14ac:dyDescent="0.25">
      <c r="A215" t="s">
        <v>387</v>
      </c>
      <c r="B215" t="s">
        <v>388</v>
      </c>
      <c r="C215" t="s">
        <v>389</v>
      </c>
      <c r="D215">
        <v>3787</v>
      </c>
      <c r="E215">
        <v>956.21749999999997</v>
      </c>
      <c r="F215" t="s">
        <v>70</v>
      </c>
      <c r="G215" s="2">
        <v>46133.246539351901</v>
      </c>
      <c r="H215" t="s">
        <v>17</v>
      </c>
      <c r="I215" t="s">
        <v>18</v>
      </c>
      <c r="L215" t="s">
        <v>172</v>
      </c>
      <c r="M215" s="2">
        <v>46133.246539351901</v>
      </c>
    </row>
    <row r="216" spans="1:13" x14ac:dyDescent="0.25">
      <c r="A216" t="s">
        <v>382</v>
      </c>
      <c r="B216" t="s">
        <v>390</v>
      </c>
      <c r="C216" t="s">
        <v>391</v>
      </c>
      <c r="D216">
        <v>2655</v>
      </c>
      <c r="E216">
        <v>147.35249999999999</v>
      </c>
      <c r="F216" t="s">
        <v>70</v>
      </c>
      <c r="G216" s="2">
        <v>46133.501111111102</v>
      </c>
      <c r="H216" t="s">
        <v>17</v>
      </c>
      <c r="I216" t="s">
        <v>18</v>
      </c>
      <c r="L216" t="s">
        <v>172</v>
      </c>
      <c r="M216" s="2">
        <v>46133.501111111102</v>
      </c>
    </row>
    <row r="217" spans="1:13" x14ac:dyDescent="0.25">
      <c r="A217" t="s">
        <v>382</v>
      </c>
      <c r="B217" t="s">
        <v>392</v>
      </c>
      <c r="C217" t="s">
        <v>393</v>
      </c>
      <c r="D217">
        <v>12882</v>
      </c>
      <c r="E217">
        <v>714.95100000000002</v>
      </c>
      <c r="F217" t="s">
        <v>70</v>
      </c>
      <c r="G217" s="2">
        <v>46135.7400694444</v>
      </c>
      <c r="H217" t="s">
        <v>17</v>
      </c>
      <c r="I217" t="s">
        <v>18</v>
      </c>
      <c r="L217" t="s">
        <v>172</v>
      </c>
      <c r="M217" s="2">
        <v>46135.7400694444</v>
      </c>
    </row>
    <row r="218" spans="1:13" x14ac:dyDescent="0.25">
      <c r="A218" t="s">
        <v>372</v>
      </c>
      <c r="B218" t="s">
        <v>394</v>
      </c>
      <c r="C218" t="s">
        <v>395</v>
      </c>
      <c r="D218">
        <v>2489</v>
      </c>
      <c r="E218">
        <v>56.749200000000002</v>
      </c>
      <c r="F218" t="s">
        <v>70</v>
      </c>
      <c r="G218" s="2">
        <v>46135.926377314798</v>
      </c>
      <c r="H218" t="s">
        <v>17</v>
      </c>
      <c r="I218" t="s">
        <v>18</v>
      </c>
      <c r="L218" t="s">
        <v>172</v>
      </c>
      <c r="M218" s="2">
        <v>46135.926377314798</v>
      </c>
    </row>
    <row r="219" spans="1:13" x14ac:dyDescent="0.25">
      <c r="A219" t="s">
        <v>396</v>
      </c>
      <c r="B219" t="s">
        <v>397</v>
      </c>
      <c r="C219" t="s">
        <v>398</v>
      </c>
      <c r="D219">
        <v>13597</v>
      </c>
      <c r="E219">
        <v>406.55029999999999</v>
      </c>
      <c r="F219" t="s">
        <v>70</v>
      </c>
      <c r="G219" s="2">
        <v>46139.512106481503</v>
      </c>
      <c r="H219" t="s">
        <v>17</v>
      </c>
      <c r="I219" t="s">
        <v>18</v>
      </c>
      <c r="L219" t="s">
        <v>172</v>
      </c>
      <c r="M219" s="2">
        <v>46139.512106481503</v>
      </c>
    </row>
    <row r="220" spans="1:13" x14ac:dyDescent="0.25">
      <c r="A220" t="s">
        <v>399</v>
      </c>
      <c r="B220" t="s">
        <v>368</v>
      </c>
      <c r="C220" t="s">
        <v>369</v>
      </c>
      <c r="D220">
        <v>9324</v>
      </c>
      <c r="E220">
        <v>358.97399999999999</v>
      </c>
      <c r="F220" t="s">
        <v>70</v>
      </c>
      <c r="G220" s="2">
        <v>46139.673009259299</v>
      </c>
      <c r="H220" t="s">
        <v>17</v>
      </c>
      <c r="I220" t="s">
        <v>18</v>
      </c>
      <c r="L220" t="s">
        <v>172</v>
      </c>
      <c r="M220" s="2">
        <v>46139.673009259299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2026-04-02T07:56:42Z</dcterms:created>
  <dcterms:modified xsi:type="dcterms:W3CDTF">2026-04-30T11:59:19Z</dcterms:modified>
</cp:coreProperties>
</file>