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13_ncr:1_{FF7F4574-C3C4-47D0-BE81-2D1D5A6E0BE3}" xr6:coauthVersionLast="47" xr6:coauthVersionMax="47" xr10:uidLastSave="{00000000-0000-0000-0000-000000000000}"/>
  <bookViews>
    <workbookView xWindow="-120" yWindow="-120" windowWidth="29040" windowHeight="15720" xr2:uid="{8FA9AADE-0AF1-42A7-AB4A-1A5F3041D90E}"/>
  </bookViews>
  <sheets>
    <sheet name="Günlük Ortalama Üretim" sheetId="1" r:id="rId1"/>
  </sheets>
  <definedNames>
    <definedName name="_xlnm._FilterDatabase" localSheetId="0">'Günlük Ortalama Üretim'!$A$2:$CM$63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8" i="1" l="1"/>
  <c r="O138" i="1"/>
  <c r="P138" i="1"/>
  <c r="Q138" i="1" s="1"/>
  <c r="S138" i="1"/>
  <c r="N139" i="1"/>
  <c r="O139" i="1"/>
  <c r="P139" i="1"/>
  <c r="Q139" i="1" s="1"/>
  <c r="S139" i="1"/>
  <c r="S137" i="1"/>
  <c r="P137" i="1"/>
  <c r="R137" i="1" s="1"/>
  <c r="O137" i="1"/>
  <c r="N137" i="1"/>
  <c r="N68" i="1"/>
  <c r="O68" i="1"/>
  <c r="P68" i="1"/>
  <c r="Q68" i="1" s="1"/>
  <c r="S68" i="1"/>
  <c r="N69" i="1"/>
  <c r="O69" i="1"/>
  <c r="P69" i="1"/>
  <c r="R69" i="1" s="1"/>
  <c r="S69" i="1"/>
  <c r="N70" i="1"/>
  <c r="O70" i="1"/>
  <c r="P70" i="1"/>
  <c r="R70" i="1" s="1"/>
  <c r="S70" i="1"/>
  <c r="N71" i="1"/>
  <c r="O71" i="1"/>
  <c r="P71" i="1"/>
  <c r="Q71" i="1" s="1"/>
  <c r="S71" i="1"/>
  <c r="N72" i="1"/>
  <c r="O72" i="1"/>
  <c r="P72" i="1"/>
  <c r="Q72" i="1" s="1"/>
  <c r="S72" i="1"/>
  <c r="N73" i="1"/>
  <c r="O73" i="1"/>
  <c r="P73" i="1"/>
  <c r="Q73" i="1" s="1"/>
  <c r="S73" i="1"/>
  <c r="N74" i="1"/>
  <c r="O74" i="1"/>
  <c r="P74" i="1"/>
  <c r="R74" i="1" s="1"/>
  <c r="S74" i="1"/>
  <c r="N75" i="1"/>
  <c r="O75" i="1"/>
  <c r="P75" i="1"/>
  <c r="Q75" i="1" s="1"/>
  <c r="S75" i="1"/>
  <c r="N76" i="1"/>
  <c r="O76" i="1"/>
  <c r="P76" i="1"/>
  <c r="Q76" i="1" s="1"/>
  <c r="S76" i="1"/>
  <c r="N77" i="1"/>
  <c r="O77" i="1"/>
  <c r="P77" i="1"/>
  <c r="Q77" i="1" s="1"/>
  <c r="S77" i="1"/>
  <c r="N78" i="1"/>
  <c r="O78" i="1"/>
  <c r="P78" i="1"/>
  <c r="R78" i="1" s="1"/>
  <c r="Q78" i="1"/>
  <c r="S78" i="1"/>
  <c r="N79" i="1"/>
  <c r="O79" i="1"/>
  <c r="P79" i="1"/>
  <c r="Q79" i="1" s="1"/>
  <c r="S79" i="1"/>
  <c r="N80" i="1"/>
  <c r="O80" i="1"/>
  <c r="P80" i="1"/>
  <c r="Q80" i="1" s="1"/>
  <c r="S80" i="1"/>
  <c r="N81" i="1"/>
  <c r="O81" i="1"/>
  <c r="P81" i="1"/>
  <c r="Q81" i="1" s="1"/>
  <c r="S81" i="1"/>
  <c r="N82" i="1"/>
  <c r="O82" i="1"/>
  <c r="P82" i="1"/>
  <c r="R82" i="1" s="1"/>
  <c r="S82" i="1"/>
  <c r="N83" i="1"/>
  <c r="O83" i="1"/>
  <c r="P83" i="1"/>
  <c r="Q83" i="1" s="1"/>
  <c r="S83" i="1"/>
  <c r="N84" i="1"/>
  <c r="O84" i="1"/>
  <c r="P84" i="1"/>
  <c r="Q84" i="1" s="1"/>
  <c r="S84" i="1"/>
  <c r="N85" i="1"/>
  <c r="O85" i="1"/>
  <c r="P85" i="1"/>
  <c r="Q85" i="1" s="1"/>
  <c r="S85" i="1"/>
  <c r="N86" i="1"/>
  <c r="O86" i="1"/>
  <c r="P86" i="1"/>
  <c r="R86" i="1" s="1"/>
  <c r="S86" i="1"/>
  <c r="N87" i="1"/>
  <c r="O87" i="1"/>
  <c r="P87" i="1"/>
  <c r="Q87" i="1" s="1"/>
  <c r="S87" i="1"/>
  <c r="N88" i="1"/>
  <c r="O88" i="1"/>
  <c r="P88" i="1"/>
  <c r="Q88" i="1" s="1"/>
  <c r="S88" i="1"/>
  <c r="N89" i="1"/>
  <c r="O89" i="1"/>
  <c r="P89" i="1"/>
  <c r="Q89" i="1" s="1"/>
  <c r="S89" i="1"/>
  <c r="N90" i="1"/>
  <c r="O90" i="1"/>
  <c r="P90" i="1"/>
  <c r="R90" i="1" s="1"/>
  <c r="S90" i="1"/>
  <c r="N91" i="1"/>
  <c r="O91" i="1"/>
  <c r="P91" i="1"/>
  <c r="Q91" i="1" s="1"/>
  <c r="S91" i="1"/>
  <c r="N92" i="1"/>
  <c r="O92" i="1"/>
  <c r="P92" i="1"/>
  <c r="Q92" i="1" s="1"/>
  <c r="S92" i="1"/>
  <c r="N93" i="1"/>
  <c r="O93" i="1"/>
  <c r="P93" i="1"/>
  <c r="Q93" i="1" s="1"/>
  <c r="S93" i="1"/>
  <c r="N94" i="1"/>
  <c r="O94" i="1"/>
  <c r="P94" i="1"/>
  <c r="R94" i="1" s="1"/>
  <c r="S94" i="1"/>
  <c r="N95" i="1"/>
  <c r="O95" i="1"/>
  <c r="P95" i="1"/>
  <c r="Q95" i="1" s="1"/>
  <c r="R95" i="1"/>
  <c r="S95" i="1"/>
  <c r="N96" i="1"/>
  <c r="O96" i="1"/>
  <c r="P96" i="1"/>
  <c r="Q96" i="1" s="1"/>
  <c r="S96" i="1"/>
  <c r="N97" i="1"/>
  <c r="O97" i="1"/>
  <c r="P97" i="1"/>
  <c r="Q97" i="1" s="1"/>
  <c r="S97" i="1"/>
  <c r="N98" i="1"/>
  <c r="O98" i="1"/>
  <c r="P98" i="1"/>
  <c r="R98" i="1" s="1"/>
  <c r="Q98" i="1"/>
  <c r="S98" i="1"/>
  <c r="N99" i="1"/>
  <c r="O99" i="1"/>
  <c r="P99" i="1"/>
  <c r="Q99" i="1" s="1"/>
  <c r="S99" i="1"/>
  <c r="N100" i="1"/>
  <c r="O100" i="1"/>
  <c r="P100" i="1"/>
  <c r="Q100" i="1" s="1"/>
  <c r="S100" i="1"/>
  <c r="N101" i="1"/>
  <c r="O101" i="1"/>
  <c r="P101" i="1"/>
  <c r="Q101" i="1" s="1"/>
  <c r="S101" i="1"/>
  <c r="N102" i="1"/>
  <c r="O102" i="1"/>
  <c r="P102" i="1"/>
  <c r="R102" i="1" s="1"/>
  <c r="S102" i="1"/>
  <c r="N103" i="1"/>
  <c r="O103" i="1"/>
  <c r="P103" i="1"/>
  <c r="Q103" i="1" s="1"/>
  <c r="S103" i="1"/>
  <c r="N104" i="1"/>
  <c r="O104" i="1"/>
  <c r="P104" i="1"/>
  <c r="Q104" i="1" s="1"/>
  <c r="S104" i="1"/>
  <c r="N105" i="1"/>
  <c r="O105" i="1"/>
  <c r="P105" i="1"/>
  <c r="Q105" i="1" s="1"/>
  <c r="S105" i="1"/>
  <c r="N106" i="1"/>
  <c r="O106" i="1"/>
  <c r="P106" i="1"/>
  <c r="R106" i="1" s="1"/>
  <c r="S106" i="1"/>
  <c r="N107" i="1"/>
  <c r="O107" i="1"/>
  <c r="P107" i="1"/>
  <c r="Q107" i="1" s="1"/>
  <c r="S107" i="1"/>
  <c r="N108" i="1"/>
  <c r="O108" i="1"/>
  <c r="P108" i="1"/>
  <c r="Q108" i="1" s="1"/>
  <c r="S108" i="1"/>
  <c r="N109" i="1"/>
  <c r="O109" i="1"/>
  <c r="P109" i="1"/>
  <c r="Q109" i="1" s="1"/>
  <c r="S109" i="1"/>
  <c r="N110" i="1"/>
  <c r="O110" i="1"/>
  <c r="P110" i="1"/>
  <c r="R110" i="1" s="1"/>
  <c r="Q110" i="1"/>
  <c r="S110" i="1"/>
  <c r="N111" i="1"/>
  <c r="O111" i="1"/>
  <c r="P111" i="1"/>
  <c r="Q111" i="1" s="1"/>
  <c r="S111" i="1"/>
  <c r="N112" i="1"/>
  <c r="O112" i="1"/>
  <c r="P112" i="1"/>
  <c r="Q112" i="1" s="1"/>
  <c r="S112" i="1"/>
  <c r="N113" i="1"/>
  <c r="O113" i="1"/>
  <c r="P113" i="1"/>
  <c r="Q113" i="1" s="1"/>
  <c r="S113" i="1"/>
  <c r="N114" i="1"/>
  <c r="O114" i="1"/>
  <c r="P114" i="1"/>
  <c r="R114" i="1" s="1"/>
  <c r="S114" i="1"/>
  <c r="N115" i="1"/>
  <c r="O115" i="1"/>
  <c r="P115" i="1"/>
  <c r="Q115" i="1" s="1"/>
  <c r="S115" i="1"/>
  <c r="N116" i="1"/>
  <c r="O116" i="1"/>
  <c r="P116" i="1"/>
  <c r="Q116" i="1" s="1"/>
  <c r="S116" i="1"/>
  <c r="N117" i="1"/>
  <c r="O117" i="1"/>
  <c r="P117" i="1"/>
  <c r="Q117" i="1" s="1"/>
  <c r="S117" i="1"/>
  <c r="N118" i="1"/>
  <c r="O118" i="1"/>
  <c r="P118" i="1"/>
  <c r="R118" i="1" s="1"/>
  <c r="S118" i="1"/>
  <c r="N119" i="1"/>
  <c r="O119" i="1"/>
  <c r="P119" i="1"/>
  <c r="Q119" i="1" s="1"/>
  <c r="R119" i="1"/>
  <c r="S119" i="1"/>
  <c r="N120" i="1"/>
  <c r="O120" i="1"/>
  <c r="P120" i="1"/>
  <c r="Q120" i="1" s="1"/>
  <c r="S120" i="1"/>
  <c r="N121" i="1"/>
  <c r="O121" i="1"/>
  <c r="P121" i="1"/>
  <c r="Q121" i="1" s="1"/>
  <c r="S121" i="1"/>
  <c r="N122" i="1"/>
  <c r="O122" i="1"/>
  <c r="P122" i="1"/>
  <c r="R122" i="1" s="1"/>
  <c r="S122" i="1"/>
  <c r="N123" i="1"/>
  <c r="O123" i="1"/>
  <c r="P123" i="1"/>
  <c r="Q123" i="1" s="1"/>
  <c r="S123" i="1"/>
  <c r="N124" i="1"/>
  <c r="O124" i="1"/>
  <c r="P124" i="1"/>
  <c r="Q124" i="1" s="1"/>
  <c r="S124" i="1"/>
  <c r="N125" i="1"/>
  <c r="O125" i="1"/>
  <c r="P125" i="1"/>
  <c r="Q125" i="1" s="1"/>
  <c r="S125" i="1"/>
  <c r="N126" i="1"/>
  <c r="O126" i="1"/>
  <c r="P126" i="1"/>
  <c r="R126" i="1" s="1"/>
  <c r="S126" i="1"/>
  <c r="N127" i="1"/>
  <c r="O127" i="1"/>
  <c r="P127" i="1"/>
  <c r="Q127" i="1" s="1"/>
  <c r="S127" i="1"/>
  <c r="N128" i="1"/>
  <c r="O128" i="1"/>
  <c r="P128" i="1"/>
  <c r="Q128" i="1" s="1"/>
  <c r="S128" i="1"/>
  <c r="N129" i="1"/>
  <c r="O129" i="1"/>
  <c r="P129" i="1"/>
  <c r="Q129" i="1" s="1"/>
  <c r="S129" i="1"/>
  <c r="N130" i="1"/>
  <c r="O130" i="1"/>
  <c r="P130" i="1"/>
  <c r="R130" i="1" s="1"/>
  <c r="Q130" i="1"/>
  <c r="S130" i="1"/>
  <c r="N131" i="1"/>
  <c r="O131" i="1"/>
  <c r="P131" i="1"/>
  <c r="Q131" i="1" s="1"/>
  <c r="S131" i="1"/>
  <c r="N132" i="1"/>
  <c r="O132" i="1"/>
  <c r="P132" i="1"/>
  <c r="Q132" i="1" s="1"/>
  <c r="S132" i="1"/>
  <c r="S67" i="1"/>
  <c r="P67" i="1"/>
  <c r="R67" i="1" s="1"/>
  <c r="O67" i="1"/>
  <c r="N67" i="1"/>
  <c r="N4" i="1"/>
  <c r="O4" i="1"/>
  <c r="P4" i="1"/>
  <c r="Q4" i="1" s="1"/>
  <c r="S4" i="1"/>
  <c r="N5" i="1"/>
  <c r="O5" i="1"/>
  <c r="P5" i="1"/>
  <c r="Q5" i="1" s="1"/>
  <c r="S5" i="1"/>
  <c r="N6" i="1"/>
  <c r="O6" i="1"/>
  <c r="P6" i="1"/>
  <c r="R6" i="1" s="1"/>
  <c r="S6" i="1"/>
  <c r="N7" i="1"/>
  <c r="O7" i="1"/>
  <c r="P7" i="1"/>
  <c r="Q7" i="1" s="1"/>
  <c r="S7" i="1"/>
  <c r="N8" i="1"/>
  <c r="O8" i="1"/>
  <c r="P8" i="1"/>
  <c r="Q8" i="1" s="1"/>
  <c r="S8" i="1"/>
  <c r="N9" i="1"/>
  <c r="O9" i="1"/>
  <c r="P9" i="1"/>
  <c r="Q9" i="1" s="1"/>
  <c r="S9" i="1"/>
  <c r="N10" i="1"/>
  <c r="O10" i="1"/>
  <c r="P10" i="1"/>
  <c r="R10" i="1" s="1"/>
  <c r="S10" i="1"/>
  <c r="N11" i="1"/>
  <c r="O11" i="1"/>
  <c r="P11" i="1"/>
  <c r="R11" i="1" s="1"/>
  <c r="S11" i="1"/>
  <c r="N12" i="1"/>
  <c r="O12" i="1"/>
  <c r="P12" i="1"/>
  <c r="Q12" i="1" s="1"/>
  <c r="S12" i="1"/>
  <c r="N13" i="1"/>
  <c r="O13" i="1"/>
  <c r="P13" i="1"/>
  <c r="Q13" i="1" s="1"/>
  <c r="S13" i="1"/>
  <c r="N14" i="1"/>
  <c r="O14" i="1"/>
  <c r="P14" i="1"/>
  <c r="R14" i="1" s="1"/>
  <c r="S14" i="1"/>
  <c r="N15" i="1"/>
  <c r="O15" i="1"/>
  <c r="P15" i="1"/>
  <c r="Q15" i="1" s="1"/>
  <c r="S15" i="1"/>
  <c r="N16" i="1"/>
  <c r="O16" i="1"/>
  <c r="P16" i="1"/>
  <c r="Q16" i="1" s="1"/>
  <c r="S16" i="1"/>
  <c r="N17" i="1"/>
  <c r="O17" i="1"/>
  <c r="P17" i="1"/>
  <c r="Q17" i="1" s="1"/>
  <c r="S17" i="1"/>
  <c r="N18" i="1"/>
  <c r="O18" i="1"/>
  <c r="P18" i="1"/>
  <c r="R18" i="1" s="1"/>
  <c r="S18" i="1"/>
  <c r="N19" i="1"/>
  <c r="O19" i="1"/>
  <c r="P19" i="1"/>
  <c r="R19" i="1" s="1"/>
  <c r="S19" i="1"/>
  <c r="N20" i="1"/>
  <c r="O20" i="1"/>
  <c r="P20" i="1"/>
  <c r="Q20" i="1" s="1"/>
  <c r="S20" i="1"/>
  <c r="N21" i="1"/>
  <c r="O21" i="1"/>
  <c r="P21" i="1"/>
  <c r="Q21" i="1" s="1"/>
  <c r="S21" i="1"/>
  <c r="N22" i="1"/>
  <c r="O22" i="1"/>
  <c r="P22" i="1"/>
  <c r="R22" i="1" s="1"/>
  <c r="S22" i="1"/>
  <c r="N23" i="1"/>
  <c r="O23" i="1"/>
  <c r="P23" i="1"/>
  <c r="Q23" i="1" s="1"/>
  <c r="S23" i="1"/>
  <c r="N24" i="1"/>
  <c r="O24" i="1"/>
  <c r="P24" i="1"/>
  <c r="Q24" i="1" s="1"/>
  <c r="S24" i="1"/>
  <c r="N25" i="1"/>
  <c r="O25" i="1"/>
  <c r="P25" i="1"/>
  <c r="Q25" i="1" s="1"/>
  <c r="S25" i="1"/>
  <c r="N26" i="1"/>
  <c r="O26" i="1"/>
  <c r="P26" i="1"/>
  <c r="R26" i="1" s="1"/>
  <c r="S26" i="1"/>
  <c r="N27" i="1"/>
  <c r="O27" i="1"/>
  <c r="P27" i="1"/>
  <c r="Q27" i="1" s="1"/>
  <c r="S27" i="1"/>
  <c r="N28" i="1"/>
  <c r="O28" i="1"/>
  <c r="P28" i="1"/>
  <c r="Q28" i="1" s="1"/>
  <c r="S28" i="1"/>
  <c r="N29" i="1"/>
  <c r="O29" i="1"/>
  <c r="P29" i="1"/>
  <c r="Q29" i="1" s="1"/>
  <c r="S29" i="1"/>
  <c r="N30" i="1"/>
  <c r="O30" i="1"/>
  <c r="P30" i="1"/>
  <c r="R30" i="1" s="1"/>
  <c r="S30" i="1"/>
  <c r="N31" i="1"/>
  <c r="O31" i="1"/>
  <c r="P31" i="1"/>
  <c r="Q31" i="1" s="1"/>
  <c r="S31" i="1"/>
  <c r="N32" i="1"/>
  <c r="O32" i="1"/>
  <c r="P32" i="1"/>
  <c r="Q32" i="1" s="1"/>
  <c r="S32" i="1"/>
  <c r="N33" i="1"/>
  <c r="O33" i="1"/>
  <c r="P33" i="1"/>
  <c r="Q33" i="1" s="1"/>
  <c r="S33" i="1"/>
  <c r="N34" i="1"/>
  <c r="O34" i="1"/>
  <c r="P34" i="1"/>
  <c r="R34" i="1" s="1"/>
  <c r="S34" i="1"/>
  <c r="N35" i="1"/>
  <c r="O35" i="1"/>
  <c r="P35" i="1"/>
  <c r="Q35" i="1" s="1"/>
  <c r="S35" i="1"/>
  <c r="N36" i="1"/>
  <c r="O36" i="1"/>
  <c r="P36" i="1"/>
  <c r="Q36" i="1" s="1"/>
  <c r="S36" i="1"/>
  <c r="N37" i="1"/>
  <c r="O37" i="1"/>
  <c r="P37" i="1"/>
  <c r="Q37" i="1" s="1"/>
  <c r="S37" i="1"/>
  <c r="N38" i="1"/>
  <c r="O38" i="1"/>
  <c r="P38" i="1"/>
  <c r="R38" i="1" s="1"/>
  <c r="S38" i="1"/>
  <c r="N39" i="1"/>
  <c r="O39" i="1"/>
  <c r="P39" i="1"/>
  <c r="Q39" i="1" s="1"/>
  <c r="S39" i="1"/>
  <c r="N40" i="1"/>
  <c r="O40" i="1"/>
  <c r="P40" i="1"/>
  <c r="Q40" i="1" s="1"/>
  <c r="S40" i="1"/>
  <c r="N41" i="1"/>
  <c r="O41" i="1"/>
  <c r="P41" i="1"/>
  <c r="Q41" i="1" s="1"/>
  <c r="S41" i="1"/>
  <c r="N42" i="1"/>
  <c r="O42" i="1"/>
  <c r="P42" i="1"/>
  <c r="R42" i="1" s="1"/>
  <c r="S42" i="1"/>
  <c r="N43" i="1"/>
  <c r="O43" i="1"/>
  <c r="P43" i="1"/>
  <c r="Q43" i="1" s="1"/>
  <c r="S43" i="1"/>
  <c r="N44" i="1"/>
  <c r="O44" i="1"/>
  <c r="P44" i="1"/>
  <c r="Q44" i="1" s="1"/>
  <c r="S44" i="1"/>
  <c r="N45" i="1"/>
  <c r="O45" i="1"/>
  <c r="P45" i="1"/>
  <c r="Q45" i="1" s="1"/>
  <c r="S45" i="1"/>
  <c r="N46" i="1"/>
  <c r="O46" i="1"/>
  <c r="P46" i="1"/>
  <c r="R46" i="1" s="1"/>
  <c r="S46" i="1"/>
  <c r="N47" i="1"/>
  <c r="O47" i="1"/>
  <c r="P47" i="1"/>
  <c r="Q47" i="1" s="1"/>
  <c r="S47" i="1"/>
  <c r="N48" i="1"/>
  <c r="O48" i="1"/>
  <c r="P48" i="1"/>
  <c r="Q48" i="1" s="1"/>
  <c r="S48" i="1"/>
  <c r="N49" i="1"/>
  <c r="O49" i="1"/>
  <c r="P49" i="1"/>
  <c r="Q49" i="1" s="1"/>
  <c r="S49" i="1"/>
  <c r="N50" i="1"/>
  <c r="O50" i="1"/>
  <c r="P50" i="1"/>
  <c r="R50" i="1" s="1"/>
  <c r="S50" i="1"/>
  <c r="N51" i="1"/>
  <c r="O51" i="1"/>
  <c r="P51" i="1"/>
  <c r="Q51" i="1" s="1"/>
  <c r="S51" i="1"/>
  <c r="N52" i="1"/>
  <c r="O52" i="1"/>
  <c r="P52" i="1"/>
  <c r="Q52" i="1" s="1"/>
  <c r="S52" i="1"/>
  <c r="N53" i="1"/>
  <c r="O53" i="1"/>
  <c r="P53" i="1"/>
  <c r="Q53" i="1" s="1"/>
  <c r="S53" i="1"/>
  <c r="N54" i="1"/>
  <c r="O54" i="1"/>
  <c r="P54" i="1"/>
  <c r="R54" i="1" s="1"/>
  <c r="S54" i="1"/>
  <c r="N55" i="1"/>
  <c r="O55" i="1"/>
  <c r="P55" i="1"/>
  <c r="Q55" i="1" s="1"/>
  <c r="S55" i="1"/>
  <c r="N56" i="1"/>
  <c r="O56" i="1"/>
  <c r="P56" i="1"/>
  <c r="Q56" i="1" s="1"/>
  <c r="S56" i="1"/>
  <c r="N57" i="1"/>
  <c r="O57" i="1"/>
  <c r="P57" i="1"/>
  <c r="Q57" i="1" s="1"/>
  <c r="S57" i="1"/>
  <c r="N58" i="1"/>
  <c r="O58" i="1"/>
  <c r="P58" i="1"/>
  <c r="R58" i="1" s="1"/>
  <c r="S58" i="1"/>
  <c r="N59" i="1"/>
  <c r="O59" i="1"/>
  <c r="P59" i="1"/>
  <c r="Q59" i="1" s="1"/>
  <c r="S59" i="1"/>
  <c r="N60" i="1"/>
  <c r="O60" i="1"/>
  <c r="P60" i="1"/>
  <c r="Q60" i="1" s="1"/>
  <c r="S60" i="1"/>
  <c r="N61" i="1"/>
  <c r="O61" i="1"/>
  <c r="P61" i="1"/>
  <c r="Q61" i="1" s="1"/>
  <c r="S61" i="1"/>
  <c r="N62" i="1"/>
  <c r="O62" i="1"/>
  <c r="P62" i="1"/>
  <c r="R62" i="1" s="1"/>
  <c r="S62" i="1"/>
  <c r="S3" i="1"/>
  <c r="P3" i="1"/>
  <c r="R3" i="1" s="1"/>
  <c r="O3" i="1"/>
  <c r="N3" i="1"/>
  <c r="I140" i="1"/>
  <c r="H140" i="1"/>
  <c r="I133" i="1"/>
  <c r="H133" i="1"/>
  <c r="I63" i="1"/>
  <c r="H63" i="1"/>
  <c r="CI140" i="1"/>
  <c r="CH140" i="1"/>
  <c r="CC140" i="1"/>
  <c r="CB140" i="1"/>
  <c r="BW140" i="1"/>
  <c r="BV140" i="1"/>
  <c r="BQ140" i="1"/>
  <c r="BP140" i="1"/>
  <c r="BK140" i="1"/>
  <c r="BJ140" i="1"/>
  <c r="BE140" i="1"/>
  <c r="BD140" i="1"/>
  <c r="AY140" i="1"/>
  <c r="AX140" i="1"/>
  <c r="AS140" i="1"/>
  <c r="AR140" i="1"/>
  <c r="AM140" i="1"/>
  <c r="AL140" i="1"/>
  <c r="AG140" i="1"/>
  <c r="AF140" i="1"/>
  <c r="AA140" i="1"/>
  <c r="Z140" i="1"/>
  <c r="U140" i="1"/>
  <c r="T140" i="1"/>
  <c r="CI133" i="1"/>
  <c r="CH133" i="1"/>
  <c r="CC133" i="1"/>
  <c r="CB133" i="1"/>
  <c r="BW133" i="1"/>
  <c r="BV133" i="1"/>
  <c r="BQ133" i="1"/>
  <c r="BP133" i="1"/>
  <c r="BK133" i="1"/>
  <c r="BJ133" i="1"/>
  <c r="BE133" i="1"/>
  <c r="BD133" i="1"/>
  <c r="AY133" i="1"/>
  <c r="AX133" i="1"/>
  <c r="AS133" i="1"/>
  <c r="AR133" i="1"/>
  <c r="AM133" i="1"/>
  <c r="AL133" i="1"/>
  <c r="AG133" i="1"/>
  <c r="AF133" i="1"/>
  <c r="AA133" i="1"/>
  <c r="Z133" i="1"/>
  <c r="U133" i="1"/>
  <c r="T133" i="1"/>
  <c r="CI63" i="1"/>
  <c r="CH63" i="1"/>
  <c r="CC63" i="1"/>
  <c r="CB63" i="1"/>
  <c r="BW63" i="1"/>
  <c r="BV63" i="1"/>
  <c r="BQ63" i="1"/>
  <c r="BP63" i="1"/>
  <c r="BK63" i="1"/>
  <c r="BJ63" i="1"/>
  <c r="BE63" i="1"/>
  <c r="BD63" i="1"/>
  <c r="AY63" i="1"/>
  <c r="AX63" i="1"/>
  <c r="AS63" i="1"/>
  <c r="AR63" i="1"/>
  <c r="AM63" i="1"/>
  <c r="AL63" i="1"/>
  <c r="AG63" i="1"/>
  <c r="AF63" i="1"/>
  <c r="AA63" i="1"/>
  <c r="Z63" i="1"/>
  <c r="U63" i="1"/>
  <c r="T63" i="1"/>
  <c r="R87" i="1" l="1"/>
  <c r="Q106" i="1"/>
  <c r="R55" i="1"/>
  <c r="R53" i="1"/>
  <c r="R51" i="1"/>
  <c r="R27" i="1"/>
  <c r="Q82" i="1"/>
  <c r="R71" i="1"/>
  <c r="Q122" i="1"/>
  <c r="R37" i="1"/>
  <c r="Q19" i="1"/>
  <c r="R39" i="1"/>
  <c r="R13" i="1"/>
  <c r="R7" i="1"/>
  <c r="R59" i="1"/>
  <c r="R29" i="1"/>
  <c r="R99" i="1"/>
  <c r="Q90" i="1"/>
  <c r="R79" i="1"/>
  <c r="R45" i="1"/>
  <c r="Q11" i="1"/>
  <c r="Q126" i="1"/>
  <c r="R111" i="1"/>
  <c r="R138" i="1"/>
  <c r="R131" i="1"/>
  <c r="R83" i="1"/>
  <c r="Q74" i="1"/>
  <c r="R61" i="1"/>
  <c r="R35" i="1"/>
  <c r="Q114" i="1"/>
  <c r="R103" i="1"/>
  <c r="Q94" i="1"/>
  <c r="R139" i="1"/>
  <c r="Q102" i="1"/>
  <c r="Q86" i="1"/>
  <c r="Q70" i="1"/>
  <c r="R127" i="1"/>
  <c r="Q118" i="1"/>
  <c r="R107" i="1"/>
  <c r="R91" i="1"/>
  <c r="R75" i="1"/>
  <c r="R43" i="1"/>
  <c r="R17" i="1"/>
  <c r="R47" i="1"/>
  <c r="R21" i="1"/>
  <c r="R125" i="1"/>
  <c r="R117" i="1"/>
  <c r="R109" i="1"/>
  <c r="R101" i="1"/>
  <c r="R93" i="1"/>
  <c r="R85" i="1"/>
  <c r="R77" i="1"/>
  <c r="Q69" i="1"/>
  <c r="R123" i="1"/>
  <c r="R115" i="1"/>
  <c r="R129" i="1"/>
  <c r="R121" i="1"/>
  <c r="R113" i="1"/>
  <c r="R105" i="1"/>
  <c r="R97" i="1"/>
  <c r="R89" i="1"/>
  <c r="R81" i="1"/>
  <c r="R73" i="1"/>
  <c r="Q67" i="1"/>
  <c r="R57" i="1"/>
  <c r="R49" i="1"/>
  <c r="R41" i="1"/>
  <c r="R33" i="1"/>
  <c r="R25" i="1"/>
  <c r="R15" i="1"/>
  <c r="R5" i="1"/>
  <c r="R31" i="1"/>
  <c r="R23" i="1"/>
  <c r="R9" i="1"/>
  <c r="Q137" i="1"/>
  <c r="R132" i="1"/>
  <c r="R128" i="1"/>
  <c r="R124" i="1"/>
  <c r="R120" i="1"/>
  <c r="R116" i="1"/>
  <c r="R112" i="1"/>
  <c r="R108" i="1"/>
  <c r="R104" i="1"/>
  <c r="R100" i="1"/>
  <c r="R96" i="1"/>
  <c r="R92" i="1"/>
  <c r="R88" i="1"/>
  <c r="R84" i="1"/>
  <c r="R80" i="1"/>
  <c r="R76" i="1"/>
  <c r="R72" i="1"/>
  <c r="R68" i="1"/>
  <c r="Q62" i="1"/>
  <c r="Q58" i="1"/>
  <c r="Q54" i="1"/>
  <c r="Q50" i="1"/>
  <c r="Q46" i="1"/>
  <c r="Q42" i="1"/>
  <c r="Q38" i="1"/>
  <c r="Q34" i="1"/>
  <c r="Q30" i="1"/>
  <c r="Q26" i="1"/>
  <c r="Q22" i="1"/>
  <c r="Q18" i="1"/>
  <c r="Q14" i="1"/>
  <c r="Q10" i="1"/>
  <c r="Q6" i="1"/>
  <c r="R60" i="1"/>
  <c r="R56" i="1"/>
  <c r="R52" i="1"/>
  <c r="R48" i="1"/>
  <c r="R44" i="1"/>
  <c r="R40" i="1"/>
  <c r="R36" i="1"/>
  <c r="R32" i="1"/>
  <c r="R28" i="1"/>
  <c r="R24" i="1"/>
  <c r="R20" i="1"/>
  <c r="R16" i="1"/>
  <c r="R12" i="1"/>
  <c r="R8" i="1"/>
  <c r="R4" i="1"/>
  <c r="Q3" i="1"/>
  <c r="N140" i="1"/>
  <c r="O63" i="1"/>
  <c r="O140" i="1"/>
  <c r="N133" i="1"/>
  <c r="O133" i="1"/>
  <c r="N63" i="1"/>
</calcChain>
</file>

<file path=xl/sharedStrings.xml><?xml version="1.0" encoding="utf-8"?>
<sst xmlns="http://schemas.openxmlformats.org/spreadsheetml/2006/main" count="520" uniqueCount="152">
  <si>
    <t>M301</t>
  </si>
  <si>
    <t>M304</t>
  </si>
  <si>
    <t>M305</t>
  </si>
  <si>
    <t>M306</t>
  </si>
  <si>
    <t>M307</t>
  </si>
  <si>
    <t>M308</t>
  </si>
  <si>
    <t>M309</t>
  </si>
  <si>
    <t>M310</t>
  </si>
  <si>
    <t>M311</t>
  </si>
  <si>
    <t>M315</t>
  </si>
  <si>
    <t>M321</t>
  </si>
  <si>
    <t>M322</t>
  </si>
  <si>
    <t>M323</t>
  </si>
  <si>
    <t>M324</t>
  </si>
  <si>
    <t>M323 - M324</t>
  </si>
  <si>
    <t>M325</t>
  </si>
  <si>
    <t>M326</t>
  </si>
  <si>
    <t>M327</t>
  </si>
  <si>
    <t>M328</t>
  </si>
  <si>
    <t>M330</t>
  </si>
  <si>
    <t>M331</t>
  </si>
  <si>
    <t>M332</t>
  </si>
  <si>
    <t>M349</t>
  </si>
  <si>
    <t>M350</t>
  </si>
  <si>
    <t>M351</t>
  </si>
  <si>
    <t>M350 - M351</t>
  </si>
  <si>
    <t>M354</t>
  </si>
  <si>
    <t xml:space="preserve"> </t>
  </si>
  <si>
    <t>M355</t>
  </si>
  <si>
    <t>M354 - M355</t>
  </si>
  <si>
    <t>M356</t>
  </si>
  <si>
    <t>M359</t>
  </si>
  <si>
    <t>M391</t>
  </si>
  <si>
    <t>M394</t>
  </si>
  <si>
    <t>M395</t>
  </si>
  <si>
    <t>M396</t>
  </si>
  <si>
    <t>M395 - M396</t>
  </si>
  <si>
    <t>M397</t>
  </si>
  <si>
    <t>M398</t>
  </si>
  <si>
    <t>M399</t>
  </si>
  <si>
    <t>M401</t>
  </si>
  <si>
    <t>M424</t>
  </si>
  <si>
    <t>M432</t>
  </si>
  <si>
    <t>M459</t>
  </si>
  <si>
    <t>M460</t>
  </si>
  <si>
    <t>M494</t>
  </si>
  <si>
    <t>M456</t>
  </si>
  <si>
    <t>M491</t>
  </si>
  <si>
    <t>M496</t>
  </si>
  <si>
    <t>M497</t>
  </si>
  <si>
    <t>M498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</si>
  <si>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</si>
  <si>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</si>
  <si>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</si>
  <si>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</si>
  <si>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</si>
  <si>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</si>
  <si>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</si>
  <si>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</si>
  <si>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</si>
  <si>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M532</t>
  </si>
  <si>
    <t>Toplam</t>
  </si>
  <si>
    <t>M101</t>
  </si>
  <si>
    <t>M102</t>
  </si>
  <si>
    <t>M103</t>
  </si>
  <si>
    <t>M104</t>
  </si>
  <si>
    <t>M105</t>
  </si>
  <si>
    <t>M106</t>
  </si>
  <si>
    <t>M108</t>
  </si>
  <si>
    <t>M109</t>
  </si>
  <si>
    <t>M116</t>
  </si>
  <si>
    <t>M113</t>
  </si>
  <si>
    <t>M114</t>
  </si>
  <si>
    <t>M115</t>
  </si>
  <si>
    <t>M117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</si>
  <si>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</si>
  <si>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</si>
  <si>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</si>
  <si>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</si>
  <si>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</si>
  <si>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</si>
  <si>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</si>
  <si>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</si>
  <si>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</si>
  <si>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</si>
  <si>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</si>
  <si>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</si>
  <si>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</si>
  <si>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</si>
  <si>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M156</t>
  </si>
  <si>
    <t>M160</t>
  </si>
  <si>
    <t>M170</t>
  </si>
  <si>
    <t>M171</t>
  </si>
  <si>
    <t>M172</t>
  </si>
  <si>
    <t>M173</t>
  </si>
  <si>
    <t>M175</t>
  </si>
  <si>
    <t>M176</t>
  </si>
  <si>
    <t>M177</t>
  </si>
  <si>
    <t>M178</t>
  </si>
  <si>
    <t>M179</t>
  </si>
  <si>
    <t>M180</t>
  </si>
  <si>
    <t>M181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</si>
  <si>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</si>
  <si>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</si>
  <si>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</si>
  <si>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</si>
  <si>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</si>
  <si>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</si>
  <si>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</si>
  <si>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</si>
  <si>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</si>
  <si>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</si>
  <si>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</si>
  <si>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</si>
  <si>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</si>
  <si>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</si>
  <si>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</si>
  <si>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</si>
  <si>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</si>
  <si>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M412</t>
  </si>
  <si>
    <t>M133</t>
  </si>
  <si>
    <t>M134</t>
  </si>
  <si>
    <t>M511</t>
  </si>
  <si>
    <t>M512</t>
  </si>
  <si>
    <t>M513</t>
  </si>
  <si>
    <t>M514</t>
  </si>
  <si>
    <t>M515</t>
  </si>
  <si>
    <t>M516</t>
  </si>
  <si>
    <t>M201</t>
  </si>
  <si>
    <t>M202</t>
  </si>
  <si>
    <t>M200</t>
  </si>
  <si>
    <t>2023 Aylık Ortalama</t>
  </si>
  <si>
    <t>Ortalama Çap
(mm)</t>
  </si>
  <si>
    <t>Ortalama Aylık Üretilen Uzunluk
(m)</t>
  </si>
  <si>
    <t>Ortalama
Aylık Üretilen Miktar
(kg)</t>
  </si>
  <si>
    <t>Toplam Gerçekleşen Vardiya Miktarı</t>
  </si>
  <si>
    <t>Ortalama Günlük Üretilen Uzunluk
(m)</t>
  </si>
  <si>
    <t>Ortalama
Günlük Üretilen Miktar
(kg)</t>
  </si>
  <si>
    <t>2024 Aylık Ortalama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</si>
  <si>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</si>
  <si>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</si>
  <si>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</si>
  <si>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</si>
  <si>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</si>
  <si>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</si>
  <si>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</si>
  <si>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</si>
  <si>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</si>
  <si>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</si>
  <si>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</si>
  <si>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</si>
  <si>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2025 Aylık Ortalama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</si>
</sst>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0" borderId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1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/>
    </xf>
    <xf numFmtId="0" fontId="3" fillId="0" borderId="0" xfId="1"/>
    <xf numFmtId="0" fontId="1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vertical="center" wrapText="1"/>
    </xf>
    <xf numFmtId="0" fontId="3" fillId="0" borderId="0" xfId="1" applyAlignment="1">
      <alignment vertical="center"/>
    </xf>
    <xf numFmtId="49" fontId="2" fillId="0" borderId="0" xfId="1" applyNumberFormat="1" applyFont="1" applyAlignment="1">
      <alignment horizontal="center"/>
    </xf>
    <xf numFmtId="3" fontId="3" fillId="2" borderId="0" xfId="1" applyNumberFormat="1" applyFill="1"/>
    <xf numFmtId="3" fontId="3" fillId="3" borderId="0" xfId="1" applyNumberFormat="1" applyFill="1"/>
    <xf numFmtId="2" fontId="3" fillId="3" borderId="0" xfId="1" applyNumberFormat="1" applyFill="1"/>
    <xf numFmtId="3" fontId="3" fillId="0" borderId="0" xfId="1" applyNumberFormat="1"/>
    <xf numFmtId="3" fontId="3" fillId="4" borderId="0" xfId="1" applyNumberFormat="1" applyFill="1"/>
    <xf numFmtId="4" fontId="3" fillId="4" borderId="0" xfId="1" applyNumberFormat="1" applyFill="1"/>
    <xf numFmtId="3" fontId="2" fillId="2" borderId="0" xfId="1" applyNumberFormat="1" applyFont="1" applyFill="1"/>
    <xf numFmtId="0" fontId="2" fillId="0" borderId="0" xfId="1" applyFont="1"/>
    <xf numFmtId="0" fontId="3" fillId="0" borderId="0" xfId="1" applyAlignment="1">
      <alignment horizontal="center"/>
    </xf>
    <xf numFmtId="9" fontId="3" fillId="0" borderId="0" xfId="2" applyFont="1" applyFill="1"/>
    <xf numFmtId="2" fontId="3" fillId="0" borderId="0" xfId="2" applyNumberFormat="1" applyFont="1" applyFill="1"/>
    <xf numFmtId="0" fontId="2" fillId="0" borderId="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2" fontId="2" fillId="2" borderId="0" xfId="2" applyNumberFormat="1" applyFont="1" applyFill="1"/>
    <xf numFmtId="3" fontId="2" fillId="2" borderId="0" xfId="2" applyNumberFormat="1" applyFont="1" applyFill="1" applyBorder="1"/>
    <xf numFmtId="9" fontId="2" fillId="2" borderId="0" xfId="2" applyFont="1" applyFill="1"/>
    <xf numFmtId="3" fontId="2" fillId="2" borderId="0" xfId="2" applyNumberFormat="1" applyFont="1" applyFill="1"/>
    <xf numFmtId="0" fontId="2" fillId="2" borderId="0" xfId="1" applyFont="1" applyFill="1" applyAlignment="1">
      <alignment horizontal="center"/>
    </xf>
  </cellXfs>
  <cellStyles count="3">
    <cellStyle name="Normal" xfId="0" builtinId="0"/>
    <cellStyle name="Normal 2" xfId="1" xr:uid="{54E630F8-1119-49C1-96CD-67D14AC27434}"/>
    <cellStyle name="Yüzde 2" xfId="2" xr:uid="{84D3FCC6-BF51-44C7-A8B3-68B6CBCF5C91}"/>
  </cellStyles>
  <dxfs count="0"/>
  <tableStyles count="1" defaultTableStyle="TableStyleMedium2" defaultPivotStyle="PivotStyleLight16">
    <tableStyle name="Invisible" pivot="0" table="0" count="0" xr9:uid="{5A48E859-7578-4CD2-8153-E9E8C712253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D3A2-38AA-49CC-85C8-C1C6DC7EE1FA}">
  <sheetPr>
    <tabColor theme="9" tint="0.79998168889431442"/>
  </sheetPr>
  <dimension ref="A1:CP146"/>
  <sheetViews>
    <sheetView showGridLines="0" tabSelected="1" zoomScale="80" zoomScaleNormal="80" workbookViewId="0">
      <pane xSplit="1" ySplit="2" topLeftCell="BH3" activePane="bottomRight" state="frozen"/>
      <selection pane="topRight" activeCell="B1" sqref="B1"/>
      <selection pane="bottomLeft" activeCell="A3" sqref="A3"/>
      <selection pane="bottomRight" activeCell="BZ142" sqref="BZ142"/>
    </sheetView>
  </sheetViews>
  <sheetFormatPr defaultRowHeight="15" x14ac:dyDescent="0.25"/>
  <cols>
    <col min="1" max="1" width="12.140625" style="16" bestFit="1" customWidth="1"/>
    <col min="2" max="2" width="11.85546875" style="3" bestFit="1" customWidth="1"/>
    <col min="3" max="7" width="9.7109375" style="3" customWidth="1"/>
    <col min="8" max="8" width="12.7109375" style="3" bestFit="1" customWidth="1"/>
    <col min="9" max="13" width="9.7109375" style="3" customWidth="1"/>
    <col min="14" max="14" width="12.28515625" style="3" bestFit="1" customWidth="1"/>
    <col min="15" max="19" width="9.7109375" style="3" customWidth="1"/>
    <col min="20" max="20" width="12.28515625" style="3" bestFit="1" customWidth="1"/>
    <col min="21" max="25" width="9.7109375" style="3" customWidth="1"/>
    <col min="26" max="26" width="12.28515625" style="3" bestFit="1" customWidth="1"/>
    <col min="27" max="31" width="9.7109375" style="3" customWidth="1"/>
    <col min="32" max="32" width="12.28515625" style="3" bestFit="1" customWidth="1"/>
    <col min="33" max="37" width="9.7109375" style="3" customWidth="1"/>
    <col min="38" max="38" width="12.28515625" style="3" bestFit="1" customWidth="1"/>
    <col min="39" max="43" width="9.7109375" style="3" customWidth="1"/>
    <col min="44" max="44" width="12.28515625" style="3" bestFit="1" customWidth="1"/>
    <col min="45" max="49" width="9.7109375" style="3" customWidth="1"/>
    <col min="50" max="50" width="12.28515625" style="3" bestFit="1" customWidth="1"/>
    <col min="51" max="55" width="9.7109375" style="3" customWidth="1"/>
    <col min="56" max="56" width="12.42578125" style="3" customWidth="1"/>
    <col min="57" max="61" width="9.7109375" style="3" customWidth="1"/>
    <col min="62" max="62" width="12.28515625" style="3" bestFit="1" customWidth="1"/>
    <col min="63" max="67" width="9.7109375" style="3" customWidth="1"/>
    <col min="68" max="68" width="12.28515625" style="3" bestFit="1" customWidth="1"/>
    <col min="69" max="73" width="9.7109375" style="3" customWidth="1"/>
    <col min="74" max="74" width="12.28515625" style="3" bestFit="1" customWidth="1"/>
    <col min="75" max="79" width="9.7109375" style="3" customWidth="1"/>
    <col min="80" max="80" width="12.28515625" style="3" bestFit="1" customWidth="1"/>
    <col min="81" max="85" width="9.7109375" style="3" customWidth="1"/>
    <col min="86" max="86" width="11.140625" style="11" customWidth="1"/>
    <col min="87" max="87" width="9.7109375" style="11" customWidth="1"/>
    <col min="88" max="91" width="9.7109375" style="3" customWidth="1"/>
    <col min="92" max="257" width="8.85546875" style="3"/>
    <col min="258" max="258" width="12.140625" style="3" bestFit="1" customWidth="1"/>
    <col min="259" max="259" width="11.140625" style="3" bestFit="1" customWidth="1"/>
    <col min="260" max="269" width="9.7109375" style="3" customWidth="1"/>
    <col min="270" max="270" width="11.140625" style="3" bestFit="1" customWidth="1"/>
    <col min="271" max="275" width="9.7109375" style="3" customWidth="1"/>
    <col min="276" max="276" width="11.140625" style="3" customWidth="1"/>
    <col min="277" max="281" width="9.7109375" style="3" customWidth="1"/>
    <col min="282" max="282" width="11.140625" style="3" customWidth="1"/>
    <col min="283" max="287" width="9.7109375" style="3" customWidth="1"/>
    <col min="288" max="288" width="11.140625" style="3" customWidth="1"/>
    <col min="289" max="293" width="9.7109375" style="3" customWidth="1"/>
    <col min="294" max="294" width="11.140625" style="3" customWidth="1"/>
    <col min="295" max="299" width="9.7109375" style="3" customWidth="1"/>
    <col min="300" max="300" width="11.140625" style="3" customWidth="1"/>
    <col min="301" max="305" width="9.7109375" style="3" customWidth="1"/>
    <col min="306" max="306" width="11.140625" style="3" customWidth="1"/>
    <col min="307" max="311" width="9.7109375" style="3" customWidth="1"/>
    <col min="312" max="312" width="11.140625" style="3" customWidth="1"/>
    <col min="313" max="317" width="9.7109375" style="3" customWidth="1"/>
    <col min="318" max="318" width="11.140625" style="3" customWidth="1"/>
    <col min="319" max="323" width="9.7109375" style="3" customWidth="1"/>
    <col min="324" max="324" width="11.140625" style="3" customWidth="1"/>
    <col min="325" max="329" width="9.7109375" style="3" customWidth="1"/>
    <col min="330" max="330" width="11.140625" style="3" customWidth="1"/>
    <col min="331" max="335" width="9.7109375" style="3" customWidth="1"/>
    <col min="336" max="336" width="11.140625" style="3" customWidth="1"/>
    <col min="337" max="341" width="9.7109375" style="3" customWidth="1"/>
    <col min="342" max="342" width="11.140625" style="3" customWidth="1"/>
    <col min="343" max="347" width="9.7109375" style="3" customWidth="1"/>
    <col min="348" max="513" width="8.85546875" style="3"/>
    <col min="514" max="514" width="12.140625" style="3" bestFit="1" customWidth="1"/>
    <col min="515" max="515" width="11.140625" style="3" bestFit="1" customWidth="1"/>
    <col min="516" max="525" width="9.7109375" style="3" customWidth="1"/>
    <col min="526" max="526" width="11.140625" style="3" bestFit="1" customWidth="1"/>
    <col min="527" max="531" width="9.7109375" style="3" customWidth="1"/>
    <col min="532" max="532" width="11.140625" style="3" customWidth="1"/>
    <col min="533" max="537" width="9.7109375" style="3" customWidth="1"/>
    <col min="538" max="538" width="11.140625" style="3" customWidth="1"/>
    <col min="539" max="543" width="9.7109375" style="3" customWidth="1"/>
    <col min="544" max="544" width="11.140625" style="3" customWidth="1"/>
    <col min="545" max="549" width="9.7109375" style="3" customWidth="1"/>
    <col min="550" max="550" width="11.140625" style="3" customWidth="1"/>
    <col min="551" max="555" width="9.7109375" style="3" customWidth="1"/>
    <col min="556" max="556" width="11.140625" style="3" customWidth="1"/>
    <col min="557" max="561" width="9.7109375" style="3" customWidth="1"/>
    <col min="562" max="562" width="11.140625" style="3" customWidth="1"/>
    <col min="563" max="567" width="9.7109375" style="3" customWidth="1"/>
    <col min="568" max="568" width="11.140625" style="3" customWidth="1"/>
    <col min="569" max="573" width="9.7109375" style="3" customWidth="1"/>
    <col min="574" max="574" width="11.140625" style="3" customWidth="1"/>
    <col min="575" max="579" width="9.7109375" style="3" customWidth="1"/>
    <col min="580" max="580" width="11.140625" style="3" customWidth="1"/>
    <col min="581" max="585" width="9.7109375" style="3" customWidth="1"/>
    <col min="586" max="586" width="11.140625" style="3" customWidth="1"/>
    <col min="587" max="591" width="9.7109375" style="3" customWidth="1"/>
    <col min="592" max="592" width="11.140625" style="3" customWidth="1"/>
    <col min="593" max="597" width="9.7109375" style="3" customWidth="1"/>
    <col min="598" max="598" width="11.140625" style="3" customWidth="1"/>
    <col min="599" max="603" width="9.7109375" style="3" customWidth="1"/>
    <col min="604" max="769" width="8.85546875" style="3"/>
    <col min="770" max="770" width="12.140625" style="3" bestFit="1" customWidth="1"/>
    <col min="771" max="771" width="11.140625" style="3" bestFit="1" customWidth="1"/>
    <col min="772" max="781" width="9.7109375" style="3" customWidth="1"/>
    <col min="782" max="782" width="11.140625" style="3" bestFit="1" customWidth="1"/>
    <col min="783" max="787" width="9.7109375" style="3" customWidth="1"/>
    <col min="788" max="788" width="11.140625" style="3" customWidth="1"/>
    <col min="789" max="793" width="9.7109375" style="3" customWidth="1"/>
    <col min="794" max="794" width="11.140625" style="3" customWidth="1"/>
    <col min="795" max="799" width="9.7109375" style="3" customWidth="1"/>
    <col min="800" max="800" width="11.140625" style="3" customWidth="1"/>
    <col min="801" max="805" width="9.7109375" style="3" customWidth="1"/>
    <col min="806" max="806" width="11.140625" style="3" customWidth="1"/>
    <col min="807" max="811" width="9.7109375" style="3" customWidth="1"/>
    <col min="812" max="812" width="11.140625" style="3" customWidth="1"/>
    <col min="813" max="817" width="9.7109375" style="3" customWidth="1"/>
    <col min="818" max="818" width="11.140625" style="3" customWidth="1"/>
    <col min="819" max="823" width="9.7109375" style="3" customWidth="1"/>
    <col min="824" max="824" width="11.140625" style="3" customWidth="1"/>
    <col min="825" max="829" width="9.7109375" style="3" customWidth="1"/>
    <col min="830" max="830" width="11.140625" style="3" customWidth="1"/>
    <col min="831" max="835" width="9.7109375" style="3" customWidth="1"/>
    <col min="836" max="836" width="11.140625" style="3" customWidth="1"/>
    <col min="837" max="841" width="9.7109375" style="3" customWidth="1"/>
    <col min="842" max="842" width="11.140625" style="3" customWidth="1"/>
    <col min="843" max="847" width="9.7109375" style="3" customWidth="1"/>
    <col min="848" max="848" width="11.140625" style="3" customWidth="1"/>
    <col min="849" max="853" width="9.7109375" style="3" customWidth="1"/>
    <col min="854" max="854" width="11.140625" style="3" customWidth="1"/>
    <col min="855" max="859" width="9.7109375" style="3" customWidth="1"/>
    <col min="860" max="1025" width="8.85546875" style="3"/>
    <col min="1026" max="1026" width="12.140625" style="3" bestFit="1" customWidth="1"/>
    <col min="1027" max="1027" width="11.140625" style="3" bestFit="1" customWidth="1"/>
    <col min="1028" max="1037" width="9.7109375" style="3" customWidth="1"/>
    <col min="1038" max="1038" width="11.140625" style="3" bestFit="1" customWidth="1"/>
    <col min="1039" max="1043" width="9.7109375" style="3" customWidth="1"/>
    <col min="1044" max="1044" width="11.140625" style="3" customWidth="1"/>
    <col min="1045" max="1049" width="9.7109375" style="3" customWidth="1"/>
    <col min="1050" max="1050" width="11.140625" style="3" customWidth="1"/>
    <col min="1051" max="1055" width="9.7109375" style="3" customWidth="1"/>
    <col min="1056" max="1056" width="11.140625" style="3" customWidth="1"/>
    <col min="1057" max="1061" width="9.7109375" style="3" customWidth="1"/>
    <col min="1062" max="1062" width="11.140625" style="3" customWidth="1"/>
    <col min="1063" max="1067" width="9.7109375" style="3" customWidth="1"/>
    <col min="1068" max="1068" width="11.140625" style="3" customWidth="1"/>
    <col min="1069" max="1073" width="9.7109375" style="3" customWidth="1"/>
    <col min="1074" max="1074" width="11.140625" style="3" customWidth="1"/>
    <col min="1075" max="1079" width="9.7109375" style="3" customWidth="1"/>
    <col min="1080" max="1080" width="11.140625" style="3" customWidth="1"/>
    <col min="1081" max="1085" width="9.7109375" style="3" customWidth="1"/>
    <col min="1086" max="1086" width="11.140625" style="3" customWidth="1"/>
    <col min="1087" max="1091" width="9.7109375" style="3" customWidth="1"/>
    <col min="1092" max="1092" width="11.140625" style="3" customWidth="1"/>
    <col min="1093" max="1097" width="9.7109375" style="3" customWidth="1"/>
    <col min="1098" max="1098" width="11.140625" style="3" customWidth="1"/>
    <col min="1099" max="1103" width="9.7109375" style="3" customWidth="1"/>
    <col min="1104" max="1104" width="11.140625" style="3" customWidth="1"/>
    <col min="1105" max="1109" width="9.7109375" style="3" customWidth="1"/>
    <col min="1110" max="1110" width="11.140625" style="3" customWidth="1"/>
    <col min="1111" max="1115" width="9.7109375" style="3" customWidth="1"/>
    <col min="1116" max="1281" width="8.85546875" style="3"/>
    <col min="1282" max="1282" width="12.140625" style="3" bestFit="1" customWidth="1"/>
    <col min="1283" max="1283" width="11.140625" style="3" bestFit="1" customWidth="1"/>
    <col min="1284" max="1293" width="9.7109375" style="3" customWidth="1"/>
    <col min="1294" max="1294" width="11.140625" style="3" bestFit="1" customWidth="1"/>
    <col min="1295" max="1299" width="9.7109375" style="3" customWidth="1"/>
    <col min="1300" max="1300" width="11.140625" style="3" customWidth="1"/>
    <col min="1301" max="1305" width="9.7109375" style="3" customWidth="1"/>
    <col min="1306" max="1306" width="11.140625" style="3" customWidth="1"/>
    <col min="1307" max="1311" width="9.7109375" style="3" customWidth="1"/>
    <col min="1312" max="1312" width="11.140625" style="3" customWidth="1"/>
    <col min="1313" max="1317" width="9.7109375" style="3" customWidth="1"/>
    <col min="1318" max="1318" width="11.140625" style="3" customWidth="1"/>
    <col min="1319" max="1323" width="9.7109375" style="3" customWidth="1"/>
    <col min="1324" max="1324" width="11.140625" style="3" customWidth="1"/>
    <col min="1325" max="1329" width="9.7109375" style="3" customWidth="1"/>
    <col min="1330" max="1330" width="11.140625" style="3" customWidth="1"/>
    <col min="1331" max="1335" width="9.7109375" style="3" customWidth="1"/>
    <col min="1336" max="1336" width="11.140625" style="3" customWidth="1"/>
    <col min="1337" max="1341" width="9.7109375" style="3" customWidth="1"/>
    <col min="1342" max="1342" width="11.140625" style="3" customWidth="1"/>
    <col min="1343" max="1347" width="9.7109375" style="3" customWidth="1"/>
    <col min="1348" max="1348" width="11.140625" style="3" customWidth="1"/>
    <col min="1349" max="1353" width="9.7109375" style="3" customWidth="1"/>
    <col min="1354" max="1354" width="11.140625" style="3" customWidth="1"/>
    <col min="1355" max="1359" width="9.7109375" style="3" customWidth="1"/>
    <col min="1360" max="1360" width="11.140625" style="3" customWidth="1"/>
    <col min="1361" max="1365" width="9.7109375" style="3" customWidth="1"/>
    <col min="1366" max="1366" width="11.140625" style="3" customWidth="1"/>
    <col min="1367" max="1371" width="9.7109375" style="3" customWidth="1"/>
    <col min="1372" max="1537" width="8.85546875" style="3"/>
    <col min="1538" max="1538" width="12.140625" style="3" bestFit="1" customWidth="1"/>
    <col min="1539" max="1539" width="11.140625" style="3" bestFit="1" customWidth="1"/>
    <col min="1540" max="1549" width="9.7109375" style="3" customWidth="1"/>
    <col min="1550" max="1550" width="11.140625" style="3" bestFit="1" customWidth="1"/>
    <col min="1551" max="1555" width="9.7109375" style="3" customWidth="1"/>
    <col min="1556" max="1556" width="11.140625" style="3" customWidth="1"/>
    <col min="1557" max="1561" width="9.7109375" style="3" customWidth="1"/>
    <col min="1562" max="1562" width="11.140625" style="3" customWidth="1"/>
    <col min="1563" max="1567" width="9.7109375" style="3" customWidth="1"/>
    <col min="1568" max="1568" width="11.140625" style="3" customWidth="1"/>
    <col min="1569" max="1573" width="9.7109375" style="3" customWidth="1"/>
    <col min="1574" max="1574" width="11.140625" style="3" customWidth="1"/>
    <col min="1575" max="1579" width="9.7109375" style="3" customWidth="1"/>
    <col min="1580" max="1580" width="11.140625" style="3" customWidth="1"/>
    <col min="1581" max="1585" width="9.7109375" style="3" customWidth="1"/>
    <col min="1586" max="1586" width="11.140625" style="3" customWidth="1"/>
    <col min="1587" max="1591" width="9.7109375" style="3" customWidth="1"/>
    <col min="1592" max="1592" width="11.140625" style="3" customWidth="1"/>
    <col min="1593" max="1597" width="9.7109375" style="3" customWidth="1"/>
    <col min="1598" max="1598" width="11.140625" style="3" customWidth="1"/>
    <col min="1599" max="1603" width="9.7109375" style="3" customWidth="1"/>
    <col min="1604" max="1604" width="11.140625" style="3" customWidth="1"/>
    <col min="1605" max="1609" width="9.7109375" style="3" customWidth="1"/>
    <col min="1610" max="1610" width="11.140625" style="3" customWidth="1"/>
    <col min="1611" max="1615" width="9.7109375" style="3" customWidth="1"/>
    <col min="1616" max="1616" width="11.140625" style="3" customWidth="1"/>
    <col min="1617" max="1621" width="9.7109375" style="3" customWidth="1"/>
    <col min="1622" max="1622" width="11.140625" style="3" customWidth="1"/>
    <col min="1623" max="1627" width="9.7109375" style="3" customWidth="1"/>
    <col min="1628" max="1793" width="8.85546875" style="3"/>
    <col min="1794" max="1794" width="12.140625" style="3" bestFit="1" customWidth="1"/>
    <col min="1795" max="1795" width="11.140625" style="3" bestFit="1" customWidth="1"/>
    <col min="1796" max="1805" width="9.7109375" style="3" customWidth="1"/>
    <col min="1806" max="1806" width="11.140625" style="3" bestFit="1" customWidth="1"/>
    <col min="1807" max="1811" width="9.7109375" style="3" customWidth="1"/>
    <col min="1812" max="1812" width="11.140625" style="3" customWidth="1"/>
    <col min="1813" max="1817" width="9.7109375" style="3" customWidth="1"/>
    <col min="1818" max="1818" width="11.140625" style="3" customWidth="1"/>
    <col min="1819" max="1823" width="9.7109375" style="3" customWidth="1"/>
    <col min="1824" max="1824" width="11.140625" style="3" customWidth="1"/>
    <col min="1825" max="1829" width="9.7109375" style="3" customWidth="1"/>
    <col min="1830" max="1830" width="11.140625" style="3" customWidth="1"/>
    <col min="1831" max="1835" width="9.7109375" style="3" customWidth="1"/>
    <col min="1836" max="1836" width="11.140625" style="3" customWidth="1"/>
    <col min="1837" max="1841" width="9.7109375" style="3" customWidth="1"/>
    <col min="1842" max="1842" width="11.140625" style="3" customWidth="1"/>
    <col min="1843" max="1847" width="9.7109375" style="3" customWidth="1"/>
    <col min="1848" max="1848" width="11.140625" style="3" customWidth="1"/>
    <col min="1849" max="1853" width="9.7109375" style="3" customWidth="1"/>
    <col min="1854" max="1854" width="11.140625" style="3" customWidth="1"/>
    <col min="1855" max="1859" width="9.7109375" style="3" customWidth="1"/>
    <col min="1860" max="1860" width="11.140625" style="3" customWidth="1"/>
    <col min="1861" max="1865" width="9.7109375" style="3" customWidth="1"/>
    <col min="1866" max="1866" width="11.140625" style="3" customWidth="1"/>
    <col min="1867" max="1871" width="9.7109375" style="3" customWidth="1"/>
    <col min="1872" max="1872" width="11.140625" style="3" customWidth="1"/>
    <col min="1873" max="1877" width="9.7109375" style="3" customWidth="1"/>
    <col min="1878" max="1878" width="11.140625" style="3" customWidth="1"/>
    <col min="1879" max="1883" width="9.7109375" style="3" customWidth="1"/>
    <col min="1884" max="2049" width="8.85546875" style="3"/>
    <col min="2050" max="2050" width="12.140625" style="3" bestFit="1" customWidth="1"/>
    <col min="2051" max="2051" width="11.140625" style="3" bestFit="1" customWidth="1"/>
    <col min="2052" max="2061" width="9.7109375" style="3" customWidth="1"/>
    <col min="2062" max="2062" width="11.140625" style="3" bestFit="1" customWidth="1"/>
    <col min="2063" max="2067" width="9.7109375" style="3" customWidth="1"/>
    <col min="2068" max="2068" width="11.140625" style="3" customWidth="1"/>
    <col min="2069" max="2073" width="9.7109375" style="3" customWidth="1"/>
    <col min="2074" max="2074" width="11.140625" style="3" customWidth="1"/>
    <col min="2075" max="2079" width="9.7109375" style="3" customWidth="1"/>
    <col min="2080" max="2080" width="11.140625" style="3" customWidth="1"/>
    <col min="2081" max="2085" width="9.7109375" style="3" customWidth="1"/>
    <col min="2086" max="2086" width="11.140625" style="3" customWidth="1"/>
    <col min="2087" max="2091" width="9.7109375" style="3" customWidth="1"/>
    <col min="2092" max="2092" width="11.140625" style="3" customWidth="1"/>
    <col min="2093" max="2097" width="9.7109375" style="3" customWidth="1"/>
    <col min="2098" max="2098" width="11.140625" style="3" customWidth="1"/>
    <col min="2099" max="2103" width="9.7109375" style="3" customWidth="1"/>
    <col min="2104" max="2104" width="11.140625" style="3" customWidth="1"/>
    <col min="2105" max="2109" width="9.7109375" style="3" customWidth="1"/>
    <col min="2110" max="2110" width="11.140625" style="3" customWidth="1"/>
    <col min="2111" max="2115" width="9.7109375" style="3" customWidth="1"/>
    <col min="2116" max="2116" width="11.140625" style="3" customWidth="1"/>
    <col min="2117" max="2121" width="9.7109375" style="3" customWidth="1"/>
    <col min="2122" max="2122" width="11.140625" style="3" customWidth="1"/>
    <col min="2123" max="2127" width="9.7109375" style="3" customWidth="1"/>
    <col min="2128" max="2128" width="11.140625" style="3" customWidth="1"/>
    <col min="2129" max="2133" width="9.7109375" style="3" customWidth="1"/>
    <col min="2134" max="2134" width="11.140625" style="3" customWidth="1"/>
    <col min="2135" max="2139" width="9.7109375" style="3" customWidth="1"/>
    <col min="2140" max="2305" width="8.85546875" style="3"/>
    <col min="2306" max="2306" width="12.140625" style="3" bestFit="1" customWidth="1"/>
    <col min="2307" max="2307" width="11.140625" style="3" bestFit="1" customWidth="1"/>
    <col min="2308" max="2317" width="9.7109375" style="3" customWidth="1"/>
    <col min="2318" max="2318" width="11.140625" style="3" bestFit="1" customWidth="1"/>
    <col min="2319" max="2323" width="9.7109375" style="3" customWidth="1"/>
    <col min="2324" max="2324" width="11.140625" style="3" customWidth="1"/>
    <col min="2325" max="2329" width="9.7109375" style="3" customWidth="1"/>
    <col min="2330" max="2330" width="11.140625" style="3" customWidth="1"/>
    <col min="2331" max="2335" width="9.7109375" style="3" customWidth="1"/>
    <col min="2336" max="2336" width="11.140625" style="3" customWidth="1"/>
    <col min="2337" max="2341" width="9.7109375" style="3" customWidth="1"/>
    <col min="2342" max="2342" width="11.140625" style="3" customWidth="1"/>
    <col min="2343" max="2347" width="9.7109375" style="3" customWidth="1"/>
    <col min="2348" max="2348" width="11.140625" style="3" customWidth="1"/>
    <col min="2349" max="2353" width="9.7109375" style="3" customWidth="1"/>
    <col min="2354" max="2354" width="11.140625" style="3" customWidth="1"/>
    <col min="2355" max="2359" width="9.7109375" style="3" customWidth="1"/>
    <col min="2360" max="2360" width="11.140625" style="3" customWidth="1"/>
    <col min="2361" max="2365" width="9.7109375" style="3" customWidth="1"/>
    <col min="2366" max="2366" width="11.140625" style="3" customWidth="1"/>
    <col min="2367" max="2371" width="9.7109375" style="3" customWidth="1"/>
    <col min="2372" max="2372" width="11.140625" style="3" customWidth="1"/>
    <col min="2373" max="2377" width="9.7109375" style="3" customWidth="1"/>
    <col min="2378" max="2378" width="11.140625" style="3" customWidth="1"/>
    <col min="2379" max="2383" width="9.7109375" style="3" customWidth="1"/>
    <col min="2384" max="2384" width="11.140625" style="3" customWidth="1"/>
    <col min="2385" max="2389" width="9.7109375" style="3" customWidth="1"/>
    <col min="2390" max="2390" width="11.140625" style="3" customWidth="1"/>
    <col min="2391" max="2395" width="9.7109375" style="3" customWidth="1"/>
    <col min="2396" max="2561" width="8.85546875" style="3"/>
    <col min="2562" max="2562" width="12.140625" style="3" bestFit="1" customWidth="1"/>
    <col min="2563" max="2563" width="11.140625" style="3" bestFit="1" customWidth="1"/>
    <col min="2564" max="2573" width="9.7109375" style="3" customWidth="1"/>
    <col min="2574" max="2574" width="11.140625" style="3" bestFit="1" customWidth="1"/>
    <col min="2575" max="2579" width="9.7109375" style="3" customWidth="1"/>
    <col min="2580" max="2580" width="11.140625" style="3" customWidth="1"/>
    <col min="2581" max="2585" width="9.7109375" style="3" customWidth="1"/>
    <col min="2586" max="2586" width="11.140625" style="3" customWidth="1"/>
    <col min="2587" max="2591" width="9.7109375" style="3" customWidth="1"/>
    <col min="2592" max="2592" width="11.140625" style="3" customWidth="1"/>
    <col min="2593" max="2597" width="9.7109375" style="3" customWidth="1"/>
    <col min="2598" max="2598" width="11.140625" style="3" customWidth="1"/>
    <col min="2599" max="2603" width="9.7109375" style="3" customWidth="1"/>
    <col min="2604" max="2604" width="11.140625" style="3" customWidth="1"/>
    <col min="2605" max="2609" width="9.7109375" style="3" customWidth="1"/>
    <col min="2610" max="2610" width="11.140625" style="3" customWidth="1"/>
    <col min="2611" max="2615" width="9.7109375" style="3" customWidth="1"/>
    <col min="2616" max="2616" width="11.140625" style="3" customWidth="1"/>
    <col min="2617" max="2621" width="9.7109375" style="3" customWidth="1"/>
    <col min="2622" max="2622" width="11.140625" style="3" customWidth="1"/>
    <col min="2623" max="2627" width="9.7109375" style="3" customWidth="1"/>
    <col min="2628" max="2628" width="11.140625" style="3" customWidth="1"/>
    <col min="2629" max="2633" width="9.7109375" style="3" customWidth="1"/>
    <col min="2634" max="2634" width="11.140625" style="3" customWidth="1"/>
    <col min="2635" max="2639" width="9.7109375" style="3" customWidth="1"/>
    <col min="2640" max="2640" width="11.140625" style="3" customWidth="1"/>
    <col min="2641" max="2645" width="9.7109375" style="3" customWidth="1"/>
    <col min="2646" max="2646" width="11.140625" style="3" customWidth="1"/>
    <col min="2647" max="2651" width="9.7109375" style="3" customWidth="1"/>
    <col min="2652" max="2817" width="8.85546875" style="3"/>
    <col min="2818" max="2818" width="12.140625" style="3" bestFit="1" customWidth="1"/>
    <col min="2819" max="2819" width="11.140625" style="3" bestFit="1" customWidth="1"/>
    <col min="2820" max="2829" width="9.7109375" style="3" customWidth="1"/>
    <col min="2830" max="2830" width="11.140625" style="3" bestFit="1" customWidth="1"/>
    <col min="2831" max="2835" width="9.7109375" style="3" customWidth="1"/>
    <col min="2836" max="2836" width="11.140625" style="3" customWidth="1"/>
    <col min="2837" max="2841" width="9.7109375" style="3" customWidth="1"/>
    <col min="2842" max="2842" width="11.140625" style="3" customWidth="1"/>
    <col min="2843" max="2847" width="9.7109375" style="3" customWidth="1"/>
    <col min="2848" max="2848" width="11.140625" style="3" customWidth="1"/>
    <col min="2849" max="2853" width="9.7109375" style="3" customWidth="1"/>
    <col min="2854" max="2854" width="11.140625" style="3" customWidth="1"/>
    <col min="2855" max="2859" width="9.7109375" style="3" customWidth="1"/>
    <col min="2860" max="2860" width="11.140625" style="3" customWidth="1"/>
    <col min="2861" max="2865" width="9.7109375" style="3" customWidth="1"/>
    <col min="2866" max="2866" width="11.140625" style="3" customWidth="1"/>
    <col min="2867" max="2871" width="9.7109375" style="3" customWidth="1"/>
    <col min="2872" max="2872" width="11.140625" style="3" customWidth="1"/>
    <col min="2873" max="2877" width="9.7109375" style="3" customWidth="1"/>
    <col min="2878" max="2878" width="11.140625" style="3" customWidth="1"/>
    <col min="2879" max="2883" width="9.7109375" style="3" customWidth="1"/>
    <col min="2884" max="2884" width="11.140625" style="3" customWidth="1"/>
    <col min="2885" max="2889" width="9.7109375" style="3" customWidth="1"/>
    <col min="2890" max="2890" width="11.140625" style="3" customWidth="1"/>
    <col min="2891" max="2895" width="9.7109375" style="3" customWidth="1"/>
    <col min="2896" max="2896" width="11.140625" style="3" customWidth="1"/>
    <col min="2897" max="2901" width="9.7109375" style="3" customWidth="1"/>
    <col min="2902" max="2902" width="11.140625" style="3" customWidth="1"/>
    <col min="2903" max="2907" width="9.7109375" style="3" customWidth="1"/>
    <col min="2908" max="3073" width="8.85546875" style="3"/>
    <col min="3074" max="3074" width="12.140625" style="3" bestFit="1" customWidth="1"/>
    <col min="3075" max="3075" width="11.140625" style="3" bestFit="1" customWidth="1"/>
    <col min="3076" max="3085" width="9.7109375" style="3" customWidth="1"/>
    <col min="3086" max="3086" width="11.140625" style="3" bestFit="1" customWidth="1"/>
    <col min="3087" max="3091" width="9.7109375" style="3" customWidth="1"/>
    <col min="3092" max="3092" width="11.140625" style="3" customWidth="1"/>
    <col min="3093" max="3097" width="9.7109375" style="3" customWidth="1"/>
    <col min="3098" max="3098" width="11.140625" style="3" customWidth="1"/>
    <col min="3099" max="3103" width="9.7109375" style="3" customWidth="1"/>
    <col min="3104" max="3104" width="11.140625" style="3" customWidth="1"/>
    <col min="3105" max="3109" width="9.7109375" style="3" customWidth="1"/>
    <col min="3110" max="3110" width="11.140625" style="3" customWidth="1"/>
    <col min="3111" max="3115" width="9.7109375" style="3" customWidth="1"/>
    <col min="3116" max="3116" width="11.140625" style="3" customWidth="1"/>
    <col min="3117" max="3121" width="9.7109375" style="3" customWidth="1"/>
    <col min="3122" max="3122" width="11.140625" style="3" customWidth="1"/>
    <col min="3123" max="3127" width="9.7109375" style="3" customWidth="1"/>
    <col min="3128" max="3128" width="11.140625" style="3" customWidth="1"/>
    <col min="3129" max="3133" width="9.7109375" style="3" customWidth="1"/>
    <col min="3134" max="3134" width="11.140625" style="3" customWidth="1"/>
    <col min="3135" max="3139" width="9.7109375" style="3" customWidth="1"/>
    <col min="3140" max="3140" width="11.140625" style="3" customWidth="1"/>
    <col min="3141" max="3145" width="9.7109375" style="3" customWidth="1"/>
    <col min="3146" max="3146" width="11.140625" style="3" customWidth="1"/>
    <col min="3147" max="3151" width="9.7109375" style="3" customWidth="1"/>
    <col min="3152" max="3152" width="11.140625" style="3" customWidth="1"/>
    <col min="3153" max="3157" width="9.7109375" style="3" customWidth="1"/>
    <col min="3158" max="3158" width="11.140625" style="3" customWidth="1"/>
    <col min="3159" max="3163" width="9.7109375" style="3" customWidth="1"/>
    <col min="3164" max="3329" width="8.85546875" style="3"/>
    <col min="3330" max="3330" width="12.140625" style="3" bestFit="1" customWidth="1"/>
    <col min="3331" max="3331" width="11.140625" style="3" bestFit="1" customWidth="1"/>
    <col min="3332" max="3341" width="9.7109375" style="3" customWidth="1"/>
    <col min="3342" max="3342" width="11.140625" style="3" bestFit="1" customWidth="1"/>
    <col min="3343" max="3347" width="9.7109375" style="3" customWidth="1"/>
    <col min="3348" max="3348" width="11.140625" style="3" customWidth="1"/>
    <col min="3349" max="3353" width="9.7109375" style="3" customWidth="1"/>
    <col min="3354" max="3354" width="11.140625" style="3" customWidth="1"/>
    <col min="3355" max="3359" width="9.7109375" style="3" customWidth="1"/>
    <col min="3360" max="3360" width="11.140625" style="3" customWidth="1"/>
    <col min="3361" max="3365" width="9.7109375" style="3" customWidth="1"/>
    <col min="3366" max="3366" width="11.140625" style="3" customWidth="1"/>
    <col min="3367" max="3371" width="9.7109375" style="3" customWidth="1"/>
    <col min="3372" max="3372" width="11.140625" style="3" customWidth="1"/>
    <col min="3373" max="3377" width="9.7109375" style="3" customWidth="1"/>
    <col min="3378" max="3378" width="11.140625" style="3" customWidth="1"/>
    <col min="3379" max="3383" width="9.7109375" style="3" customWidth="1"/>
    <col min="3384" max="3384" width="11.140625" style="3" customWidth="1"/>
    <col min="3385" max="3389" width="9.7109375" style="3" customWidth="1"/>
    <col min="3390" max="3390" width="11.140625" style="3" customWidth="1"/>
    <col min="3391" max="3395" width="9.7109375" style="3" customWidth="1"/>
    <col min="3396" max="3396" width="11.140625" style="3" customWidth="1"/>
    <col min="3397" max="3401" width="9.7109375" style="3" customWidth="1"/>
    <col min="3402" max="3402" width="11.140625" style="3" customWidth="1"/>
    <col min="3403" max="3407" width="9.7109375" style="3" customWidth="1"/>
    <col min="3408" max="3408" width="11.140625" style="3" customWidth="1"/>
    <col min="3409" max="3413" width="9.7109375" style="3" customWidth="1"/>
    <col min="3414" max="3414" width="11.140625" style="3" customWidth="1"/>
    <col min="3415" max="3419" width="9.7109375" style="3" customWidth="1"/>
    <col min="3420" max="3585" width="8.85546875" style="3"/>
    <col min="3586" max="3586" width="12.140625" style="3" bestFit="1" customWidth="1"/>
    <col min="3587" max="3587" width="11.140625" style="3" bestFit="1" customWidth="1"/>
    <col min="3588" max="3597" width="9.7109375" style="3" customWidth="1"/>
    <col min="3598" max="3598" width="11.140625" style="3" bestFit="1" customWidth="1"/>
    <col min="3599" max="3603" width="9.7109375" style="3" customWidth="1"/>
    <col min="3604" max="3604" width="11.140625" style="3" customWidth="1"/>
    <col min="3605" max="3609" width="9.7109375" style="3" customWidth="1"/>
    <col min="3610" max="3610" width="11.140625" style="3" customWidth="1"/>
    <col min="3611" max="3615" width="9.7109375" style="3" customWidth="1"/>
    <col min="3616" max="3616" width="11.140625" style="3" customWidth="1"/>
    <col min="3617" max="3621" width="9.7109375" style="3" customWidth="1"/>
    <col min="3622" max="3622" width="11.140625" style="3" customWidth="1"/>
    <col min="3623" max="3627" width="9.7109375" style="3" customWidth="1"/>
    <col min="3628" max="3628" width="11.140625" style="3" customWidth="1"/>
    <col min="3629" max="3633" width="9.7109375" style="3" customWidth="1"/>
    <col min="3634" max="3634" width="11.140625" style="3" customWidth="1"/>
    <col min="3635" max="3639" width="9.7109375" style="3" customWidth="1"/>
    <col min="3640" max="3640" width="11.140625" style="3" customWidth="1"/>
    <col min="3641" max="3645" width="9.7109375" style="3" customWidth="1"/>
    <col min="3646" max="3646" width="11.140625" style="3" customWidth="1"/>
    <col min="3647" max="3651" width="9.7109375" style="3" customWidth="1"/>
    <col min="3652" max="3652" width="11.140625" style="3" customWidth="1"/>
    <col min="3653" max="3657" width="9.7109375" style="3" customWidth="1"/>
    <col min="3658" max="3658" width="11.140625" style="3" customWidth="1"/>
    <col min="3659" max="3663" width="9.7109375" style="3" customWidth="1"/>
    <col min="3664" max="3664" width="11.140625" style="3" customWidth="1"/>
    <col min="3665" max="3669" width="9.7109375" style="3" customWidth="1"/>
    <col min="3670" max="3670" width="11.140625" style="3" customWidth="1"/>
    <col min="3671" max="3675" width="9.7109375" style="3" customWidth="1"/>
    <col min="3676" max="3841" width="8.85546875" style="3"/>
    <col min="3842" max="3842" width="12.140625" style="3" bestFit="1" customWidth="1"/>
    <col min="3843" max="3843" width="11.140625" style="3" bestFit="1" customWidth="1"/>
    <col min="3844" max="3853" width="9.7109375" style="3" customWidth="1"/>
    <col min="3854" max="3854" width="11.140625" style="3" bestFit="1" customWidth="1"/>
    <col min="3855" max="3859" width="9.7109375" style="3" customWidth="1"/>
    <col min="3860" max="3860" width="11.140625" style="3" customWidth="1"/>
    <col min="3861" max="3865" width="9.7109375" style="3" customWidth="1"/>
    <col min="3866" max="3866" width="11.140625" style="3" customWidth="1"/>
    <col min="3867" max="3871" width="9.7109375" style="3" customWidth="1"/>
    <col min="3872" max="3872" width="11.140625" style="3" customWidth="1"/>
    <col min="3873" max="3877" width="9.7109375" style="3" customWidth="1"/>
    <col min="3878" max="3878" width="11.140625" style="3" customWidth="1"/>
    <col min="3879" max="3883" width="9.7109375" style="3" customWidth="1"/>
    <col min="3884" max="3884" width="11.140625" style="3" customWidth="1"/>
    <col min="3885" max="3889" width="9.7109375" style="3" customWidth="1"/>
    <col min="3890" max="3890" width="11.140625" style="3" customWidth="1"/>
    <col min="3891" max="3895" width="9.7109375" style="3" customWidth="1"/>
    <col min="3896" max="3896" width="11.140625" style="3" customWidth="1"/>
    <col min="3897" max="3901" width="9.7109375" style="3" customWidth="1"/>
    <col min="3902" max="3902" width="11.140625" style="3" customWidth="1"/>
    <col min="3903" max="3907" width="9.7109375" style="3" customWidth="1"/>
    <col min="3908" max="3908" width="11.140625" style="3" customWidth="1"/>
    <col min="3909" max="3913" width="9.7109375" style="3" customWidth="1"/>
    <col min="3914" max="3914" width="11.140625" style="3" customWidth="1"/>
    <col min="3915" max="3919" width="9.7109375" style="3" customWidth="1"/>
    <col min="3920" max="3920" width="11.140625" style="3" customWidth="1"/>
    <col min="3921" max="3925" width="9.7109375" style="3" customWidth="1"/>
    <col min="3926" max="3926" width="11.140625" style="3" customWidth="1"/>
    <col min="3927" max="3931" width="9.7109375" style="3" customWidth="1"/>
    <col min="3932" max="4097" width="8.85546875" style="3"/>
    <col min="4098" max="4098" width="12.140625" style="3" bestFit="1" customWidth="1"/>
    <col min="4099" max="4099" width="11.140625" style="3" bestFit="1" customWidth="1"/>
    <col min="4100" max="4109" width="9.7109375" style="3" customWidth="1"/>
    <col min="4110" max="4110" width="11.140625" style="3" bestFit="1" customWidth="1"/>
    <col min="4111" max="4115" width="9.7109375" style="3" customWidth="1"/>
    <col min="4116" max="4116" width="11.140625" style="3" customWidth="1"/>
    <col min="4117" max="4121" width="9.7109375" style="3" customWidth="1"/>
    <col min="4122" max="4122" width="11.140625" style="3" customWidth="1"/>
    <col min="4123" max="4127" width="9.7109375" style="3" customWidth="1"/>
    <col min="4128" max="4128" width="11.140625" style="3" customWidth="1"/>
    <col min="4129" max="4133" width="9.7109375" style="3" customWidth="1"/>
    <col min="4134" max="4134" width="11.140625" style="3" customWidth="1"/>
    <col min="4135" max="4139" width="9.7109375" style="3" customWidth="1"/>
    <col min="4140" max="4140" width="11.140625" style="3" customWidth="1"/>
    <col min="4141" max="4145" width="9.7109375" style="3" customWidth="1"/>
    <col min="4146" max="4146" width="11.140625" style="3" customWidth="1"/>
    <col min="4147" max="4151" width="9.7109375" style="3" customWidth="1"/>
    <col min="4152" max="4152" width="11.140625" style="3" customWidth="1"/>
    <col min="4153" max="4157" width="9.7109375" style="3" customWidth="1"/>
    <col min="4158" max="4158" width="11.140625" style="3" customWidth="1"/>
    <col min="4159" max="4163" width="9.7109375" style="3" customWidth="1"/>
    <col min="4164" max="4164" width="11.140625" style="3" customWidth="1"/>
    <col min="4165" max="4169" width="9.7109375" style="3" customWidth="1"/>
    <col min="4170" max="4170" width="11.140625" style="3" customWidth="1"/>
    <col min="4171" max="4175" width="9.7109375" style="3" customWidth="1"/>
    <col min="4176" max="4176" width="11.140625" style="3" customWidth="1"/>
    <col min="4177" max="4181" width="9.7109375" style="3" customWidth="1"/>
    <col min="4182" max="4182" width="11.140625" style="3" customWidth="1"/>
    <col min="4183" max="4187" width="9.7109375" style="3" customWidth="1"/>
    <col min="4188" max="4353" width="8.85546875" style="3"/>
    <col min="4354" max="4354" width="12.140625" style="3" bestFit="1" customWidth="1"/>
    <col min="4355" max="4355" width="11.140625" style="3" bestFit="1" customWidth="1"/>
    <col min="4356" max="4365" width="9.7109375" style="3" customWidth="1"/>
    <col min="4366" max="4366" width="11.140625" style="3" bestFit="1" customWidth="1"/>
    <col min="4367" max="4371" width="9.7109375" style="3" customWidth="1"/>
    <col min="4372" max="4372" width="11.140625" style="3" customWidth="1"/>
    <col min="4373" max="4377" width="9.7109375" style="3" customWidth="1"/>
    <col min="4378" max="4378" width="11.140625" style="3" customWidth="1"/>
    <col min="4379" max="4383" width="9.7109375" style="3" customWidth="1"/>
    <col min="4384" max="4384" width="11.140625" style="3" customWidth="1"/>
    <col min="4385" max="4389" width="9.7109375" style="3" customWidth="1"/>
    <col min="4390" max="4390" width="11.140625" style="3" customWidth="1"/>
    <col min="4391" max="4395" width="9.7109375" style="3" customWidth="1"/>
    <col min="4396" max="4396" width="11.140625" style="3" customWidth="1"/>
    <col min="4397" max="4401" width="9.7109375" style="3" customWidth="1"/>
    <col min="4402" max="4402" width="11.140625" style="3" customWidth="1"/>
    <col min="4403" max="4407" width="9.7109375" style="3" customWidth="1"/>
    <col min="4408" max="4408" width="11.140625" style="3" customWidth="1"/>
    <col min="4409" max="4413" width="9.7109375" style="3" customWidth="1"/>
    <col min="4414" max="4414" width="11.140625" style="3" customWidth="1"/>
    <col min="4415" max="4419" width="9.7109375" style="3" customWidth="1"/>
    <col min="4420" max="4420" width="11.140625" style="3" customWidth="1"/>
    <col min="4421" max="4425" width="9.7109375" style="3" customWidth="1"/>
    <col min="4426" max="4426" width="11.140625" style="3" customWidth="1"/>
    <col min="4427" max="4431" width="9.7109375" style="3" customWidth="1"/>
    <col min="4432" max="4432" width="11.140625" style="3" customWidth="1"/>
    <col min="4433" max="4437" width="9.7109375" style="3" customWidth="1"/>
    <col min="4438" max="4438" width="11.140625" style="3" customWidth="1"/>
    <col min="4439" max="4443" width="9.7109375" style="3" customWidth="1"/>
    <col min="4444" max="4609" width="8.85546875" style="3"/>
    <col min="4610" max="4610" width="12.140625" style="3" bestFit="1" customWidth="1"/>
    <col min="4611" max="4611" width="11.140625" style="3" bestFit="1" customWidth="1"/>
    <col min="4612" max="4621" width="9.7109375" style="3" customWidth="1"/>
    <col min="4622" max="4622" width="11.140625" style="3" bestFit="1" customWidth="1"/>
    <col min="4623" max="4627" width="9.7109375" style="3" customWidth="1"/>
    <col min="4628" max="4628" width="11.140625" style="3" customWidth="1"/>
    <col min="4629" max="4633" width="9.7109375" style="3" customWidth="1"/>
    <col min="4634" max="4634" width="11.140625" style="3" customWidth="1"/>
    <col min="4635" max="4639" width="9.7109375" style="3" customWidth="1"/>
    <col min="4640" max="4640" width="11.140625" style="3" customWidth="1"/>
    <col min="4641" max="4645" width="9.7109375" style="3" customWidth="1"/>
    <col min="4646" max="4646" width="11.140625" style="3" customWidth="1"/>
    <col min="4647" max="4651" width="9.7109375" style="3" customWidth="1"/>
    <col min="4652" max="4652" width="11.140625" style="3" customWidth="1"/>
    <col min="4653" max="4657" width="9.7109375" style="3" customWidth="1"/>
    <col min="4658" max="4658" width="11.140625" style="3" customWidth="1"/>
    <col min="4659" max="4663" width="9.7109375" style="3" customWidth="1"/>
    <col min="4664" max="4664" width="11.140625" style="3" customWidth="1"/>
    <col min="4665" max="4669" width="9.7109375" style="3" customWidth="1"/>
    <col min="4670" max="4670" width="11.140625" style="3" customWidth="1"/>
    <col min="4671" max="4675" width="9.7109375" style="3" customWidth="1"/>
    <col min="4676" max="4676" width="11.140625" style="3" customWidth="1"/>
    <col min="4677" max="4681" width="9.7109375" style="3" customWidth="1"/>
    <col min="4682" max="4682" width="11.140625" style="3" customWidth="1"/>
    <col min="4683" max="4687" width="9.7109375" style="3" customWidth="1"/>
    <col min="4688" max="4688" width="11.140625" style="3" customWidth="1"/>
    <col min="4689" max="4693" width="9.7109375" style="3" customWidth="1"/>
    <col min="4694" max="4694" width="11.140625" style="3" customWidth="1"/>
    <col min="4695" max="4699" width="9.7109375" style="3" customWidth="1"/>
    <col min="4700" max="4865" width="8.85546875" style="3"/>
    <col min="4866" max="4866" width="12.140625" style="3" bestFit="1" customWidth="1"/>
    <col min="4867" max="4867" width="11.140625" style="3" bestFit="1" customWidth="1"/>
    <col min="4868" max="4877" width="9.7109375" style="3" customWidth="1"/>
    <col min="4878" max="4878" width="11.140625" style="3" bestFit="1" customWidth="1"/>
    <col min="4879" max="4883" width="9.7109375" style="3" customWidth="1"/>
    <col min="4884" max="4884" width="11.140625" style="3" customWidth="1"/>
    <col min="4885" max="4889" width="9.7109375" style="3" customWidth="1"/>
    <col min="4890" max="4890" width="11.140625" style="3" customWidth="1"/>
    <col min="4891" max="4895" width="9.7109375" style="3" customWidth="1"/>
    <col min="4896" max="4896" width="11.140625" style="3" customWidth="1"/>
    <col min="4897" max="4901" width="9.7109375" style="3" customWidth="1"/>
    <col min="4902" max="4902" width="11.140625" style="3" customWidth="1"/>
    <col min="4903" max="4907" width="9.7109375" style="3" customWidth="1"/>
    <col min="4908" max="4908" width="11.140625" style="3" customWidth="1"/>
    <col min="4909" max="4913" width="9.7109375" style="3" customWidth="1"/>
    <col min="4914" max="4914" width="11.140625" style="3" customWidth="1"/>
    <col min="4915" max="4919" width="9.7109375" style="3" customWidth="1"/>
    <col min="4920" max="4920" width="11.140625" style="3" customWidth="1"/>
    <col min="4921" max="4925" width="9.7109375" style="3" customWidth="1"/>
    <col min="4926" max="4926" width="11.140625" style="3" customWidth="1"/>
    <col min="4927" max="4931" width="9.7109375" style="3" customWidth="1"/>
    <col min="4932" max="4932" width="11.140625" style="3" customWidth="1"/>
    <col min="4933" max="4937" width="9.7109375" style="3" customWidth="1"/>
    <col min="4938" max="4938" width="11.140625" style="3" customWidth="1"/>
    <col min="4939" max="4943" width="9.7109375" style="3" customWidth="1"/>
    <col min="4944" max="4944" width="11.140625" style="3" customWidth="1"/>
    <col min="4945" max="4949" width="9.7109375" style="3" customWidth="1"/>
    <col min="4950" max="4950" width="11.140625" style="3" customWidth="1"/>
    <col min="4951" max="4955" width="9.7109375" style="3" customWidth="1"/>
    <col min="4956" max="5121" width="8.85546875" style="3"/>
    <col min="5122" max="5122" width="12.140625" style="3" bestFit="1" customWidth="1"/>
    <col min="5123" max="5123" width="11.140625" style="3" bestFit="1" customWidth="1"/>
    <col min="5124" max="5133" width="9.7109375" style="3" customWidth="1"/>
    <col min="5134" max="5134" width="11.140625" style="3" bestFit="1" customWidth="1"/>
    <col min="5135" max="5139" width="9.7109375" style="3" customWidth="1"/>
    <col min="5140" max="5140" width="11.140625" style="3" customWidth="1"/>
    <col min="5141" max="5145" width="9.7109375" style="3" customWidth="1"/>
    <col min="5146" max="5146" width="11.140625" style="3" customWidth="1"/>
    <col min="5147" max="5151" width="9.7109375" style="3" customWidth="1"/>
    <col min="5152" max="5152" width="11.140625" style="3" customWidth="1"/>
    <col min="5153" max="5157" width="9.7109375" style="3" customWidth="1"/>
    <col min="5158" max="5158" width="11.140625" style="3" customWidth="1"/>
    <col min="5159" max="5163" width="9.7109375" style="3" customWidth="1"/>
    <col min="5164" max="5164" width="11.140625" style="3" customWidth="1"/>
    <col min="5165" max="5169" width="9.7109375" style="3" customWidth="1"/>
    <col min="5170" max="5170" width="11.140625" style="3" customWidth="1"/>
    <col min="5171" max="5175" width="9.7109375" style="3" customWidth="1"/>
    <col min="5176" max="5176" width="11.140625" style="3" customWidth="1"/>
    <col min="5177" max="5181" width="9.7109375" style="3" customWidth="1"/>
    <col min="5182" max="5182" width="11.140625" style="3" customWidth="1"/>
    <col min="5183" max="5187" width="9.7109375" style="3" customWidth="1"/>
    <col min="5188" max="5188" width="11.140625" style="3" customWidth="1"/>
    <col min="5189" max="5193" width="9.7109375" style="3" customWidth="1"/>
    <col min="5194" max="5194" width="11.140625" style="3" customWidth="1"/>
    <col min="5195" max="5199" width="9.7109375" style="3" customWidth="1"/>
    <col min="5200" max="5200" width="11.140625" style="3" customWidth="1"/>
    <col min="5201" max="5205" width="9.7109375" style="3" customWidth="1"/>
    <col min="5206" max="5206" width="11.140625" style="3" customWidth="1"/>
    <col min="5207" max="5211" width="9.7109375" style="3" customWidth="1"/>
    <col min="5212" max="5377" width="8.85546875" style="3"/>
    <col min="5378" max="5378" width="12.140625" style="3" bestFit="1" customWidth="1"/>
    <col min="5379" max="5379" width="11.140625" style="3" bestFit="1" customWidth="1"/>
    <col min="5380" max="5389" width="9.7109375" style="3" customWidth="1"/>
    <col min="5390" max="5390" width="11.140625" style="3" bestFit="1" customWidth="1"/>
    <col min="5391" max="5395" width="9.7109375" style="3" customWidth="1"/>
    <col min="5396" max="5396" width="11.140625" style="3" customWidth="1"/>
    <col min="5397" max="5401" width="9.7109375" style="3" customWidth="1"/>
    <col min="5402" max="5402" width="11.140625" style="3" customWidth="1"/>
    <col min="5403" max="5407" width="9.7109375" style="3" customWidth="1"/>
    <col min="5408" max="5408" width="11.140625" style="3" customWidth="1"/>
    <col min="5409" max="5413" width="9.7109375" style="3" customWidth="1"/>
    <col min="5414" max="5414" width="11.140625" style="3" customWidth="1"/>
    <col min="5415" max="5419" width="9.7109375" style="3" customWidth="1"/>
    <col min="5420" max="5420" width="11.140625" style="3" customWidth="1"/>
    <col min="5421" max="5425" width="9.7109375" style="3" customWidth="1"/>
    <col min="5426" max="5426" width="11.140625" style="3" customWidth="1"/>
    <col min="5427" max="5431" width="9.7109375" style="3" customWidth="1"/>
    <col min="5432" max="5432" width="11.140625" style="3" customWidth="1"/>
    <col min="5433" max="5437" width="9.7109375" style="3" customWidth="1"/>
    <col min="5438" max="5438" width="11.140625" style="3" customWidth="1"/>
    <col min="5439" max="5443" width="9.7109375" style="3" customWidth="1"/>
    <col min="5444" max="5444" width="11.140625" style="3" customWidth="1"/>
    <col min="5445" max="5449" width="9.7109375" style="3" customWidth="1"/>
    <col min="5450" max="5450" width="11.140625" style="3" customWidth="1"/>
    <col min="5451" max="5455" width="9.7109375" style="3" customWidth="1"/>
    <col min="5456" max="5456" width="11.140625" style="3" customWidth="1"/>
    <col min="5457" max="5461" width="9.7109375" style="3" customWidth="1"/>
    <col min="5462" max="5462" width="11.140625" style="3" customWidth="1"/>
    <col min="5463" max="5467" width="9.7109375" style="3" customWidth="1"/>
    <col min="5468" max="5633" width="8.85546875" style="3"/>
    <col min="5634" max="5634" width="12.140625" style="3" bestFit="1" customWidth="1"/>
    <col min="5635" max="5635" width="11.140625" style="3" bestFit="1" customWidth="1"/>
    <col min="5636" max="5645" width="9.7109375" style="3" customWidth="1"/>
    <col min="5646" max="5646" width="11.140625" style="3" bestFit="1" customWidth="1"/>
    <col min="5647" max="5651" width="9.7109375" style="3" customWidth="1"/>
    <col min="5652" max="5652" width="11.140625" style="3" customWidth="1"/>
    <col min="5653" max="5657" width="9.7109375" style="3" customWidth="1"/>
    <col min="5658" max="5658" width="11.140625" style="3" customWidth="1"/>
    <col min="5659" max="5663" width="9.7109375" style="3" customWidth="1"/>
    <col min="5664" max="5664" width="11.140625" style="3" customWidth="1"/>
    <col min="5665" max="5669" width="9.7109375" style="3" customWidth="1"/>
    <col min="5670" max="5670" width="11.140625" style="3" customWidth="1"/>
    <col min="5671" max="5675" width="9.7109375" style="3" customWidth="1"/>
    <col min="5676" max="5676" width="11.140625" style="3" customWidth="1"/>
    <col min="5677" max="5681" width="9.7109375" style="3" customWidth="1"/>
    <col min="5682" max="5682" width="11.140625" style="3" customWidth="1"/>
    <col min="5683" max="5687" width="9.7109375" style="3" customWidth="1"/>
    <col min="5688" max="5688" width="11.140625" style="3" customWidth="1"/>
    <col min="5689" max="5693" width="9.7109375" style="3" customWidth="1"/>
    <col min="5694" max="5694" width="11.140625" style="3" customWidth="1"/>
    <col min="5695" max="5699" width="9.7109375" style="3" customWidth="1"/>
    <col min="5700" max="5700" width="11.140625" style="3" customWidth="1"/>
    <col min="5701" max="5705" width="9.7109375" style="3" customWidth="1"/>
    <col min="5706" max="5706" width="11.140625" style="3" customWidth="1"/>
    <col min="5707" max="5711" width="9.7109375" style="3" customWidth="1"/>
    <col min="5712" max="5712" width="11.140625" style="3" customWidth="1"/>
    <col min="5713" max="5717" width="9.7109375" style="3" customWidth="1"/>
    <col min="5718" max="5718" width="11.140625" style="3" customWidth="1"/>
    <col min="5719" max="5723" width="9.7109375" style="3" customWidth="1"/>
    <col min="5724" max="5889" width="8.85546875" style="3"/>
    <col min="5890" max="5890" width="12.140625" style="3" bestFit="1" customWidth="1"/>
    <col min="5891" max="5891" width="11.140625" style="3" bestFit="1" customWidth="1"/>
    <col min="5892" max="5901" width="9.7109375" style="3" customWidth="1"/>
    <col min="5902" max="5902" width="11.140625" style="3" bestFit="1" customWidth="1"/>
    <col min="5903" max="5907" width="9.7109375" style="3" customWidth="1"/>
    <col min="5908" max="5908" width="11.140625" style="3" customWidth="1"/>
    <col min="5909" max="5913" width="9.7109375" style="3" customWidth="1"/>
    <col min="5914" max="5914" width="11.140625" style="3" customWidth="1"/>
    <col min="5915" max="5919" width="9.7109375" style="3" customWidth="1"/>
    <col min="5920" max="5920" width="11.140625" style="3" customWidth="1"/>
    <col min="5921" max="5925" width="9.7109375" style="3" customWidth="1"/>
    <col min="5926" max="5926" width="11.140625" style="3" customWidth="1"/>
    <col min="5927" max="5931" width="9.7109375" style="3" customWidth="1"/>
    <col min="5932" max="5932" width="11.140625" style="3" customWidth="1"/>
    <col min="5933" max="5937" width="9.7109375" style="3" customWidth="1"/>
    <col min="5938" max="5938" width="11.140625" style="3" customWidth="1"/>
    <col min="5939" max="5943" width="9.7109375" style="3" customWidth="1"/>
    <col min="5944" max="5944" width="11.140625" style="3" customWidth="1"/>
    <col min="5945" max="5949" width="9.7109375" style="3" customWidth="1"/>
    <col min="5950" max="5950" width="11.140625" style="3" customWidth="1"/>
    <col min="5951" max="5955" width="9.7109375" style="3" customWidth="1"/>
    <col min="5956" max="5956" width="11.140625" style="3" customWidth="1"/>
    <col min="5957" max="5961" width="9.7109375" style="3" customWidth="1"/>
    <col min="5962" max="5962" width="11.140625" style="3" customWidth="1"/>
    <col min="5963" max="5967" width="9.7109375" style="3" customWidth="1"/>
    <col min="5968" max="5968" width="11.140625" style="3" customWidth="1"/>
    <col min="5969" max="5973" width="9.7109375" style="3" customWidth="1"/>
    <col min="5974" max="5974" width="11.140625" style="3" customWidth="1"/>
    <col min="5975" max="5979" width="9.7109375" style="3" customWidth="1"/>
    <col min="5980" max="6145" width="8.85546875" style="3"/>
    <col min="6146" max="6146" width="12.140625" style="3" bestFit="1" customWidth="1"/>
    <col min="6147" max="6147" width="11.140625" style="3" bestFit="1" customWidth="1"/>
    <col min="6148" max="6157" width="9.7109375" style="3" customWidth="1"/>
    <col min="6158" max="6158" width="11.140625" style="3" bestFit="1" customWidth="1"/>
    <col min="6159" max="6163" width="9.7109375" style="3" customWidth="1"/>
    <col min="6164" max="6164" width="11.140625" style="3" customWidth="1"/>
    <col min="6165" max="6169" width="9.7109375" style="3" customWidth="1"/>
    <col min="6170" max="6170" width="11.140625" style="3" customWidth="1"/>
    <col min="6171" max="6175" width="9.7109375" style="3" customWidth="1"/>
    <col min="6176" max="6176" width="11.140625" style="3" customWidth="1"/>
    <col min="6177" max="6181" width="9.7109375" style="3" customWidth="1"/>
    <col min="6182" max="6182" width="11.140625" style="3" customWidth="1"/>
    <col min="6183" max="6187" width="9.7109375" style="3" customWidth="1"/>
    <col min="6188" max="6188" width="11.140625" style="3" customWidth="1"/>
    <col min="6189" max="6193" width="9.7109375" style="3" customWidth="1"/>
    <col min="6194" max="6194" width="11.140625" style="3" customWidth="1"/>
    <col min="6195" max="6199" width="9.7109375" style="3" customWidth="1"/>
    <col min="6200" max="6200" width="11.140625" style="3" customWidth="1"/>
    <col min="6201" max="6205" width="9.7109375" style="3" customWidth="1"/>
    <col min="6206" max="6206" width="11.140625" style="3" customWidth="1"/>
    <col min="6207" max="6211" width="9.7109375" style="3" customWidth="1"/>
    <col min="6212" max="6212" width="11.140625" style="3" customWidth="1"/>
    <col min="6213" max="6217" width="9.7109375" style="3" customWidth="1"/>
    <col min="6218" max="6218" width="11.140625" style="3" customWidth="1"/>
    <col min="6219" max="6223" width="9.7109375" style="3" customWidth="1"/>
    <col min="6224" max="6224" width="11.140625" style="3" customWidth="1"/>
    <col min="6225" max="6229" width="9.7109375" style="3" customWidth="1"/>
    <col min="6230" max="6230" width="11.140625" style="3" customWidth="1"/>
    <col min="6231" max="6235" width="9.7109375" style="3" customWidth="1"/>
    <col min="6236" max="6401" width="8.85546875" style="3"/>
    <col min="6402" max="6402" width="12.140625" style="3" bestFit="1" customWidth="1"/>
    <col min="6403" max="6403" width="11.140625" style="3" bestFit="1" customWidth="1"/>
    <col min="6404" max="6413" width="9.7109375" style="3" customWidth="1"/>
    <col min="6414" max="6414" width="11.140625" style="3" bestFit="1" customWidth="1"/>
    <col min="6415" max="6419" width="9.7109375" style="3" customWidth="1"/>
    <col min="6420" max="6420" width="11.140625" style="3" customWidth="1"/>
    <col min="6421" max="6425" width="9.7109375" style="3" customWidth="1"/>
    <col min="6426" max="6426" width="11.140625" style="3" customWidth="1"/>
    <col min="6427" max="6431" width="9.7109375" style="3" customWidth="1"/>
    <col min="6432" max="6432" width="11.140625" style="3" customWidth="1"/>
    <col min="6433" max="6437" width="9.7109375" style="3" customWidth="1"/>
    <col min="6438" max="6438" width="11.140625" style="3" customWidth="1"/>
    <col min="6439" max="6443" width="9.7109375" style="3" customWidth="1"/>
    <col min="6444" max="6444" width="11.140625" style="3" customWidth="1"/>
    <col min="6445" max="6449" width="9.7109375" style="3" customWidth="1"/>
    <col min="6450" max="6450" width="11.140625" style="3" customWidth="1"/>
    <col min="6451" max="6455" width="9.7109375" style="3" customWidth="1"/>
    <col min="6456" max="6456" width="11.140625" style="3" customWidth="1"/>
    <col min="6457" max="6461" width="9.7109375" style="3" customWidth="1"/>
    <col min="6462" max="6462" width="11.140625" style="3" customWidth="1"/>
    <col min="6463" max="6467" width="9.7109375" style="3" customWidth="1"/>
    <col min="6468" max="6468" width="11.140625" style="3" customWidth="1"/>
    <col min="6469" max="6473" width="9.7109375" style="3" customWidth="1"/>
    <col min="6474" max="6474" width="11.140625" style="3" customWidth="1"/>
    <col min="6475" max="6479" width="9.7109375" style="3" customWidth="1"/>
    <col min="6480" max="6480" width="11.140625" style="3" customWidth="1"/>
    <col min="6481" max="6485" width="9.7109375" style="3" customWidth="1"/>
    <col min="6486" max="6486" width="11.140625" style="3" customWidth="1"/>
    <col min="6487" max="6491" width="9.7109375" style="3" customWidth="1"/>
    <col min="6492" max="6657" width="8.85546875" style="3"/>
    <col min="6658" max="6658" width="12.140625" style="3" bestFit="1" customWidth="1"/>
    <col min="6659" max="6659" width="11.140625" style="3" bestFit="1" customWidth="1"/>
    <col min="6660" max="6669" width="9.7109375" style="3" customWidth="1"/>
    <col min="6670" max="6670" width="11.140625" style="3" bestFit="1" customWidth="1"/>
    <col min="6671" max="6675" width="9.7109375" style="3" customWidth="1"/>
    <col min="6676" max="6676" width="11.140625" style="3" customWidth="1"/>
    <col min="6677" max="6681" width="9.7109375" style="3" customWidth="1"/>
    <col min="6682" max="6682" width="11.140625" style="3" customWidth="1"/>
    <col min="6683" max="6687" width="9.7109375" style="3" customWidth="1"/>
    <col min="6688" max="6688" width="11.140625" style="3" customWidth="1"/>
    <col min="6689" max="6693" width="9.7109375" style="3" customWidth="1"/>
    <col min="6694" max="6694" width="11.140625" style="3" customWidth="1"/>
    <col min="6695" max="6699" width="9.7109375" style="3" customWidth="1"/>
    <col min="6700" max="6700" width="11.140625" style="3" customWidth="1"/>
    <col min="6701" max="6705" width="9.7109375" style="3" customWidth="1"/>
    <col min="6706" max="6706" width="11.140625" style="3" customWidth="1"/>
    <col min="6707" max="6711" width="9.7109375" style="3" customWidth="1"/>
    <col min="6712" max="6712" width="11.140625" style="3" customWidth="1"/>
    <col min="6713" max="6717" width="9.7109375" style="3" customWidth="1"/>
    <col min="6718" max="6718" width="11.140625" style="3" customWidth="1"/>
    <col min="6719" max="6723" width="9.7109375" style="3" customWidth="1"/>
    <col min="6724" max="6724" width="11.140625" style="3" customWidth="1"/>
    <col min="6725" max="6729" width="9.7109375" style="3" customWidth="1"/>
    <col min="6730" max="6730" width="11.140625" style="3" customWidth="1"/>
    <col min="6731" max="6735" width="9.7109375" style="3" customWidth="1"/>
    <col min="6736" max="6736" width="11.140625" style="3" customWidth="1"/>
    <col min="6737" max="6741" width="9.7109375" style="3" customWidth="1"/>
    <col min="6742" max="6742" width="11.140625" style="3" customWidth="1"/>
    <col min="6743" max="6747" width="9.7109375" style="3" customWidth="1"/>
    <col min="6748" max="6913" width="8.85546875" style="3"/>
    <col min="6914" max="6914" width="12.140625" style="3" bestFit="1" customWidth="1"/>
    <col min="6915" max="6915" width="11.140625" style="3" bestFit="1" customWidth="1"/>
    <col min="6916" max="6925" width="9.7109375" style="3" customWidth="1"/>
    <col min="6926" max="6926" width="11.140625" style="3" bestFit="1" customWidth="1"/>
    <col min="6927" max="6931" width="9.7109375" style="3" customWidth="1"/>
    <col min="6932" max="6932" width="11.140625" style="3" customWidth="1"/>
    <col min="6933" max="6937" width="9.7109375" style="3" customWidth="1"/>
    <col min="6938" max="6938" width="11.140625" style="3" customWidth="1"/>
    <col min="6939" max="6943" width="9.7109375" style="3" customWidth="1"/>
    <col min="6944" max="6944" width="11.140625" style="3" customWidth="1"/>
    <col min="6945" max="6949" width="9.7109375" style="3" customWidth="1"/>
    <col min="6950" max="6950" width="11.140625" style="3" customWidth="1"/>
    <col min="6951" max="6955" width="9.7109375" style="3" customWidth="1"/>
    <col min="6956" max="6956" width="11.140625" style="3" customWidth="1"/>
    <col min="6957" max="6961" width="9.7109375" style="3" customWidth="1"/>
    <col min="6962" max="6962" width="11.140625" style="3" customWidth="1"/>
    <col min="6963" max="6967" width="9.7109375" style="3" customWidth="1"/>
    <col min="6968" max="6968" width="11.140625" style="3" customWidth="1"/>
    <col min="6969" max="6973" width="9.7109375" style="3" customWidth="1"/>
    <col min="6974" max="6974" width="11.140625" style="3" customWidth="1"/>
    <col min="6975" max="6979" width="9.7109375" style="3" customWidth="1"/>
    <col min="6980" max="6980" width="11.140625" style="3" customWidth="1"/>
    <col min="6981" max="6985" width="9.7109375" style="3" customWidth="1"/>
    <col min="6986" max="6986" width="11.140625" style="3" customWidth="1"/>
    <col min="6987" max="6991" width="9.7109375" style="3" customWidth="1"/>
    <col min="6992" max="6992" width="11.140625" style="3" customWidth="1"/>
    <col min="6993" max="6997" width="9.7109375" style="3" customWidth="1"/>
    <col min="6998" max="6998" width="11.140625" style="3" customWidth="1"/>
    <col min="6999" max="7003" width="9.7109375" style="3" customWidth="1"/>
    <col min="7004" max="7169" width="8.85546875" style="3"/>
    <col min="7170" max="7170" width="12.140625" style="3" bestFit="1" customWidth="1"/>
    <col min="7171" max="7171" width="11.140625" style="3" bestFit="1" customWidth="1"/>
    <col min="7172" max="7181" width="9.7109375" style="3" customWidth="1"/>
    <col min="7182" max="7182" width="11.140625" style="3" bestFit="1" customWidth="1"/>
    <col min="7183" max="7187" width="9.7109375" style="3" customWidth="1"/>
    <col min="7188" max="7188" width="11.140625" style="3" customWidth="1"/>
    <col min="7189" max="7193" width="9.7109375" style="3" customWidth="1"/>
    <col min="7194" max="7194" width="11.140625" style="3" customWidth="1"/>
    <col min="7195" max="7199" width="9.7109375" style="3" customWidth="1"/>
    <col min="7200" max="7200" width="11.140625" style="3" customWidth="1"/>
    <col min="7201" max="7205" width="9.7109375" style="3" customWidth="1"/>
    <col min="7206" max="7206" width="11.140625" style="3" customWidth="1"/>
    <col min="7207" max="7211" width="9.7109375" style="3" customWidth="1"/>
    <col min="7212" max="7212" width="11.140625" style="3" customWidth="1"/>
    <col min="7213" max="7217" width="9.7109375" style="3" customWidth="1"/>
    <col min="7218" max="7218" width="11.140625" style="3" customWidth="1"/>
    <col min="7219" max="7223" width="9.7109375" style="3" customWidth="1"/>
    <col min="7224" max="7224" width="11.140625" style="3" customWidth="1"/>
    <col min="7225" max="7229" width="9.7109375" style="3" customWidth="1"/>
    <col min="7230" max="7230" width="11.140625" style="3" customWidth="1"/>
    <col min="7231" max="7235" width="9.7109375" style="3" customWidth="1"/>
    <col min="7236" max="7236" width="11.140625" style="3" customWidth="1"/>
    <col min="7237" max="7241" width="9.7109375" style="3" customWidth="1"/>
    <col min="7242" max="7242" width="11.140625" style="3" customWidth="1"/>
    <col min="7243" max="7247" width="9.7109375" style="3" customWidth="1"/>
    <col min="7248" max="7248" width="11.140625" style="3" customWidth="1"/>
    <col min="7249" max="7253" width="9.7109375" style="3" customWidth="1"/>
    <col min="7254" max="7254" width="11.140625" style="3" customWidth="1"/>
    <col min="7255" max="7259" width="9.7109375" style="3" customWidth="1"/>
    <col min="7260" max="7425" width="8.85546875" style="3"/>
    <col min="7426" max="7426" width="12.140625" style="3" bestFit="1" customWidth="1"/>
    <col min="7427" max="7427" width="11.140625" style="3" bestFit="1" customWidth="1"/>
    <col min="7428" max="7437" width="9.7109375" style="3" customWidth="1"/>
    <col min="7438" max="7438" width="11.140625" style="3" bestFit="1" customWidth="1"/>
    <col min="7439" max="7443" width="9.7109375" style="3" customWidth="1"/>
    <col min="7444" max="7444" width="11.140625" style="3" customWidth="1"/>
    <col min="7445" max="7449" width="9.7109375" style="3" customWidth="1"/>
    <col min="7450" max="7450" width="11.140625" style="3" customWidth="1"/>
    <col min="7451" max="7455" width="9.7109375" style="3" customWidth="1"/>
    <col min="7456" max="7456" width="11.140625" style="3" customWidth="1"/>
    <col min="7457" max="7461" width="9.7109375" style="3" customWidth="1"/>
    <col min="7462" max="7462" width="11.140625" style="3" customWidth="1"/>
    <col min="7463" max="7467" width="9.7109375" style="3" customWidth="1"/>
    <col min="7468" max="7468" width="11.140625" style="3" customWidth="1"/>
    <col min="7469" max="7473" width="9.7109375" style="3" customWidth="1"/>
    <col min="7474" max="7474" width="11.140625" style="3" customWidth="1"/>
    <col min="7475" max="7479" width="9.7109375" style="3" customWidth="1"/>
    <col min="7480" max="7480" width="11.140625" style="3" customWidth="1"/>
    <col min="7481" max="7485" width="9.7109375" style="3" customWidth="1"/>
    <col min="7486" max="7486" width="11.140625" style="3" customWidth="1"/>
    <col min="7487" max="7491" width="9.7109375" style="3" customWidth="1"/>
    <col min="7492" max="7492" width="11.140625" style="3" customWidth="1"/>
    <col min="7493" max="7497" width="9.7109375" style="3" customWidth="1"/>
    <col min="7498" max="7498" width="11.140625" style="3" customWidth="1"/>
    <col min="7499" max="7503" width="9.7109375" style="3" customWidth="1"/>
    <col min="7504" max="7504" width="11.140625" style="3" customWidth="1"/>
    <col min="7505" max="7509" width="9.7109375" style="3" customWidth="1"/>
    <col min="7510" max="7510" width="11.140625" style="3" customWidth="1"/>
    <col min="7511" max="7515" width="9.7109375" style="3" customWidth="1"/>
    <col min="7516" max="7681" width="8.85546875" style="3"/>
    <col min="7682" max="7682" width="12.140625" style="3" bestFit="1" customWidth="1"/>
    <col min="7683" max="7683" width="11.140625" style="3" bestFit="1" customWidth="1"/>
    <col min="7684" max="7693" width="9.7109375" style="3" customWidth="1"/>
    <col min="7694" max="7694" width="11.140625" style="3" bestFit="1" customWidth="1"/>
    <col min="7695" max="7699" width="9.7109375" style="3" customWidth="1"/>
    <col min="7700" max="7700" width="11.140625" style="3" customWidth="1"/>
    <col min="7701" max="7705" width="9.7109375" style="3" customWidth="1"/>
    <col min="7706" max="7706" width="11.140625" style="3" customWidth="1"/>
    <col min="7707" max="7711" width="9.7109375" style="3" customWidth="1"/>
    <col min="7712" max="7712" width="11.140625" style="3" customWidth="1"/>
    <col min="7713" max="7717" width="9.7109375" style="3" customWidth="1"/>
    <col min="7718" max="7718" width="11.140625" style="3" customWidth="1"/>
    <col min="7719" max="7723" width="9.7109375" style="3" customWidth="1"/>
    <col min="7724" max="7724" width="11.140625" style="3" customWidth="1"/>
    <col min="7725" max="7729" width="9.7109375" style="3" customWidth="1"/>
    <col min="7730" max="7730" width="11.140625" style="3" customWidth="1"/>
    <col min="7731" max="7735" width="9.7109375" style="3" customWidth="1"/>
    <col min="7736" max="7736" width="11.140625" style="3" customWidth="1"/>
    <col min="7737" max="7741" width="9.7109375" style="3" customWidth="1"/>
    <col min="7742" max="7742" width="11.140625" style="3" customWidth="1"/>
    <col min="7743" max="7747" width="9.7109375" style="3" customWidth="1"/>
    <col min="7748" max="7748" width="11.140625" style="3" customWidth="1"/>
    <col min="7749" max="7753" width="9.7109375" style="3" customWidth="1"/>
    <col min="7754" max="7754" width="11.140625" style="3" customWidth="1"/>
    <col min="7755" max="7759" width="9.7109375" style="3" customWidth="1"/>
    <col min="7760" max="7760" width="11.140625" style="3" customWidth="1"/>
    <col min="7761" max="7765" width="9.7109375" style="3" customWidth="1"/>
    <col min="7766" max="7766" width="11.140625" style="3" customWidth="1"/>
    <col min="7767" max="7771" width="9.7109375" style="3" customWidth="1"/>
    <col min="7772" max="7937" width="8.85546875" style="3"/>
    <col min="7938" max="7938" width="12.140625" style="3" bestFit="1" customWidth="1"/>
    <col min="7939" max="7939" width="11.140625" style="3" bestFit="1" customWidth="1"/>
    <col min="7940" max="7949" width="9.7109375" style="3" customWidth="1"/>
    <col min="7950" max="7950" width="11.140625" style="3" bestFit="1" customWidth="1"/>
    <col min="7951" max="7955" width="9.7109375" style="3" customWidth="1"/>
    <col min="7956" max="7956" width="11.140625" style="3" customWidth="1"/>
    <col min="7957" max="7961" width="9.7109375" style="3" customWidth="1"/>
    <col min="7962" max="7962" width="11.140625" style="3" customWidth="1"/>
    <col min="7963" max="7967" width="9.7109375" style="3" customWidth="1"/>
    <col min="7968" max="7968" width="11.140625" style="3" customWidth="1"/>
    <col min="7969" max="7973" width="9.7109375" style="3" customWidth="1"/>
    <col min="7974" max="7974" width="11.140625" style="3" customWidth="1"/>
    <col min="7975" max="7979" width="9.7109375" style="3" customWidth="1"/>
    <col min="7980" max="7980" width="11.140625" style="3" customWidth="1"/>
    <col min="7981" max="7985" width="9.7109375" style="3" customWidth="1"/>
    <col min="7986" max="7986" width="11.140625" style="3" customWidth="1"/>
    <col min="7987" max="7991" width="9.7109375" style="3" customWidth="1"/>
    <col min="7992" max="7992" width="11.140625" style="3" customWidth="1"/>
    <col min="7993" max="7997" width="9.7109375" style="3" customWidth="1"/>
    <col min="7998" max="7998" width="11.140625" style="3" customWidth="1"/>
    <col min="7999" max="8003" width="9.7109375" style="3" customWidth="1"/>
    <col min="8004" max="8004" width="11.140625" style="3" customWidth="1"/>
    <col min="8005" max="8009" width="9.7109375" style="3" customWidth="1"/>
    <col min="8010" max="8010" width="11.140625" style="3" customWidth="1"/>
    <col min="8011" max="8015" width="9.7109375" style="3" customWidth="1"/>
    <col min="8016" max="8016" width="11.140625" style="3" customWidth="1"/>
    <col min="8017" max="8021" width="9.7109375" style="3" customWidth="1"/>
    <col min="8022" max="8022" width="11.140625" style="3" customWidth="1"/>
    <col min="8023" max="8027" width="9.7109375" style="3" customWidth="1"/>
    <col min="8028" max="8193" width="8.85546875" style="3"/>
    <col min="8194" max="8194" width="12.140625" style="3" bestFit="1" customWidth="1"/>
    <col min="8195" max="8195" width="11.140625" style="3" bestFit="1" customWidth="1"/>
    <col min="8196" max="8205" width="9.7109375" style="3" customWidth="1"/>
    <col min="8206" max="8206" width="11.140625" style="3" bestFit="1" customWidth="1"/>
    <col min="8207" max="8211" width="9.7109375" style="3" customWidth="1"/>
    <col min="8212" max="8212" width="11.140625" style="3" customWidth="1"/>
    <col min="8213" max="8217" width="9.7109375" style="3" customWidth="1"/>
    <col min="8218" max="8218" width="11.140625" style="3" customWidth="1"/>
    <col min="8219" max="8223" width="9.7109375" style="3" customWidth="1"/>
    <col min="8224" max="8224" width="11.140625" style="3" customWidth="1"/>
    <col min="8225" max="8229" width="9.7109375" style="3" customWidth="1"/>
    <col min="8230" max="8230" width="11.140625" style="3" customWidth="1"/>
    <col min="8231" max="8235" width="9.7109375" style="3" customWidth="1"/>
    <col min="8236" max="8236" width="11.140625" style="3" customWidth="1"/>
    <col min="8237" max="8241" width="9.7109375" style="3" customWidth="1"/>
    <col min="8242" max="8242" width="11.140625" style="3" customWidth="1"/>
    <col min="8243" max="8247" width="9.7109375" style="3" customWidth="1"/>
    <col min="8248" max="8248" width="11.140625" style="3" customWidth="1"/>
    <col min="8249" max="8253" width="9.7109375" style="3" customWidth="1"/>
    <col min="8254" max="8254" width="11.140625" style="3" customWidth="1"/>
    <col min="8255" max="8259" width="9.7109375" style="3" customWidth="1"/>
    <col min="8260" max="8260" width="11.140625" style="3" customWidth="1"/>
    <col min="8261" max="8265" width="9.7109375" style="3" customWidth="1"/>
    <col min="8266" max="8266" width="11.140625" style="3" customWidth="1"/>
    <col min="8267" max="8271" width="9.7109375" style="3" customWidth="1"/>
    <col min="8272" max="8272" width="11.140625" style="3" customWidth="1"/>
    <col min="8273" max="8277" width="9.7109375" style="3" customWidth="1"/>
    <col min="8278" max="8278" width="11.140625" style="3" customWidth="1"/>
    <col min="8279" max="8283" width="9.7109375" style="3" customWidth="1"/>
    <col min="8284" max="8449" width="8.85546875" style="3"/>
    <col min="8450" max="8450" width="12.140625" style="3" bestFit="1" customWidth="1"/>
    <col min="8451" max="8451" width="11.140625" style="3" bestFit="1" customWidth="1"/>
    <col min="8452" max="8461" width="9.7109375" style="3" customWidth="1"/>
    <col min="8462" max="8462" width="11.140625" style="3" bestFit="1" customWidth="1"/>
    <col min="8463" max="8467" width="9.7109375" style="3" customWidth="1"/>
    <col min="8468" max="8468" width="11.140625" style="3" customWidth="1"/>
    <col min="8469" max="8473" width="9.7109375" style="3" customWidth="1"/>
    <col min="8474" max="8474" width="11.140625" style="3" customWidth="1"/>
    <col min="8475" max="8479" width="9.7109375" style="3" customWidth="1"/>
    <col min="8480" max="8480" width="11.140625" style="3" customWidth="1"/>
    <col min="8481" max="8485" width="9.7109375" style="3" customWidth="1"/>
    <col min="8486" max="8486" width="11.140625" style="3" customWidth="1"/>
    <col min="8487" max="8491" width="9.7109375" style="3" customWidth="1"/>
    <col min="8492" max="8492" width="11.140625" style="3" customWidth="1"/>
    <col min="8493" max="8497" width="9.7109375" style="3" customWidth="1"/>
    <col min="8498" max="8498" width="11.140625" style="3" customWidth="1"/>
    <col min="8499" max="8503" width="9.7109375" style="3" customWidth="1"/>
    <col min="8504" max="8504" width="11.140625" style="3" customWidth="1"/>
    <col min="8505" max="8509" width="9.7109375" style="3" customWidth="1"/>
    <col min="8510" max="8510" width="11.140625" style="3" customWidth="1"/>
    <col min="8511" max="8515" width="9.7109375" style="3" customWidth="1"/>
    <col min="8516" max="8516" width="11.140625" style="3" customWidth="1"/>
    <col min="8517" max="8521" width="9.7109375" style="3" customWidth="1"/>
    <col min="8522" max="8522" width="11.140625" style="3" customWidth="1"/>
    <col min="8523" max="8527" width="9.7109375" style="3" customWidth="1"/>
    <col min="8528" max="8528" width="11.140625" style="3" customWidth="1"/>
    <col min="8529" max="8533" width="9.7109375" style="3" customWidth="1"/>
    <col min="8534" max="8534" width="11.140625" style="3" customWidth="1"/>
    <col min="8535" max="8539" width="9.7109375" style="3" customWidth="1"/>
    <col min="8540" max="8705" width="8.85546875" style="3"/>
    <col min="8706" max="8706" width="12.140625" style="3" bestFit="1" customWidth="1"/>
    <col min="8707" max="8707" width="11.140625" style="3" bestFit="1" customWidth="1"/>
    <col min="8708" max="8717" width="9.7109375" style="3" customWidth="1"/>
    <col min="8718" max="8718" width="11.140625" style="3" bestFit="1" customWidth="1"/>
    <col min="8719" max="8723" width="9.7109375" style="3" customWidth="1"/>
    <col min="8724" max="8724" width="11.140625" style="3" customWidth="1"/>
    <col min="8725" max="8729" width="9.7109375" style="3" customWidth="1"/>
    <col min="8730" max="8730" width="11.140625" style="3" customWidth="1"/>
    <col min="8731" max="8735" width="9.7109375" style="3" customWidth="1"/>
    <col min="8736" max="8736" width="11.140625" style="3" customWidth="1"/>
    <col min="8737" max="8741" width="9.7109375" style="3" customWidth="1"/>
    <col min="8742" max="8742" width="11.140625" style="3" customWidth="1"/>
    <col min="8743" max="8747" width="9.7109375" style="3" customWidth="1"/>
    <col min="8748" max="8748" width="11.140625" style="3" customWidth="1"/>
    <col min="8749" max="8753" width="9.7109375" style="3" customWidth="1"/>
    <col min="8754" max="8754" width="11.140625" style="3" customWidth="1"/>
    <col min="8755" max="8759" width="9.7109375" style="3" customWidth="1"/>
    <col min="8760" max="8760" width="11.140625" style="3" customWidth="1"/>
    <col min="8761" max="8765" width="9.7109375" style="3" customWidth="1"/>
    <col min="8766" max="8766" width="11.140625" style="3" customWidth="1"/>
    <col min="8767" max="8771" width="9.7109375" style="3" customWidth="1"/>
    <col min="8772" max="8772" width="11.140625" style="3" customWidth="1"/>
    <col min="8773" max="8777" width="9.7109375" style="3" customWidth="1"/>
    <col min="8778" max="8778" width="11.140625" style="3" customWidth="1"/>
    <col min="8779" max="8783" width="9.7109375" style="3" customWidth="1"/>
    <col min="8784" max="8784" width="11.140625" style="3" customWidth="1"/>
    <col min="8785" max="8789" width="9.7109375" style="3" customWidth="1"/>
    <col min="8790" max="8790" width="11.140625" style="3" customWidth="1"/>
    <col min="8791" max="8795" width="9.7109375" style="3" customWidth="1"/>
    <col min="8796" max="8961" width="8.85546875" style="3"/>
    <col min="8962" max="8962" width="12.140625" style="3" bestFit="1" customWidth="1"/>
    <col min="8963" max="8963" width="11.140625" style="3" bestFit="1" customWidth="1"/>
    <col min="8964" max="8973" width="9.7109375" style="3" customWidth="1"/>
    <col min="8974" max="8974" width="11.140625" style="3" bestFit="1" customWidth="1"/>
    <col min="8975" max="8979" width="9.7109375" style="3" customWidth="1"/>
    <col min="8980" max="8980" width="11.140625" style="3" customWidth="1"/>
    <col min="8981" max="8985" width="9.7109375" style="3" customWidth="1"/>
    <col min="8986" max="8986" width="11.140625" style="3" customWidth="1"/>
    <col min="8987" max="8991" width="9.7109375" style="3" customWidth="1"/>
    <col min="8992" max="8992" width="11.140625" style="3" customWidth="1"/>
    <col min="8993" max="8997" width="9.7109375" style="3" customWidth="1"/>
    <col min="8998" max="8998" width="11.140625" style="3" customWidth="1"/>
    <col min="8999" max="9003" width="9.7109375" style="3" customWidth="1"/>
    <col min="9004" max="9004" width="11.140625" style="3" customWidth="1"/>
    <col min="9005" max="9009" width="9.7109375" style="3" customWidth="1"/>
    <col min="9010" max="9010" width="11.140625" style="3" customWidth="1"/>
    <col min="9011" max="9015" width="9.7109375" style="3" customWidth="1"/>
    <col min="9016" max="9016" width="11.140625" style="3" customWidth="1"/>
    <col min="9017" max="9021" width="9.7109375" style="3" customWidth="1"/>
    <col min="9022" max="9022" width="11.140625" style="3" customWidth="1"/>
    <col min="9023" max="9027" width="9.7109375" style="3" customWidth="1"/>
    <col min="9028" max="9028" width="11.140625" style="3" customWidth="1"/>
    <col min="9029" max="9033" width="9.7109375" style="3" customWidth="1"/>
    <col min="9034" max="9034" width="11.140625" style="3" customWidth="1"/>
    <col min="9035" max="9039" width="9.7109375" style="3" customWidth="1"/>
    <col min="9040" max="9040" width="11.140625" style="3" customWidth="1"/>
    <col min="9041" max="9045" width="9.7109375" style="3" customWidth="1"/>
    <col min="9046" max="9046" width="11.140625" style="3" customWidth="1"/>
    <col min="9047" max="9051" width="9.7109375" style="3" customWidth="1"/>
    <col min="9052" max="9217" width="8.85546875" style="3"/>
    <col min="9218" max="9218" width="12.140625" style="3" bestFit="1" customWidth="1"/>
    <col min="9219" max="9219" width="11.140625" style="3" bestFit="1" customWidth="1"/>
    <col min="9220" max="9229" width="9.7109375" style="3" customWidth="1"/>
    <col min="9230" max="9230" width="11.140625" style="3" bestFit="1" customWidth="1"/>
    <col min="9231" max="9235" width="9.7109375" style="3" customWidth="1"/>
    <col min="9236" max="9236" width="11.140625" style="3" customWidth="1"/>
    <col min="9237" max="9241" width="9.7109375" style="3" customWidth="1"/>
    <col min="9242" max="9242" width="11.140625" style="3" customWidth="1"/>
    <col min="9243" max="9247" width="9.7109375" style="3" customWidth="1"/>
    <col min="9248" max="9248" width="11.140625" style="3" customWidth="1"/>
    <col min="9249" max="9253" width="9.7109375" style="3" customWidth="1"/>
    <col min="9254" max="9254" width="11.140625" style="3" customWidth="1"/>
    <col min="9255" max="9259" width="9.7109375" style="3" customWidth="1"/>
    <col min="9260" max="9260" width="11.140625" style="3" customWidth="1"/>
    <col min="9261" max="9265" width="9.7109375" style="3" customWidth="1"/>
    <col min="9266" max="9266" width="11.140625" style="3" customWidth="1"/>
    <col min="9267" max="9271" width="9.7109375" style="3" customWidth="1"/>
    <col min="9272" max="9272" width="11.140625" style="3" customWidth="1"/>
    <col min="9273" max="9277" width="9.7109375" style="3" customWidth="1"/>
    <col min="9278" max="9278" width="11.140625" style="3" customWidth="1"/>
    <col min="9279" max="9283" width="9.7109375" style="3" customWidth="1"/>
    <col min="9284" max="9284" width="11.140625" style="3" customWidth="1"/>
    <col min="9285" max="9289" width="9.7109375" style="3" customWidth="1"/>
    <col min="9290" max="9290" width="11.140625" style="3" customWidth="1"/>
    <col min="9291" max="9295" width="9.7109375" style="3" customWidth="1"/>
    <col min="9296" max="9296" width="11.140625" style="3" customWidth="1"/>
    <col min="9297" max="9301" width="9.7109375" style="3" customWidth="1"/>
    <col min="9302" max="9302" width="11.140625" style="3" customWidth="1"/>
    <col min="9303" max="9307" width="9.7109375" style="3" customWidth="1"/>
    <col min="9308" max="9473" width="8.85546875" style="3"/>
    <col min="9474" max="9474" width="12.140625" style="3" bestFit="1" customWidth="1"/>
    <col min="9475" max="9475" width="11.140625" style="3" bestFit="1" customWidth="1"/>
    <col min="9476" max="9485" width="9.7109375" style="3" customWidth="1"/>
    <col min="9486" max="9486" width="11.140625" style="3" bestFit="1" customWidth="1"/>
    <col min="9487" max="9491" width="9.7109375" style="3" customWidth="1"/>
    <col min="9492" max="9492" width="11.140625" style="3" customWidth="1"/>
    <col min="9493" max="9497" width="9.7109375" style="3" customWidth="1"/>
    <col min="9498" max="9498" width="11.140625" style="3" customWidth="1"/>
    <col min="9499" max="9503" width="9.7109375" style="3" customWidth="1"/>
    <col min="9504" max="9504" width="11.140625" style="3" customWidth="1"/>
    <col min="9505" max="9509" width="9.7109375" style="3" customWidth="1"/>
    <col min="9510" max="9510" width="11.140625" style="3" customWidth="1"/>
    <col min="9511" max="9515" width="9.7109375" style="3" customWidth="1"/>
    <col min="9516" max="9516" width="11.140625" style="3" customWidth="1"/>
    <col min="9517" max="9521" width="9.7109375" style="3" customWidth="1"/>
    <col min="9522" max="9522" width="11.140625" style="3" customWidth="1"/>
    <col min="9523" max="9527" width="9.7109375" style="3" customWidth="1"/>
    <col min="9528" max="9528" width="11.140625" style="3" customWidth="1"/>
    <col min="9529" max="9533" width="9.7109375" style="3" customWidth="1"/>
    <col min="9534" max="9534" width="11.140625" style="3" customWidth="1"/>
    <col min="9535" max="9539" width="9.7109375" style="3" customWidth="1"/>
    <col min="9540" max="9540" width="11.140625" style="3" customWidth="1"/>
    <col min="9541" max="9545" width="9.7109375" style="3" customWidth="1"/>
    <col min="9546" max="9546" width="11.140625" style="3" customWidth="1"/>
    <col min="9547" max="9551" width="9.7109375" style="3" customWidth="1"/>
    <col min="9552" max="9552" width="11.140625" style="3" customWidth="1"/>
    <col min="9553" max="9557" width="9.7109375" style="3" customWidth="1"/>
    <col min="9558" max="9558" width="11.140625" style="3" customWidth="1"/>
    <col min="9559" max="9563" width="9.7109375" style="3" customWidth="1"/>
    <col min="9564" max="9729" width="8.85546875" style="3"/>
    <col min="9730" max="9730" width="12.140625" style="3" bestFit="1" customWidth="1"/>
    <col min="9731" max="9731" width="11.140625" style="3" bestFit="1" customWidth="1"/>
    <col min="9732" max="9741" width="9.7109375" style="3" customWidth="1"/>
    <col min="9742" max="9742" width="11.140625" style="3" bestFit="1" customWidth="1"/>
    <col min="9743" max="9747" width="9.7109375" style="3" customWidth="1"/>
    <col min="9748" max="9748" width="11.140625" style="3" customWidth="1"/>
    <col min="9749" max="9753" width="9.7109375" style="3" customWidth="1"/>
    <col min="9754" max="9754" width="11.140625" style="3" customWidth="1"/>
    <col min="9755" max="9759" width="9.7109375" style="3" customWidth="1"/>
    <col min="9760" max="9760" width="11.140625" style="3" customWidth="1"/>
    <col min="9761" max="9765" width="9.7109375" style="3" customWidth="1"/>
    <col min="9766" max="9766" width="11.140625" style="3" customWidth="1"/>
    <col min="9767" max="9771" width="9.7109375" style="3" customWidth="1"/>
    <col min="9772" max="9772" width="11.140625" style="3" customWidth="1"/>
    <col min="9773" max="9777" width="9.7109375" style="3" customWidth="1"/>
    <col min="9778" max="9778" width="11.140625" style="3" customWidth="1"/>
    <col min="9779" max="9783" width="9.7109375" style="3" customWidth="1"/>
    <col min="9784" max="9784" width="11.140625" style="3" customWidth="1"/>
    <col min="9785" max="9789" width="9.7109375" style="3" customWidth="1"/>
    <col min="9790" max="9790" width="11.140625" style="3" customWidth="1"/>
    <col min="9791" max="9795" width="9.7109375" style="3" customWidth="1"/>
    <col min="9796" max="9796" width="11.140625" style="3" customWidth="1"/>
    <col min="9797" max="9801" width="9.7109375" style="3" customWidth="1"/>
    <col min="9802" max="9802" width="11.140625" style="3" customWidth="1"/>
    <col min="9803" max="9807" width="9.7109375" style="3" customWidth="1"/>
    <col min="9808" max="9808" width="11.140625" style="3" customWidth="1"/>
    <col min="9809" max="9813" width="9.7109375" style="3" customWidth="1"/>
    <col min="9814" max="9814" width="11.140625" style="3" customWidth="1"/>
    <col min="9815" max="9819" width="9.7109375" style="3" customWidth="1"/>
    <col min="9820" max="9985" width="8.85546875" style="3"/>
    <col min="9986" max="9986" width="12.140625" style="3" bestFit="1" customWidth="1"/>
    <col min="9987" max="9987" width="11.140625" style="3" bestFit="1" customWidth="1"/>
    <col min="9988" max="9997" width="9.7109375" style="3" customWidth="1"/>
    <col min="9998" max="9998" width="11.140625" style="3" bestFit="1" customWidth="1"/>
    <col min="9999" max="10003" width="9.7109375" style="3" customWidth="1"/>
    <col min="10004" max="10004" width="11.140625" style="3" customWidth="1"/>
    <col min="10005" max="10009" width="9.7109375" style="3" customWidth="1"/>
    <col min="10010" max="10010" width="11.140625" style="3" customWidth="1"/>
    <col min="10011" max="10015" width="9.7109375" style="3" customWidth="1"/>
    <col min="10016" max="10016" width="11.140625" style="3" customWidth="1"/>
    <col min="10017" max="10021" width="9.7109375" style="3" customWidth="1"/>
    <col min="10022" max="10022" width="11.140625" style="3" customWidth="1"/>
    <col min="10023" max="10027" width="9.7109375" style="3" customWidth="1"/>
    <col min="10028" max="10028" width="11.140625" style="3" customWidth="1"/>
    <col min="10029" max="10033" width="9.7109375" style="3" customWidth="1"/>
    <col min="10034" max="10034" width="11.140625" style="3" customWidth="1"/>
    <col min="10035" max="10039" width="9.7109375" style="3" customWidth="1"/>
    <col min="10040" max="10040" width="11.140625" style="3" customWidth="1"/>
    <col min="10041" max="10045" width="9.7109375" style="3" customWidth="1"/>
    <col min="10046" max="10046" width="11.140625" style="3" customWidth="1"/>
    <col min="10047" max="10051" width="9.7109375" style="3" customWidth="1"/>
    <col min="10052" max="10052" width="11.140625" style="3" customWidth="1"/>
    <col min="10053" max="10057" width="9.7109375" style="3" customWidth="1"/>
    <col min="10058" max="10058" width="11.140625" style="3" customWidth="1"/>
    <col min="10059" max="10063" width="9.7109375" style="3" customWidth="1"/>
    <col min="10064" max="10064" width="11.140625" style="3" customWidth="1"/>
    <col min="10065" max="10069" width="9.7109375" style="3" customWidth="1"/>
    <col min="10070" max="10070" width="11.140625" style="3" customWidth="1"/>
    <col min="10071" max="10075" width="9.7109375" style="3" customWidth="1"/>
    <col min="10076" max="10241" width="8.85546875" style="3"/>
    <col min="10242" max="10242" width="12.140625" style="3" bestFit="1" customWidth="1"/>
    <col min="10243" max="10243" width="11.140625" style="3" bestFit="1" customWidth="1"/>
    <col min="10244" max="10253" width="9.7109375" style="3" customWidth="1"/>
    <col min="10254" max="10254" width="11.140625" style="3" bestFit="1" customWidth="1"/>
    <col min="10255" max="10259" width="9.7109375" style="3" customWidth="1"/>
    <col min="10260" max="10260" width="11.140625" style="3" customWidth="1"/>
    <col min="10261" max="10265" width="9.7109375" style="3" customWidth="1"/>
    <col min="10266" max="10266" width="11.140625" style="3" customWidth="1"/>
    <col min="10267" max="10271" width="9.7109375" style="3" customWidth="1"/>
    <col min="10272" max="10272" width="11.140625" style="3" customWidth="1"/>
    <col min="10273" max="10277" width="9.7109375" style="3" customWidth="1"/>
    <col min="10278" max="10278" width="11.140625" style="3" customWidth="1"/>
    <col min="10279" max="10283" width="9.7109375" style="3" customWidth="1"/>
    <col min="10284" max="10284" width="11.140625" style="3" customWidth="1"/>
    <col min="10285" max="10289" width="9.7109375" style="3" customWidth="1"/>
    <col min="10290" max="10290" width="11.140625" style="3" customWidth="1"/>
    <col min="10291" max="10295" width="9.7109375" style="3" customWidth="1"/>
    <col min="10296" max="10296" width="11.140625" style="3" customWidth="1"/>
    <col min="10297" max="10301" width="9.7109375" style="3" customWidth="1"/>
    <col min="10302" max="10302" width="11.140625" style="3" customWidth="1"/>
    <col min="10303" max="10307" width="9.7109375" style="3" customWidth="1"/>
    <col min="10308" max="10308" width="11.140625" style="3" customWidth="1"/>
    <col min="10309" max="10313" width="9.7109375" style="3" customWidth="1"/>
    <col min="10314" max="10314" width="11.140625" style="3" customWidth="1"/>
    <col min="10315" max="10319" width="9.7109375" style="3" customWidth="1"/>
    <col min="10320" max="10320" width="11.140625" style="3" customWidth="1"/>
    <col min="10321" max="10325" width="9.7109375" style="3" customWidth="1"/>
    <col min="10326" max="10326" width="11.140625" style="3" customWidth="1"/>
    <col min="10327" max="10331" width="9.7109375" style="3" customWidth="1"/>
    <col min="10332" max="10497" width="8.85546875" style="3"/>
    <col min="10498" max="10498" width="12.140625" style="3" bestFit="1" customWidth="1"/>
    <col min="10499" max="10499" width="11.140625" style="3" bestFit="1" customWidth="1"/>
    <col min="10500" max="10509" width="9.7109375" style="3" customWidth="1"/>
    <col min="10510" max="10510" width="11.140625" style="3" bestFit="1" customWidth="1"/>
    <col min="10511" max="10515" width="9.7109375" style="3" customWidth="1"/>
    <col min="10516" max="10516" width="11.140625" style="3" customWidth="1"/>
    <col min="10517" max="10521" width="9.7109375" style="3" customWidth="1"/>
    <col min="10522" max="10522" width="11.140625" style="3" customWidth="1"/>
    <col min="10523" max="10527" width="9.7109375" style="3" customWidth="1"/>
    <col min="10528" max="10528" width="11.140625" style="3" customWidth="1"/>
    <col min="10529" max="10533" width="9.7109375" style="3" customWidth="1"/>
    <col min="10534" max="10534" width="11.140625" style="3" customWidth="1"/>
    <col min="10535" max="10539" width="9.7109375" style="3" customWidth="1"/>
    <col min="10540" max="10540" width="11.140625" style="3" customWidth="1"/>
    <col min="10541" max="10545" width="9.7109375" style="3" customWidth="1"/>
    <col min="10546" max="10546" width="11.140625" style="3" customWidth="1"/>
    <col min="10547" max="10551" width="9.7109375" style="3" customWidth="1"/>
    <col min="10552" max="10552" width="11.140625" style="3" customWidth="1"/>
    <col min="10553" max="10557" width="9.7109375" style="3" customWidth="1"/>
    <col min="10558" max="10558" width="11.140625" style="3" customWidth="1"/>
    <col min="10559" max="10563" width="9.7109375" style="3" customWidth="1"/>
    <col min="10564" max="10564" width="11.140625" style="3" customWidth="1"/>
    <col min="10565" max="10569" width="9.7109375" style="3" customWidth="1"/>
    <col min="10570" max="10570" width="11.140625" style="3" customWidth="1"/>
    <col min="10571" max="10575" width="9.7109375" style="3" customWidth="1"/>
    <col min="10576" max="10576" width="11.140625" style="3" customWidth="1"/>
    <col min="10577" max="10581" width="9.7109375" style="3" customWidth="1"/>
    <col min="10582" max="10582" width="11.140625" style="3" customWidth="1"/>
    <col min="10583" max="10587" width="9.7109375" style="3" customWidth="1"/>
    <col min="10588" max="10753" width="8.85546875" style="3"/>
    <col min="10754" max="10754" width="12.140625" style="3" bestFit="1" customWidth="1"/>
    <col min="10755" max="10755" width="11.140625" style="3" bestFit="1" customWidth="1"/>
    <col min="10756" max="10765" width="9.7109375" style="3" customWidth="1"/>
    <col min="10766" max="10766" width="11.140625" style="3" bestFit="1" customWidth="1"/>
    <col min="10767" max="10771" width="9.7109375" style="3" customWidth="1"/>
    <col min="10772" max="10772" width="11.140625" style="3" customWidth="1"/>
    <col min="10773" max="10777" width="9.7109375" style="3" customWidth="1"/>
    <col min="10778" max="10778" width="11.140625" style="3" customWidth="1"/>
    <col min="10779" max="10783" width="9.7109375" style="3" customWidth="1"/>
    <col min="10784" max="10784" width="11.140625" style="3" customWidth="1"/>
    <col min="10785" max="10789" width="9.7109375" style="3" customWidth="1"/>
    <col min="10790" max="10790" width="11.140625" style="3" customWidth="1"/>
    <col min="10791" max="10795" width="9.7109375" style="3" customWidth="1"/>
    <col min="10796" max="10796" width="11.140625" style="3" customWidth="1"/>
    <col min="10797" max="10801" width="9.7109375" style="3" customWidth="1"/>
    <col min="10802" max="10802" width="11.140625" style="3" customWidth="1"/>
    <col min="10803" max="10807" width="9.7109375" style="3" customWidth="1"/>
    <col min="10808" max="10808" width="11.140625" style="3" customWidth="1"/>
    <col min="10809" max="10813" width="9.7109375" style="3" customWidth="1"/>
    <col min="10814" max="10814" width="11.140625" style="3" customWidth="1"/>
    <col min="10815" max="10819" width="9.7109375" style="3" customWidth="1"/>
    <col min="10820" max="10820" width="11.140625" style="3" customWidth="1"/>
    <col min="10821" max="10825" width="9.7109375" style="3" customWidth="1"/>
    <col min="10826" max="10826" width="11.140625" style="3" customWidth="1"/>
    <col min="10827" max="10831" width="9.7109375" style="3" customWidth="1"/>
    <col min="10832" max="10832" width="11.140625" style="3" customWidth="1"/>
    <col min="10833" max="10837" width="9.7109375" style="3" customWidth="1"/>
    <col min="10838" max="10838" width="11.140625" style="3" customWidth="1"/>
    <col min="10839" max="10843" width="9.7109375" style="3" customWidth="1"/>
    <col min="10844" max="11009" width="8.85546875" style="3"/>
    <col min="11010" max="11010" width="12.140625" style="3" bestFit="1" customWidth="1"/>
    <col min="11011" max="11011" width="11.140625" style="3" bestFit="1" customWidth="1"/>
    <col min="11012" max="11021" width="9.7109375" style="3" customWidth="1"/>
    <col min="11022" max="11022" width="11.140625" style="3" bestFit="1" customWidth="1"/>
    <col min="11023" max="11027" width="9.7109375" style="3" customWidth="1"/>
    <col min="11028" max="11028" width="11.140625" style="3" customWidth="1"/>
    <col min="11029" max="11033" width="9.7109375" style="3" customWidth="1"/>
    <col min="11034" max="11034" width="11.140625" style="3" customWidth="1"/>
    <col min="11035" max="11039" width="9.7109375" style="3" customWidth="1"/>
    <col min="11040" max="11040" width="11.140625" style="3" customWidth="1"/>
    <col min="11041" max="11045" width="9.7109375" style="3" customWidth="1"/>
    <col min="11046" max="11046" width="11.140625" style="3" customWidth="1"/>
    <col min="11047" max="11051" width="9.7109375" style="3" customWidth="1"/>
    <col min="11052" max="11052" width="11.140625" style="3" customWidth="1"/>
    <col min="11053" max="11057" width="9.7109375" style="3" customWidth="1"/>
    <col min="11058" max="11058" width="11.140625" style="3" customWidth="1"/>
    <col min="11059" max="11063" width="9.7109375" style="3" customWidth="1"/>
    <col min="11064" max="11064" width="11.140625" style="3" customWidth="1"/>
    <col min="11065" max="11069" width="9.7109375" style="3" customWidth="1"/>
    <col min="11070" max="11070" width="11.140625" style="3" customWidth="1"/>
    <col min="11071" max="11075" width="9.7109375" style="3" customWidth="1"/>
    <col min="11076" max="11076" width="11.140625" style="3" customWidth="1"/>
    <col min="11077" max="11081" width="9.7109375" style="3" customWidth="1"/>
    <col min="11082" max="11082" width="11.140625" style="3" customWidth="1"/>
    <col min="11083" max="11087" width="9.7109375" style="3" customWidth="1"/>
    <col min="11088" max="11088" width="11.140625" style="3" customWidth="1"/>
    <col min="11089" max="11093" width="9.7109375" style="3" customWidth="1"/>
    <col min="11094" max="11094" width="11.140625" style="3" customWidth="1"/>
    <col min="11095" max="11099" width="9.7109375" style="3" customWidth="1"/>
    <col min="11100" max="11265" width="8.85546875" style="3"/>
    <col min="11266" max="11266" width="12.140625" style="3" bestFit="1" customWidth="1"/>
    <col min="11267" max="11267" width="11.140625" style="3" bestFit="1" customWidth="1"/>
    <col min="11268" max="11277" width="9.7109375" style="3" customWidth="1"/>
    <col min="11278" max="11278" width="11.140625" style="3" bestFit="1" customWidth="1"/>
    <col min="11279" max="11283" width="9.7109375" style="3" customWidth="1"/>
    <col min="11284" max="11284" width="11.140625" style="3" customWidth="1"/>
    <col min="11285" max="11289" width="9.7109375" style="3" customWidth="1"/>
    <col min="11290" max="11290" width="11.140625" style="3" customWidth="1"/>
    <col min="11291" max="11295" width="9.7109375" style="3" customWidth="1"/>
    <col min="11296" max="11296" width="11.140625" style="3" customWidth="1"/>
    <col min="11297" max="11301" width="9.7109375" style="3" customWidth="1"/>
    <col min="11302" max="11302" width="11.140625" style="3" customWidth="1"/>
    <col min="11303" max="11307" width="9.7109375" style="3" customWidth="1"/>
    <col min="11308" max="11308" width="11.140625" style="3" customWidth="1"/>
    <col min="11309" max="11313" width="9.7109375" style="3" customWidth="1"/>
    <col min="11314" max="11314" width="11.140625" style="3" customWidth="1"/>
    <col min="11315" max="11319" width="9.7109375" style="3" customWidth="1"/>
    <col min="11320" max="11320" width="11.140625" style="3" customWidth="1"/>
    <col min="11321" max="11325" width="9.7109375" style="3" customWidth="1"/>
    <col min="11326" max="11326" width="11.140625" style="3" customWidth="1"/>
    <col min="11327" max="11331" width="9.7109375" style="3" customWidth="1"/>
    <col min="11332" max="11332" width="11.140625" style="3" customWidth="1"/>
    <col min="11333" max="11337" width="9.7109375" style="3" customWidth="1"/>
    <col min="11338" max="11338" width="11.140625" style="3" customWidth="1"/>
    <col min="11339" max="11343" width="9.7109375" style="3" customWidth="1"/>
    <col min="11344" max="11344" width="11.140625" style="3" customWidth="1"/>
    <col min="11345" max="11349" width="9.7109375" style="3" customWidth="1"/>
    <col min="11350" max="11350" width="11.140625" style="3" customWidth="1"/>
    <col min="11351" max="11355" width="9.7109375" style="3" customWidth="1"/>
    <col min="11356" max="11521" width="8.85546875" style="3"/>
    <col min="11522" max="11522" width="12.140625" style="3" bestFit="1" customWidth="1"/>
    <col min="11523" max="11523" width="11.140625" style="3" bestFit="1" customWidth="1"/>
    <col min="11524" max="11533" width="9.7109375" style="3" customWidth="1"/>
    <col min="11534" max="11534" width="11.140625" style="3" bestFit="1" customWidth="1"/>
    <col min="11535" max="11539" width="9.7109375" style="3" customWidth="1"/>
    <col min="11540" max="11540" width="11.140625" style="3" customWidth="1"/>
    <col min="11541" max="11545" width="9.7109375" style="3" customWidth="1"/>
    <col min="11546" max="11546" width="11.140625" style="3" customWidth="1"/>
    <col min="11547" max="11551" width="9.7109375" style="3" customWidth="1"/>
    <col min="11552" max="11552" width="11.140625" style="3" customWidth="1"/>
    <col min="11553" max="11557" width="9.7109375" style="3" customWidth="1"/>
    <col min="11558" max="11558" width="11.140625" style="3" customWidth="1"/>
    <col min="11559" max="11563" width="9.7109375" style="3" customWidth="1"/>
    <col min="11564" max="11564" width="11.140625" style="3" customWidth="1"/>
    <col min="11565" max="11569" width="9.7109375" style="3" customWidth="1"/>
    <col min="11570" max="11570" width="11.140625" style="3" customWidth="1"/>
    <col min="11571" max="11575" width="9.7109375" style="3" customWidth="1"/>
    <col min="11576" max="11576" width="11.140625" style="3" customWidth="1"/>
    <col min="11577" max="11581" width="9.7109375" style="3" customWidth="1"/>
    <col min="11582" max="11582" width="11.140625" style="3" customWidth="1"/>
    <col min="11583" max="11587" width="9.7109375" style="3" customWidth="1"/>
    <col min="11588" max="11588" width="11.140625" style="3" customWidth="1"/>
    <col min="11589" max="11593" width="9.7109375" style="3" customWidth="1"/>
    <col min="11594" max="11594" width="11.140625" style="3" customWidth="1"/>
    <col min="11595" max="11599" width="9.7109375" style="3" customWidth="1"/>
    <col min="11600" max="11600" width="11.140625" style="3" customWidth="1"/>
    <col min="11601" max="11605" width="9.7109375" style="3" customWidth="1"/>
    <col min="11606" max="11606" width="11.140625" style="3" customWidth="1"/>
    <col min="11607" max="11611" width="9.7109375" style="3" customWidth="1"/>
    <col min="11612" max="11777" width="8.85546875" style="3"/>
    <col min="11778" max="11778" width="12.140625" style="3" bestFit="1" customWidth="1"/>
    <col min="11779" max="11779" width="11.140625" style="3" bestFit="1" customWidth="1"/>
    <col min="11780" max="11789" width="9.7109375" style="3" customWidth="1"/>
    <col min="11790" max="11790" width="11.140625" style="3" bestFit="1" customWidth="1"/>
    <col min="11791" max="11795" width="9.7109375" style="3" customWidth="1"/>
    <col min="11796" max="11796" width="11.140625" style="3" customWidth="1"/>
    <col min="11797" max="11801" width="9.7109375" style="3" customWidth="1"/>
    <col min="11802" max="11802" width="11.140625" style="3" customWidth="1"/>
    <col min="11803" max="11807" width="9.7109375" style="3" customWidth="1"/>
    <col min="11808" max="11808" width="11.140625" style="3" customWidth="1"/>
    <col min="11809" max="11813" width="9.7109375" style="3" customWidth="1"/>
    <col min="11814" max="11814" width="11.140625" style="3" customWidth="1"/>
    <col min="11815" max="11819" width="9.7109375" style="3" customWidth="1"/>
    <col min="11820" max="11820" width="11.140625" style="3" customWidth="1"/>
    <col min="11821" max="11825" width="9.7109375" style="3" customWidth="1"/>
    <col min="11826" max="11826" width="11.140625" style="3" customWidth="1"/>
    <col min="11827" max="11831" width="9.7109375" style="3" customWidth="1"/>
    <col min="11832" max="11832" width="11.140625" style="3" customWidth="1"/>
    <col min="11833" max="11837" width="9.7109375" style="3" customWidth="1"/>
    <col min="11838" max="11838" width="11.140625" style="3" customWidth="1"/>
    <col min="11839" max="11843" width="9.7109375" style="3" customWidth="1"/>
    <col min="11844" max="11844" width="11.140625" style="3" customWidth="1"/>
    <col min="11845" max="11849" width="9.7109375" style="3" customWidth="1"/>
    <col min="11850" max="11850" width="11.140625" style="3" customWidth="1"/>
    <col min="11851" max="11855" width="9.7109375" style="3" customWidth="1"/>
    <col min="11856" max="11856" width="11.140625" style="3" customWidth="1"/>
    <col min="11857" max="11861" width="9.7109375" style="3" customWidth="1"/>
    <col min="11862" max="11862" width="11.140625" style="3" customWidth="1"/>
    <col min="11863" max="11867" width="9.7109375" style="3" customWidth="1"/>
    <col min="11868" max="12033" width="8.85546875" style="3"/>
    <col min="12034" max="12034" width="12.140625" style="3" bestFit="1" customWidth="1"/>
    <col min="12035" max="12035" width="11.140625" style="3" bestFit="1" customWidth="1"/>
    <col min="12036" max="12045" width="9.7109375" style="3" customWidth="1"/>
    <col min="12046" max="12046" width="11.140625" style="3" bestFit="1" customWidth="1"/>
    <col min="12047" max="12051" width="9.7109375" style="3" customWidth="1"/>
    <col min="12052" max="12052" width="11.140625" style="3" customWidth="1"/>
    <col min="12053" max="12057" width="9.7109375" style="3" customWidth="1"/>
    <col min="12058" max="12058" width="11.140625" style="3" customWidth="1"/>
    <col min="12059" max="12063" width="9.7109375" style="3" customWidth="1"/>
    <col min="12064" max="12064" width="11.140625" style="3" customWidth="1"/>
    <col min="12065" max="12069" width="9.7109375" style="3" customWidth="1"/>
    <col min="12070" max="12070" width="11.140625" style="3" customWidth="1"/>
    <col min="12071" max="12075" width="9.7109375" style="3" customWidth="1"/>
    <col min="12076" max="12076" width="11.140625" style="3" customWidth="1"/>
    <col min="12077" max="12081" width="9.7109375" style="3" customWidth="1"/>
    <col min="12082" max="12082" width="11.140625" style="3" customWidth="1"/>
    <col min="12083" max="12087" width="9.7109375" style="3" customWidth="1"/>
    <col min="12088" max="12088" width="11.140625" style="3" customWidth="1"/>
    <col min="12089" max="12093" width="9.7109375" style="3" customWidth="1"/>
    <col min="12094" max="12094" width="11.140625" style="3" customWidth="1"/>
    <col min="12095" max="12099" width="9.7109375" style="3" customWidth="1"/>
    <col min="12100" max="12100" width="11.140625" style="3" customWidth="1"/>
    <col min="12101" max="12105" width="9.7109375" style="3" customWidth="1"/>
    <col min="12106" max="12106" width="11.140625" style="3" customWidth="1"/>
    <col min="12107" max="12111" width="9.7109375" style="3" customWidth="1"/>
    <col min="12112" max="12112" width="11.140625" style="3" customWidth="1"/>
    <col min="12113" max="12117" width="9.7109375" style="3" customWidth="1"/>
    <col min="12118" max="12118" width="11.140625" style="3" customWidth="1"/>
    <col min="12119" max="12123" width="9.7109375" style="3" customWidth="1"/>
    <col min="12124" max="12289" width="8.85546875" style="3"/>
    <col min="12290" max="12290" width="12.140625" style="3" bestFit="1" customWidth="1"/>
    <col min="12291" max="12291" width="11.140625" style="3" bestFit="1" customWidth="1"/>
    <col min="12292" max="12301" width="9.7109375" style="3" customWidth="1"/>
    <col min="12302" max="12302" width="11.140625" style="3" bestFit="1" customWidth="1"/>
    <col min="12303" max="12307" width="9.7109375" style="3" customWidth="1"/>
    <col min="12308" max="12308" width="11.140625" style="3" customWidth="1"/>
    <col min="12309" max="12313" width="9.7109375" style="3" customWidth="1"/>
    <col min="12314" max="12314" width="11.140625" style="3" customWidth="1"/>
    <col min="12315" max="12319" width="9.7109375" style="3" customWidth="1"/>
    <col min="12320" max="12320" width="11.140625" style="3" customWidth="1"/>
    <col min="12321" max="12325" width="9.7109375" style="3" customWidth="1"/>
    <col min="12326" max="12326" width="11.140625" style="3" customWidth="1"/>
    <col min="12327" max="12331" width="9.7109375" style="3" customWidth="1"/>
    <col min="12332" max="12332" width="11.140625" style="3" customWidth="1"/>
    <col min="12333" max="12337" width="9.7109375" style="3" customWidth="1"/>
    <col min="12338" max="12338" width="11.140625" style="3" customWidth="1"/>
    <col min="12339" max="12343" width="9.7109375" style="3" customWidth="1"/>
    <col min="12344" max="12344" width="11.140625" style="3" customWidth="1"/>
    <col min="12345" max="12349" width="9.7109375" style="3" customWidth="1"/>
    <col min="12350" max="12350" width="11.140625" style="3" customWidth="1"/>
    <col min="12351" max="12355" width="9.7109375" style="3" customWidth="1"/>
    <col min="12356" max="12356" width="11.140625" style="3" customWidth="1"/>
    <col min="12357" max="12361" width="9.7109375" style="3" customWidth="1"/>
    <col min="12362" max="12362" width="11.140625" style="3" customWidth="1"/>
    <col min="12363" max="12367" width="9.7109375" style="3" customWidth="1"/>
    <col min="12368" max="12368" width="11.140625" style="3" customWidth="1"/>
    <col min="12369" max="12373" width="9.7109375" style="3" customWidth="1"/>
    <col min="12374" max="12374" width="11.140625" style="3" customWidth="1"/>
    <col min="12375" max="12379" width="9.7109375" style="3" customWidth="1"/>
    <col min="12380" max="12545" width="8.85546875" style="3"/>
    <col min="12546" max="12546" width="12.140625" style="3" bestFit="1" customWidth="1"/>
    <col min="12547" max="12547" width="11.140625" style="3" bestFit="1" customWidth="1"/>
    <col min="12548" max="12557" width="9.7109375" style="3" customWidth="1"/>
    <col min="12558" max="12558" width="11.140625" style="3" bestFit="1" customWidth="1"/>
    <col min="12559" max="12563" width="9.7109375" style="3" customWidth="1"/>
    <col min="12564" max="12564" width="11.140625" style="3" customWidth="1"/>
    <col min="12565" max="12569" width="9.7109375" style="3" customWidth="1"/>
    <col min="12570" max="12570" width="11.140625" style="3" customWidth="1"/>
    <col min="12571" max="12575" width="9.7109375" style="3" customWidth="1"/>
    <col min="12576" max="12576" width="11.140625" style="3" customWidth="1"/>
    <col min="12577" max="12581" width="9.7109375" style="3" customWidth="1"/>
    <col min="12582" max="12582" width="11.140625" style="3" customWidth="1"/>
    <col min="12583" max="12587" width="9.7109375" style="3" customWidth="1"/>
    <col min="12588" max="12588" width="11.140625" style="3" customWidth="1"/>
    <col min="12589" max="12593" width="9.7109375" style="3" customWidth="1"/>
    <col min="12594" max="12594" width="11.140625" style="3" customWidth="1"/>
    <col min="12595" max="12599" width="9.7109375" style="3" customWidth="1"/>
    <col min="12600" max="12600" width="11.140625" style="3" customWidth="1"/>
    <col min="12601" max="12605" width="9.7109375" style="3" customWidth="1"/>
    <col min="12606" max="12606" width="11.140625" style="3" customWidth="1"/>
    <col min="12607" max="12611" width="9.7109375" style="3" customWidth="1"/>
    <col min="12612" max="12612" width="11.140625" style="3" customWidth="1"/>
    <col min="12613" max="12617" width="9.7109375" style="3" customWidth="1"/>
    <col min="12618" max="12618" width="11.140625" style="3" customWidth="1"/>
    <col min="12619" max="12623" width="9.7109375" style="3" customWidth="1"/>
    <col min="12624" max="12624" width="11.140625" style="3" customWidth="1"/>
    <col min="12625" max="12629" width="9.7109375" style="3" customWidth="1"/>
    <col min="12630" max="12630" width="11.140625" style="3" customWidth="1"/>
    <col min="12631" max="12635" width="9.7109375" style="3" customWidth="1"/>
    <col min="12636" max="12801" width="8.85546875" style="3"/>
    <col min="12802" max="12802" width="12.140625" style="3" bestFit="1" customWidth="1"/>
    <col min="12803" max="12803" width="11.140625" style="3" bestFit="1" customWidth="1"/>
    <col min="12804" max="12813" width="9.7109375" style="3" customWidth="1"/>
    <col min="12814" max="12814" width="11.140625" style="3" bestFit="1" customWidth="1"/>
    <col min="12815" max="12819" width="9.7109375" style="3" customWidth="1"/>
    <col min="12820" max="12820" width="11.140625" style="3" customWidth="1"/>
    <col min="12821" max="12825" width="9.7109375" style="3" customWidth="1"/>
    <col min="12826" max="12826" width="11.140625" style="3" customWidth="1"/>
    <col min="12827" max="12831" width="9.7109375" style="3" customWidth="1"/>
    <col min="12832" max="12832" width="11.140625" style="3" customWidth="1"/>
    <col min="12833" max="12837" width="9.7109375" style="3" customWidth="1"/>
    <col min="12838" max="12838" width="11.140625" style="3" customWidth="1"/>
    <col min="12839" max="12843" width="9.7109375" style="3" customWidth="1"/>
    <col min="12844" max="12844" width="11.140625" style="3" customWidth="1"/>
    <col min="12845" max="12849" width="9.7109375" style="3" customWidth="1"/>
    <col min="12850" max="12850" width="11.140625" style="3" customWidth="1"/>
    <col min="12851" max="12855" width="9.7109375" style="3" customWidth="1"/>
    <col min="12856" max="12856" width="11.140625" style="3" customWidth="1"/>
    <col min="12857" max="12861" width="9.7109375" style="3" customWidth="1"/>
    <col min="12862" max="12862" width="11.140625" style="3" customWidth="1"/>
    <col min="12863" max="12867" width="9.7109375" style="3" customWidth="1"/>
    <col min="12868" max="12868" width="11.140625" style="3" customWidth="1"/>
    <col min="12869" max="12873" width="9.7109375" style="3" customWidth="1"/>
    <col min="12874" max="12874" width="11.140625" style="3" customWidth="1"/>
    <col min="12875" max="12879" width="9.7109375" style="3" customWidth="1"/>
    <col min="12880" max="12880" width="11.140625" style="3" customWidth="1"/>
    <col min="12881" max="12885" width="9.7109375" style="3" customWidth="1"/>
    <col min="12886" max="12886" width="11.140625" style="3" customWidth="1"/>
    <col min="12887" max="12891" width="9.7109375" style="3" customWidth="1"/>
    <col min="12892" max="13057" width="8.85546875" style="3"/>
    <col min="13058" max="13058" width="12.140625" style="3" bestFit="1" customWidth="1"/>
    <col min="13059" max="13059" width="11.140625" style="3" bestFit="1" customWidth="1"/>
    <col min="13060" max="13069" width="9.7109375" style="3" customWidth="1"/>
    <col min="13070" max="13070" width="11.140625" style="3" bestFit="1" customWidth="1"/>
    <col min="13071" max="13075" width="9.7109375" style="3" customWidth="1"/>
    <col min="13076" max="13076" width="11.140625" style="3" customWidth="1"/>
    <col min="13077" max="13081" width="9.7109375" style="3" customWidth="1"/>
    <col min="13082" max="13082" width="11.140625" style="3" customWidth="1"/>
    <col min="13083" max="13087" width="9.7109375" style="3" customWidth="1"/>
    <col min="13088" max="13088" width="11.140625" style="3" customWidth="1"/>
    <col min="13089" max="13093" width="9.7109375" style="3" customWidth="1"/>
    <col min="13094" max="13094" width="11.140625" style="3" customWidth="1"/>
    <col min="13095" max="13099" width="9.7109375" style="3" customWidth="1"/>
    <col min="13100" max="13100" width="11.140625" style="3" customWidth="1"/>
    <col min="13101" max="13105" width="9.7109375" style="3" customWidth="1"/>
    <col min="13106" max="13106" width="11.140625" style="3" customWidth="1"/>
    <col min="13107" max="13111" width="9.7109375" style="3" customWidth="1"/>
    <col min="13112" max="13112" width="11.140625" style="3" customWidth="1"/>
    <col min="13113" max="13117" width="9.7109375" style="3" customWidth="1"/>
    <col min="13118" max="13118" width="11.140625" style="3" customWidth="1"/>
    <col min="13119" max="13123" width="9.7109375" style="3" customWidth="1"/>
    <col min="13124" max="13124" width="11.140625" style="3" customWidth="1"/>
    <col min="13125" max="13129" width="9.7109375" style="3" customWidth="1"/>
    <col min="13130" max="13130" width="11.140625" style="3" customWidth="1"/>
    <col min="13131" max="13135" width="9.7109375" style="3" customWidth="1"/>
    <col min="13136" max="13136" width="11.140625" style="3" customWidth="1"/>
    <col min="13137" max="13141" width="9.7109375" style="3" customWidth="1"/>
    <col min="13142" max="13142" width="11.140625" style="3" customWidth="1"/>
    <col min="13143" max="13147" width="9.7109375" style="3" customWidth="1"/>
    <col min="13148" max="13313" width="8.85546875" style="3"/>
    <col min="13314" max="13314" width="12.140625" style="3" bestFit="1" customWidth="1"/>
    <col min="13315" max="13315" width="11.140625" style="3" bestFit="1" customWidth="1"/>
    <col min="13316" max="13325" width="9.7109375" style="3" customWidth="1"/>
    <col min="13326" max="13326" width="11.140625" style="3" bestFit="1" customWidth="1"/>
    <col min="13327" max="13331" width="9.7109375" style="3" customWidth="1"/>
    <col min="13332" max="13332" width="11.140625" style="3" customWidth="1"/>
    <col min="13333" max="13337" width="9.7109375" style="3" customWidth="1"/>
    <col min="13338" max="13338" width="11.140625" style="3" customWidth="1"/>
    <col min="13339" max="13343" width="9.7109375" style="3" customWidth="1"/>
    <col min="13344" max="13344" width="11.140625" style="3" customWidth="1"/>
    <col min="13345" max="13349" width="9.7109375" style="3" customWidth="1"/>
    <col min="13350" max="13350" width="11.140625" style="3" customWidth="1"/>
    <col min="13351" max="13355" width="9.7109375" style="3" customWidth="1"/>
    <col min="13356" max="13356" width="11.140625" style="3" customWidth="1"/>
    <col min="13357" max="13361" width="9.7109375" style="3" customWidth="1"/>
    <col min="13362" max="13362" width="11.140625" style="3" customWidth="1"/>
    <col min="13363" max="13367" width="9.7109375" style="3" customWidth="1"/>
    <col min="13368" max="13368" width="11.140625" style="3" customWidth="1"/>
    <col min="13369" max="13373" width="9.7109375" style="3" customWidth="1"/>
    <col min="13374" max="13374" width="11.140625" style="3" customWidth="1"/>
    <col min="13375" max="13379" width="9.7109375" style="3" customWidth="1"/>
    <col min="13380" max="13380" width="11.140625" style="3" customWidth="1"/>
    <col min="13381" max="13385" width="9.7109375" style="3" customWidth="1"/>
    <col min="13386" max="13386" width="11.140625" style="3" customWidth="1"/>
    <col min="13387" max="13391" width="9.7109375" style="3" customWidth="1"/>
    <col min="13392" max="13392" width="11.140625" style="3" customWidth="1"/>
    <col min="13393" max="13397" width="9.7109375" style="3" customWidth="1"/>
    <col min="13398" max="13398" width="11.140625" style="3" customWidth="1"/>
    <col min="13399" max="13403" width="9.7109375" style="3" customWidth="1"/>
    <col min="13404" max="13569" width="8.85546875" style="3"/>
    <col min="13570" max="13570" width="12.140625" style="3" bestFit="1" customWidth="1"/>
    <col min="13571" max="13571" width="11.140625" style="3" bestFit="1" customWidth="1"/>
    <col min="13572" max="13581" width="9.7109375" style="3" customWidth="1"/>
    <col min="13582" max="13582" width="11.140625" style="3" bestFit="1" customWidth="1"/>
    <col min="13583" max="13587" width="9.7109375" style="3" customWidth="1"/>
    <col min="13588" max="13588" width="11.140625" style="3" customWidth="1"/>
    <col min="13589" max="13593" width="9.7109375" style="3" customWidth="1"/>
    <col min="13594" max="13594" width="11.140625" style="3" customWidth="1"/>
    <col min="13595" max="13599" width="9.7109375" style="3" customWidth="1"/>
    <col min="13600" max="13600" width="11.140625" style="3" customWidth="1"/>
    <col min="13601" max="13605" width="9.7109375" style="3" customWidth="1"/>
    <col min="13606" max="13606" width="11.140625" style="3" customWidth="1"/>
    <col min="13607" max="13611" width="9.7109375" style="3" customWidth="1"/>
    <col min="13612" max="13612" width="11.140625" style="3" customWidth="1"/>
    <col min="13613" max="13617" width="9.7109375" style="3" customWidth="1"/>
    <col min="13618" max="13618" width="11.140625" style="3" customWidth="1"/>
    <col min="13619" max="13623" width="9.7109375" style="3" customWidth="1"/>
    <col min="13624" max="13624" width="11.140625" style="3" customWidth="1"/>
    <col min="13625" max="13629" width="9.7109375" style="3" customWidth="1"/>
    <col min="13630" max="13630" width="11.140625" style="3" customWidth="1"/>
    <col min="13631" max="13635" width="9.7109375" style="3" customWidth="1"/>
    <col min="13636" max="13636" width="11.140625" style="3" customWidth="1"/>
    <col min="13637" max="13641" width="9.7109375" style="3" customWidth="1"/>
    <col min="13642" max="13642" width="11.140625" style="3" customWidth="1"/>
    <col min="13643" max="13647" width="9.7109375" style="3" customWidth="1"/>
    <col min="13648" max="13648" width="11.140625" style="3" customWidth="1"/>
    <col min="13649" max="13653" width="9.7109375" style="3" customWidth="1"/>
    <col min="13654" max="13654" width="11.140625" style="3" customWidth="1"/>
    <col min="13655" max="13659" width="9.7109375" style="3" customWidth="1"/>
    <col min="13660" max="13825" width="8.85546875" style="3"/>
    <col min="13826" max="13826" width="12.140625" style="3" bestFit="1" customWidth="1"/>
    <col min="13827" max="13827" width="11.140625" style="3" bestFit="1" customWidth="1"/>
    <col min="13828" max="13837" width="9.7109375" style="3" customWidth="1"/>
    <col min="13838" max="13838" width="11.140625" style="3" bestFit="1" customWidth="1"/>
    <col min="13839" max="13843" width="9.7109375" style="3" customWidth="1"/>
    <col min="13844" max="13844" width="11.140625" style="3" customWidth="1"/>
    <col min="13845" max="13849" width="9.7109375" style="3" customWidth="1"/>
    <col min="13850" max="13850" width="11.140625" style="3" customWidth="1"/>
    <col min="13851" max="13855" width="9.7109375" style="3" customWidth="1"/>
    <col min="13856" max="13856" width="11.140625" style="3" customWidth="1"/>
    <col min="13857" max="13861" width="9.7109375" style="3" customWidth="1"/>
    <col min="13862" max="13862" width="11.140625" style="3" customWidth="1"/>
    <col min="13863" max="13867" width="9.7109375" style="3" customWidth="1"/>
    <col min="13868" max="13868" width="11.140625" style="3" customWidth="1"/>
    <col min="13869" max="13873" width="9.7109375" style="3" customWidth="1"/>
    <col min="13874" max="13874" width="11.140625" style="3" customWidth="1"/>
    <col min="13875" max="13879" width="9.7109375" style="3" customWidth="1"/>
    <col min="13880" max="13880" width="11.140625" style="3" customWidth="1"/>
    <col min="13881" max="13885" width="9.7109375" style="3" customWidth="1"/>
    <col min="13886" max="13886" width="11.140625" style="3" customWidth="1"/>
    <col min="13887" max="13891" width="9.7109375" style="3" customWidth="1"/>
    <col min="13892" max="13892" width="11.140625" style="3" customWidth="1"/>
    <col min="13893" max="13897" width="9.7109375" style="3" customWidth="1"/>
    <col min="13898" max="13898" width="11.140625" style="3" customWidth="1"/>
    <col min="13899" max="13903" width="9.7109375" style="3" customWidth="1"/>
    <col min="13904" max="13904" width="11.140625" style="3" customWidth="1"/>
    <col min="13905" max="13909" width="9.7109375" style="3" customWidth="1"/>
    <col min="13910" max="13910" width="11.140625" style="3" customWidth="1"/>
    <col min="13911" max="13915" width="9.7109375" style="3" customWidth="1"/>
    <col min="13916" max="14081" width="8.85546875" style="3"/>
    <col min="14082" max="14082" width="12.140625" style="3" bestFit="1" customWidth="1"/>
    <col min="14083" max="14083" width="11.140625" style="3" bestFit="1" customWidth="1"/>
    <col min="14084" max="14093" width="9.7109375" style="3" customWidth="1"/>
    <col min="14094" max="14094" width="11.140625" style="3" bestFit="1" customWidth="1"/>
    <col min="14095" max="14099" width="9.7109375" style="3" customWidth="1"/>
    <col min="14100" max="14100" width="11.140625" style="3" customWidth="1"/>
    <col min="14101" max="14105" width="9.7109375" style="3" customWidth="1"/>
    <col min="14106" max="14106" width="11.140625" style="3" customWidth="1"/>
    <col min="14107" max="14111" width="9.7109375" style="3" customWidth="1"/>
    <col min="14112" max="14112" width="11.140625" style="3" customWidth="1"/>
    <col min="14113" max="14117" width="9.7109375" style="3" customWidth="1"/>
    <col min="14118" max="14118" width="11.140625" style="3" customWidth="1"/>
    <col min="14119" max="14123" width="9.7109375" style="3" customWidth="1"/>
    <col min="14124" max="14124" width="11.140625" style="3" customWidth="1"/>
    <col min="14125" max="14129" width="9.7109375" style="3" customWidth="1"/>
    <col min="14130" max="14130" width="11.140625" style="3" customWidth="1"/>
    <col min="14131" max="14135" width="9.7109375" style="3" customWidth="1"/>
    <col min="14136" max="14136" width="11.140625" style="3" customWidth="1"/>
    <col min="14137" max="14141" width="9.7109375" style="3" customWidth="1"/>
    <col min="14142" max="14142" width="11.140625" style="3" customWidth="1"/>
    <col min="14143" max="14147" width="9.7109375" style="3" customWidth="1"/>
    <col min="14148" max="14148" width="11.140625" style="3" customWidth="1"/>
    <col min="14149" max="14153" width="9.7109375" style="3" customWidth="1"/>
    <col min="14154" max="14154" width="11.140625" style="3" customWidth="1"/>
    <col min="14155" max="14159" width="9.7109375" style="3" customWidth="1"/>
    <col min="14160" max="14160" width="11.140625" style="3" customWidth="1"/>
    <col min="14161" max="14165" width="9.7109375" style="3" customWidth="1"/>
    <col min="14166" max="14166" width="11.140625" style="3" customWidth="1"/>
    <col min="14167" max="14171" width="9.7109375" style="3" customWidth="1"/>
    <col min="14172" max="14337" width="8.85546875" style="3"/>
    <col min="14338" max="14338" width="12.140625" style="3" bestFit="1" customWidth="1"/>
    <col min="14339" max="14339" width="11.140625" style="3" bestFit="1" customWidth="1"/>
    <col min="14340" max="14349" width="9.7109375" style="3" customWidth="1"/>
    <col min="14350" max="14350" width="11.140625" style="3" bestFit="1" customWidth="1"/>
    <col min="14351" max="14355" width="9.7109375" style="3" customWidth="1"/>
    <col min="14356" max="14356" width="11.140625" style="3" customWidth="1"/>
    <col min="14357" max="14361" width="9.7109375" style="3" customWidth="1"/>
    <col min="14362" max="14362" width="11.140625" style="3" customWidth="1"/>
    <col min="14363" max="14367" width="9.7109375" style="3" customWidth="1"/>
    <col min="14368" max="14368" width="11.140625" style="3" customWidth="1"/>
    <col min="14369" max="14373" width="9.7109375" style="3" customWidth="1"/>
    <col min="14374" max="14374" width="11.140625" style="3" customWidth="1"/>
    <col min="14375" max="14379" width="9.7109375" style="3" customWidth="1"/>
    <col min="14380" max="14380" width="11.140625" style="3" customWidth="1"/>
    <col min="14381" max="14385" width="9.7109375" style="3" customWidth="1"/>
    <col min="14386" max="14386" width="11.140625" style="3" customWidth="1"/>
    <col min="14387" max="14391" width="9.7109375" style="3" customWidth="1"/>
    <col min="14392" max="14392" width="11.140625" style="3" customWidth="1"/>
    <col min="14393" max="14397" width="9.7109375" style="3" customWidth="1"/>
    <col min="14398" max="14398" width="11.140625" style="3" customWidth="1"/>
    <col min="14399" max="14403" width="9.7109375" style="3" customWidth="1"/>
    <col min="14404" max="14404" width="11.140625" style="3" customWidth="1"/>
    <col min="14405" max="14409" width="9.7109375" style="3" customWidth="1"/>
    <col min="14410" max="14410" width="11.140625" style="3" customWidth="1"/>
    <col min="14411" max="14415" width="9.7109375" style="3" customWidth="1"/>
    <col min="14416" max="14416" width="11.140625" style="3" customWidth="1"/>
    <col min="14417" max="14421" width="9.7109375" style="3" customWidth="1"/>
    <col min="14422" max="14422" width="11.140625" style="3" customWidth="1"/>
    <col min="14423" max="14427" width="9.7109375" style="3" customWidth="1"/>
    <col min="14428" max="14593" width="8.85546875" style="3"/>
    <col min="14594" max="14594" width="12.140625" style="3" bestFit="1" customWidth="1"/>
    <col min="14595" max="14595" width="11.140625" style="3" bestFit="1" customWidth="1"/>
    <col min="14596" max="14605" width="9.7109375" style="3" customWidth="1"/>
    <col min="14606" max="14606" width="11.140625" style="3" bestFit="1" customWidth="1"/>
    <col min="14607" max="14611" width="9.7109375" style="3" customWidth="1"/>
    <col min="14612" max="14612" width="11.140625" style="3" customWidth="1"/>
    <col min="14613" max="14617" width="9.7109375" style="3" customWidth="1"/>
    <col min="14618" max="14618" width="11.140625" style="3" customWidth="1"/>
    <col min="14619" max="14623" width="9.7109375" style="3" customWidth="1"/>
    <col min="14624" max="14624" width="11.140625" style="3" customWidth="1"/>
    <col min="14625" max="14629" width="9.7109375" style="3" customWidth="1"/>
    <col min="14630" max="14630" width="11.140625" style="3" customWidth="1"/>
    <col min="14631" max="14635" width="9.7109375" style="3" customWidth="1"/>
    <col min="14636" max="14636" width="11.140625" style="3" customWidth="1"/>
    <col min="14637" max="14641" width="9.7109375" style="3" customWidth="1"/>
    <col min="14642" max="14642" width="11.140625" style="3" customWidth="1"/>
    <col min="14643" max="14647" width="9.7109375" style="3" customWidth="1"/>
    <col min="14648" max="14648" width="11.140625" style="3" customWidth="1"/>
    <col min="14649" max="14653" width="9.7109375" style="3" customWidth="1"/>
    <col min="14654" max="14654" width="11.140625" style="3" customWidth="1"/>
    <col min="14655" max="14659" width="9.7109375" style="3" customWidth="1"/>
    <col min="14660" max="14660" width="11.140625" style="3" customWidth="1"/>
    <col min="14661" max="14665" width="9.7109375" style="3" customWidth="1"/>
    <col min="14666" max="14666" width="11.140625" style="3" customWidth="1"/>
    <col min="14667" max="14671" width="9.7109375" style="3" customWidth="1"/>
    <col min="14672" max="14672" width="11.140625" style="3" customWidth="1"/>
    <col min="14673" max="14677" width="9.7109375" style="3" customWidth="1"/>
    <col min="14678" max="14678" width="11.140625" style="3" customWidth="1"/>
    <col min="14679" max="14683" width="9.7109375" style="3" customWidth="1"/>
    <col min="14684" max="14849" width="8.85546875" style="3"/>
    <col min="14850" max="14850" width="12.140625" style="3" bestFit="1" customWidth="1"/>
    <col min="14851" max="14851" width="11.140625" style="3" bestFit="1" customWidth="1"/>
    <col min="14852" max="14861" width="9.7109375" style="3" customWidth="1"/>
    <col min="14862" max="14862" width="11.140625" style="3" bestFit="1" customWidth="1"/>
    <col min="14863" max="14867" width="9.7109375" style="3" customWidth="1"/>
    <col min="14868" max="14868" width="11.140625" style="3" customWidth="1"/>
    <col min="14869" max="14873" width="9.7109375" style="3" customWidth="1"/>
    <col min="14874" max="14874" width="11.140625" style="3" customWidth="1"/>
    <col min="14875" max="14879" width="9.7109375" style="3" customWidth="1"/>
    <col min="14880" max="14880" width="11.140625" style="3" customWidth="1"/>
    <col min="14881" max="14885" width="9.7109375" style="3" customWidth="1"/>
    <col min="14886" max="14886" width="11.140625" style="3" customWidth="1"/>
    <col min="14887" max="14891" width="9.7109375" style="3" customWidth="1"/>
    <col min="14892" max="14892" width="11.140625" style="3" customWidth="1"/>
    <col min="14893" max="14897" width="9.7109375" style="3" customWidth="1"/>
    <col min="14898" max="14898" width="11.140625" style="3" customWidth="1"/>
    <col min="14899" max="14903" width="9.7109375" style="3" customWidth="1"/>
    <col min="14904" max="14904" width="11.140625" style="3" customWidth="1"/>
    <col min="14905" max="14909" width="9.7109375" style="3" customWidth="1"/>
    <col min="14910" max="14910" width="11.140625" style="3" customWidth="1"/>
    <col min="14911" max="14915" width="9.7109375" style="3" customWidth="1"/>
    <col min="14916" max="14916" width="11.140625" style="3" customWidth="1"/>
    <col min="14917" max="14921" width="9.7109375" style="3" customWidth="1"/>
    <col min="14922" max="14922" width="11.140625" style="3" customWidth="1"/>
    <col min="14923" max="14927" width="9.7109375" style="3" customWidth="1"/>
    <col min="14928" max="14928" width="11.140625" style="3" customWidth="1"/>
    <col min="14929" max="14933" width="9.7109375" style="3" customWidth="1"/>
    <col min="14934" max="14934" width="11.140625" style="3" customWidth="1"/>
    <col min="14935" max="14939" width="9.7109375" style="3" customWidth="1"/>
    <col min="14940" max="15105" width="8.85546875" style="3"/>
    <col min="15106" max="15106" width="12.140625" style="3" bestFit="1" customWidth="1"/>
    <col min="15107" max="15107" width="11.140625" style="3" bestFit="1" customWidth="1"/>
    <col min="15108" max="15117" width="9.7109375" style="3" customWidth="1"/>
    <col min="15118" max="15118" width="11.140625" style="3" bestFit="1" customWidth="1"/>
    <col min="15119" max="15123" width="9.7109375" style="3" customWidth="1"/>
    <col min="15124" max="15124" width="11.140625" style="3" customWidth="1"/>
    <col min="15125" max="15129" width="9.7109375" style="3" customWidth="1"/>
    <col min="15130" max="15130" width="11.140625" style="3" customWidth="1"/>
    <col min="15131" max="15135" width="9.7109375" style="3" customWidth="1"/>
    <col min="15136" max="15136" width="11.140625" style="3" customWidth="1"/>
    <col min="15137" max="15141" width="9.7109375" style="3" customWidth="1"/>
    <col min="15142" max="15142" width="11.140625" style="3" customWidth="1"/>
    <col min="15143" max="15147" width="9.7109375" style="3" customWidth="1"/>
    <col min="15148" max="15148" width="11.140625" style="3" customWidth="1"/>
    <col min="15149" max="15153" width="9.7109375" style="3" customWidth="1"/>
    <col min="15154" max="15154" width="11.140625" style="3" customWidth="1"/>
    <col min="15155" max="15159" width="9.7109375" style="3" customWidth="1"/>
    <col min="15160" max="15160" width="11.140625" style="3" customWidth="1"/>
    <col min="15161" max="15165" width="9.7109375" style="3" customWidth="1"/>
    <col min="15166" max="15166" width="11.140625" style="3" customWidth="1"/>
    <col min="15167" max="15171" width="9.7109375" style="3" customWidth="1"/>
    <col min="15172" max="15172" width="11.140625" style="3" customWidth="1"/>
    <col min="15173" max="15177" width="9.7109375" style="3" customWidth="1"/>
    <col min="15178" max="15178" width="11.140625" style="3" customWidth="1"/>
    <col min="15179" max="15183" width="9.7109375" style="3" customWidth="1"/>
    <col min="15184" max="15184" width="11.140625" style="3" customWidth="1"/>
    <col min="15185" max="15189" width="9.7109375" style="3" customWidth="1"/>
    <col min="15190" max="15190" width="11.140625" style="3" customWidth="1"/>
    <col min="15191" max="15195" width="9.7109375" style="3" customWidth="1"/>
    <col min="15196" max="15361" width="8.85546875" style="3"/>
    <col min="15362" max="15362" width="12.140625" style="3" bestFit="1" customWidth="1"/>
    <col min="15363" max="15363" width="11.140625" style="3" bestFit="1" customWidth="1"/>
    <col min="15364" max="15373" width="9.7109375" style="3" customWidth="1"/>
    <col min="15374" max="15374" width="11.140625" style="3" bestFit="1" customWidth="1"/>
    <col min="15375" max="15379" width="9.7109375" style="3" customWidth="1"/>
    <col min="15380" max="15380" width="11.140625" style="3" customWidth="1"/>
    <col min="15381" max="15385" width="9.7109375" style="3" customWidth="1"/>
    <col min="15386" max="15386" width="11.140625" style="3" customWidth="1"/>
    <col min="15387" max="15391" width="9.7109375" style="3" customWidth="1"/>
    <col min="15392" max="15392" width="11.140625" style="3" customWidth="1"/>
    <col min="15393" max="15397" width="9.7109375" style="3" customWidth="1"/>
    <col min="15398" max="15398" width="11.140625" style="3" customWidth="1"/>
    <col min="15399" max="15403" width="9.7109375" style="3" customWidth="1"/>
    <col min="15404" max="15404" width="11.140625" style="3" customWidth="1"/>
    <col min="15405" max="15409" width="9.7109375" style="3" customWidth="1"/>
    <col min="15410" max="15410" width="11.140625" style="3" customWidth="1"/>
    <col min="15411" max="15415" width="9.7109375" style="3" customWidth="1"/>
    <col min="15416" max="15416" width="11.140625" style="3" customWidth="1"/>
    <col min="15417" max="15421" width="9.7109375" style="3" customWidth="1"/>
    <col min="15422" max="15422" width="11.140625" style="3" customWidth="1"/>
    <col min="15423" max="15427" width="9.7109375" style="3" customWidth="1"/>
    <col min="15428" max="15428" width="11.140625" style="3" customWidth="1"/>
    <col min="15429" max="15433" width="9.7109375" style="3" customWidth="1"/>
    <col min="15434" max="15434" width="11.140625" style="3" customWidth="1"/>
    <col min="15435" max="15439" width="9.7109375" style="3" customWidth="1"/>
    <col min="15440" max="15440" width="11.140625" style="3" customWidth="1"/>
    <col min="15441" max="15445" width="9.7109375" style="3" customWidth="1"/>
    <col min="15446" max="15446" width="11.140625" style="3" customWidth="1"/>
    <col min="15447" max="15451" width="9.7109375" style="3" customWidth="1"/>
    <col min="15452" max="15617" width="8.85546875" style="3"/>
    <col min="15618" max="15618" width="12.140625" style="3" bestFit="1" customWidth="1"/>
    <col min="15619" max="15619" width="11.140625" style="3" bestFit="1" customWidth="1"/>
    <col min="15620" max="15629" width="9.7109375" style="3" customWidth="1"/>
    <col min="15630" max="15630" width="11.140625" style="3" bestFit="1" customWidth="1"/>
    <col min="15631" max="15635" width="9.7109375" style="3" customWidth="1"/>
    <col min="15636" max="15636" width="11.140625" style="3" customWidth="1"/>
    <col min="15637" max="15641" width="9.7109375" style="3" customWidth="1"/>
    <col min="15642" max="15642" width="11.140625" style="3" customWidth="1"/>
    <col min="15643" max="15647" width="9.7109375" style="3" customWidth="1"/>
    <col min="15648" max="15648" width="11.140625" style="3" customWidth="1"/>
    <col min="15649" max="15653" width="9.7109375" style="3" customWidth="1"/>
    <col min="15654" max="15654" width="11.140625" style="3" customWidth="1"/>
    <col min="15655" max="15659" width="9.7109375" style="3" customWidth="1"/>
    <col min="15660" max="15660" width="11.140625" style="3" customWidth="1"/>
    <col min="15661" max="15665" width="9.7109375" style="3" customWidth="1"/>
    <col min="15666" max="15666" width="11.140625" style="3" customWidth="1"/>
    <col min="15667" max="15671" width="9.7109375" style="3" customWidth="1"/>
    <col min="15672" max="15672" width="11.140625" style="3" customWidth="1"/>
    <col min="15673" max="15677" width="9.7109375" style="3" customWidth="1"/>
    <col min="15678" max="15678" width="11.140625" style="3" customWidth="1"/>
    <col min="15679" max="15683" width="9.7109375" style="3" customWidth="1"/>
    <col min="15684" max="15684" width="11.140625" style="3" customWidth="1"/>
    <col min="15685" max="15689" width="9.7109375" style="3" customWidth="1"/>
    <col min="15690" max="15690" width="11.140625" style="3" customWidth="1"/>
    <col min="15691" max="15695" width="9.7109375" style="3" customWidth="1"/>
    <col min="15696" max="15696" width="11.140625" style="3" customWidth="1"/>
    <col min="15697" max="15701" width="9.7109375" style="3" customWidth="1"/>
    <col min="15702" max="15702" width="11.140625" style="3" customWidth="1"/>
    <col min="15703" max="15707" width="9.7109375" style="3" customWidth="1"/>
    <col min="15708" max="15873" width="8.85546875" style="3"/>
    <col min="15874" max="15874" width="12.140625" style="3" bestFit="1" customWidth="1"/>
    <col min="15875" max="15875" width="11.140625" style="3" bestFit="1" customWidth="1"/>
    <col min="15876" max="15885" width="9.7109375" style="3" customWidth="1"/>
    <col min="15886" max="15886" width="11.140625" style="3" bestFit="1" customWidth="1"/>
    <col min="15887" max="15891" width="9.7109375" style="3" customWidth="1"/>
    <col min="15892" max="15892" width="11.140625" style="3" customWidth="1"/>
    <col min="15893" max="15897" width="9.7109375" style="3" customWidth="1"/>
    <col min="15898" max="15898" width="11.140625" style="3" customWidth="1"/>
    <col min="15899" max="15903" width="9.7109375" style="3" customWidth="1"/>
    <col min="15904" max="15904" width="11.140625" style="3" customWidth="1"/>
    <col min="15905" max="15909" width="9.7109375" style="3" customWidth="1"/>
    <col min="15910" max="15910" width="11.140625" style="3" customWidth="1"/>
    <col min="15911" max="15915" width="9.7109375" style="3" customWidth="1"/>
    <col min="15916" max="15916" width="11.140625" style="3" customWidth="1"/>
    <col min="15917" max="15921" width="9.7109375" style="3" customWidth="1"/>
    <col min="15922" max="15922" width="11.140625" style="3" customWidth="1"/>
    <col min="15923" max="15927" width="9.7109375" style="3" customWidth="1"/>
    <col min="15928" max="15928" width="11.140625" style="3" customWidth="1"/>
    <col min="15929" max="15933" width="9.7109375" style="3" customWidth="1"/>
    <col min="15934" max="15934" width="11.140625" style="3" customWidth="1"/>
    <col min="15935" max="15939" width="9.7109375" style="3" customWidth="1"/>
    <col min="15940" max="15940" width="11.140625" style="3" customWidth="1"/>
    <col min="15941" max="15945" width="9.7109375" style="3" customWidth="1"/>
    <col min="15946" max="15946" width="11.140625" style="3" customWidth="1"/>
    <col min="15947" max="15951" width="9.7109375" style="3" customWidth="1"/>
    <col min="15952" max="15952" width="11.140625" style="3" customWidth="1"/>
    <col min="15953" max="15957" width="9.7109375" style="3" customWidth="1"/>
    <col min="15958" max="15958" width="11.140625" style="3" customWidth="1"/>
    <col min="15959" max="15963" width="9.7109375" style="3" customWidth="1"/>
    <col min="15964" max="16129" width="8.85546875" style="3"/>
    <col min="16130" max="16130" width="12.140625" style="3" bestFit="1" customWidth="1"/>
    <col min="16131" max="16131" width="11.140625" style="3" bestFit="1" customWidth="1"/>
    <col min="16132" max="16141" width="9.7109375" style="3" customWidth="1"/>
    <col min="16142" max="16142" width="11.140625" style="3" bestFit="1" customWidth="1"/>
    <col min="16143" max="16147" width="9.7109375" style="3" customWidth="1"/>
    <col min="16148" max="16148" width="11.140625" style="3" customWidth="1"/>
    <col min="16149" max="16153" width="9.7109375" style="3" customWidth="1"/>
    <col min="16154" max="16154" width="11.140625" style="3" customWidth="1"/>
    <col min="16155" max="16159" width="9.7109375" style="3" customWidth="1"/>
    <col min="16160" max="16160" width="11.140625" style="3" customWidth="1"/>
    <col min="16161" max="16165" width="9.7109375" style="3" customWidth="1"/>
    <col min="16166" max="16166" width="11.140625" style="3" customWidth="1"/>
    <col min="16167" max="16171" width="9.7109375" style="3" customWidth="1"/>
    <col min="16172" max="16172" width="11.140625" style="3" customWidth="1"/>
    <col min="16173" max="16177" width="9.7109375" style="3" customWidth="1"/>
    <col min="16178" max="16178" width="11.140625" style="3" customWidth="1"/>
    <col min="16179" max="16183" width="9.7109375" style="3" customWidth="1"/>
    <col min="16184" max="16184" width="11.140625" style="3" customWidth="1"/>
    <col min="16185" max="16189" width="9.7109375" style="3" customWidth="1"/>
    <col min="16190" max="16190" width="11.140625" style="3" customWidth="1"/>
    <col min="16191" max="16195" width="9.7109375" style="3" customWidth="1"/>
    <col min="16196" max="16196" width="11.140625" style="3" customWidth="1"/>
    <col min="16197" max="16201" width="9.7109375" style="3" customWidth="1"/>
    <col min="16202" max="16202" width="11.140625" style="3" customWidth="1"/>
    <col min="16203" max="16207" width="9.7109375" style="3" customWidth="1"/>
    <col min="16208" max="16208" width="11.140625" style="3" customWidth="1"/>
    <col min="16209" max="16213" width="9.7109375" style="3" customWidth="1"/>
    <col min="16214" max="16214" width="11.140625" style="3" customWidth="1"/>
    <col min="16215" max="16219" width="9.7109375" style="3" customWidth="1"/>
    <col min="16220" max="16384" width="8.85546875" style="3"/>
  </cols>
  <sheetData>
    <row r="1" spans="1:91" x14ac:dyDescent="0.25">
      <c r="A1" s="1"/>
      <c r="B1" s="26" t="s">
        <v>131</v>
      </c>
      <c r="C1" s="26"/>
      <c r="D1" s="26"/>
      <c r="E1" s="26"/>
      <c r="F1" s="26"/>
      <c r="G1" s="26"/>
      <c r="H1" s="26" t="s">
        <v>138</v>
      </c>
      <c r="I1" s="26"/>
      <c r="J1" s="26"/>
      <c r="K1" s="26"/>
      <c r="L1" s="26"/>
      <c r="M1" s="26"/>
      <c r="N1" s="26" t="s">
        <v>151</v>
      </c>
      <c r="O1" s="26"/>
      <c r="P1" s="26"/>
      <c r="Q1" s="26"/>
      <c r="R1" s="26"/>
      <c r="S1" s="26"/>
      <c r="T1" s="26" t="s">
        <v>139</v>
      </c>
      <c r="U1" s="26"/>
      <c r="V1" s="26"/>
      <c r="W1" s="26"/>
      <c r="X1" s="26"/>
      <c r="Y1" s="26"/>
      <c r="Z1" s="26" t="s">
        <v>140</v>
      </c>
      <c r="AA1" s="26"/>
      <c r="AB1" s="26"/>
      <c r="AC1" s="26"/>
      <c r="AD1" s="26"/>
      <c r="AE1" s="26"/>
      <c r="AF1" s="26" t="s">
        <v>141</v>
      </c>
      <c r="AG1" s="26"/>
      <c r="AH1" s="26"/>
      <c r="AI1" s="26"/>
      <c r="AJ1" s="26"/>
      <c r="AK1" s="26"/>
      <c r="AL1" s="26" t="s">
        <v>142</v>
      </c>
      <c r="AM1" s="26"/>
      <c r="AN1" s="26"/>
      <c r="AO1" s="26"/>
      <c r="AP1" s="26"/>
      <c r="AQ1" s="26"/>
      <c r="AR1" s="26" t="s">
        <v>143</v>
      </c>
      <c r="AS1" s="26"/>
      <c r="AT1" s="26"/>
      <c r="AU1" s="26"/>
      <c r="AV1" s="26"/>
      <c r="AW1" s="26"/>
      <c r="AX1" s="26" t="s">
        <v>144</v>
      </c>
      <c r="AY1" s="26"/>
      <c r="AZ1" s="26"/>
      <c r="BA1" s="26"/>
      <c r="BB1" s="26"/>
      <c r="BC1" s="26"/>
      <c r="BD1" s="26" t="s">
        <v>145</v>
      </c>
      <c r="BE1" s="26"/>
      <c r="BF1" s="26"/>
      <c r="BG1" s="26"/>
      <c r="BH1" s="26"/>
      <c r="BI1" s="26"/>
      <c r="BJ1" s="26" t="s">
        <v>146</v>
      </c>
      <c r="BK1" s="26"/>
      <c r="BL1" s="26"/>
      <c r="BM1" s="26"/>
      <c r="BN1" s="26"/>
      <c r="BO1" s="26"/>
      <c r="BP1" s="26" t="s">
        <v>147</v>
      </c>
      <c r="BQ1" s="26"/>
      <c r="BR1" s="26"/>
      <c r="BS1" s="26"/>
      <c r="BT1" s="26"/>
      <c r="BU1" s="26"/>
      <c r="BV1" s="26" t="s">
        <v>148</v>
      </c>
      <c r="BW1" s="26"/>
      <c r="BX1" s="26"/>
      <c r="BY1" s="26"/>
      <c r="BZ1" s="26"/>
      <c r="CA1" s="26"/>
      <c r="CB1" s="26" t="s">
        <v>149</v>
      </c>
      <c r="CC1" s="26"/>
      <c r="CD1" s="26"/>
      <c r="CE1" s="26"/>
      <c r="CF1" s="26"/>
      <c r="CG1" s="26"/>
      <c r="CH1" s="26" t="s">
        <v>150</v>
      </c>
      <c r="CI1" s="26"/>
      <c r="CJ1" s="26"/>
      <c r="CK1" s="26"/>
      <c r="CL1" s="26"/>
      <c r="CM1" s="26"/>
    </row>
    <row r="2" spans="1:91" s="6" customFormat="1" ht="75" x14ac:dyDescent="0.25">
      <c r="A2" s="4"/>
      <c r="B2" s="5" t="s">
        <v>133</v>
      </c>
      <c r="C2" s="5" t="s">
        <v>134</v>
      </c>
      <c r="D2" s="5" t="s">
        <v>135</v>
      </c>
      <c r="E2" s="5" t="s">
        <v>136</v>
      </c>
      <c r="F2" s="5" t="s">
        <v>137</v>
      </c>
      <c r="G2" s="5" t="s">
        <v>132</v>
      </c>
      <c r="H2" s="5" t="s">
        <v>133</v>
      </c>
      <c r="I2" s="5" t="s">
        <v>134</v>
      </c>
      <c r="J2" s="5" t="s">
        <v>135</v>
      </c>
      <c r="K2" s="5" t="s">
        <v>136</v>
      </c>
      <c r="L2" s="5" t="s">
        <v>137</v>
      </c>
      <c r="M2" s="5" t="s">
        <v>132</v>
      </c>
      <c r="N2" s="5" t="s">
        <v>133</v>
      </c>
      <c r="O2" s="5" t="s">
        <v>134</v>
      </c>
      <c r="P2" s="5" t="s">
        <v>135</v>
      </c>
      <c r="Q2" s="5" t="s">
        <v>136</v>
      </c>
      <c r="R2" s="5" t="s">
        <v>137</v>
      </c>
      <c r="S2" s="5" t="s">
        <v>132</v>
      </c>
      <c r="T2" s="5" t="s">
        <v>133</v>
      </c>
      <c r="U2" s="5" t="s">
        <v>134</v>
      </c>
      <c r="V2" s="5" t="s">
        <v>135</v>
      </c>
      <c r="W2" s="5" t="s">
        <v>136</v>
      </c>
      <c r="X2" s="5" t="s">
        <v>137</v>
      </c>
      <c r="Y2" s="5" t="s">
        <v>132</v>
      </c>
      <c r="Z2" s="5" t="s">
        <v>133</v>
      </c>
      <c r="AA2" s="5" t="s">
        <v>134</v>
      </c>
      <c r="AB2" s="5" t="s">
        <v>135</v>
      </c>
      <c r="AC2" s="5" t="s">
        <v>136</v>
      </c>
      <c r="AD2" s="5" t="s">
        <v>137</v>
      </c>
      <c r="AE2" s="5" t="s">
        <v>132</v>
      </c>
      <c r="AF2" s="5" t="s">
        <v>133</v>
      </c>
      <c r="AG2" s="5" t="s">
        <v>134</v>
      </c>
      <c r="AH2" s="5" t="s">
        <v>135</v>
      </c>
      <c r="AI2" s="5" t="s">
        <v>136</v>
      </c>
      <c r="AJ2" s="5" t="s">
        <v>137</v>
      </c>
      <c r="AK2" s="5" t="s">
        <v>132</v>
      </c>
      <c r="AL2" s="5" t="s">
        <v>133</v>
      </c>
      <c r="AM2" s="5" t="s">
        <v>134</v>
      </c>
      <c r="AN2" s="5" t="s">
        <v>135</v>
      </c>
      <c r="AO2" s="5" t="s">
        <v>136</v>
      </c>
      <c r="AP2" s="5" t="s">
        <v>137</v>
      </c>
      <c r="AQ2" s="5" t="s">
        <v>132</v>
      </c>
      <c r="AR2" s="5" t="s">
        <v>133</v>
      </c>
      <c r="AS2" s="5" t="s">
        <v>134</v>
      </c>
      <c r="AT2" s="5" t="s">
        <v>135</v>
      </c>
      <c r="AU2" s="5" t="s">
        <v>136</v>
      </c>
      <c r="AV2" s="5" t="s">
        <v>137</v>
      </c>
      <c r="AW2" s="5" t="s">
        <v>132</v>
      </c>
      <c r="AX2" s="5" t="s">
        <v>133</v>
      </c>
      <c r="AY2" s="5" t="s">
        <v>134</v>
      </c>
      <c r="AZ2" s="5" t="s">
        <v>135</v>
      </c>
      <c r="BA2" s="5" t="s">
        <v>136</v>
      </c>
      <c r="BB2" s="5" t="s">
        <v>137</v>
      </c>
      <c r="BC2" s="5" t="s">
        <v>132</v>
      </c>
      <c r="BD2" s="5" t="s">
        <v>133</v>
      </c>
      <c r="BE2" s="5" t="s">
        <v>134</v>
      </c>
      <c r="BF2" s="5" t="s">
        <v>135</v>
      </c>
      <c r="BG2" s="5" t="s">
        <v>136</v>
      </c>
      <c r="BH2" s="5" t="s">
        <v>137</v>
      </c>
      <c r="BI2" s="5" t="s">
        <v>132</v>
      </c>
      <c r="BJ2" s="5" t="s">
        <v>133</v>
      </c>
      <c r="BK2" s="5" t="s">
        <v>134</v>
      </c>
      <c r="BL2" s="5" t="s">
        <v>135</v>
      </c>
      <c r="BM2" s="5" t="s">
        <v>136</v>
      </c>
      <c r="BN2" s="5" t="s">
        <v>137</v>
      </c>
      <c r="BO2" s="5" t="s">
        <v>132</v>
      </c>
      <c r="BP2" s="5" t="s">
        <v>133</v>
      </c>
      <c r="BQ2" s="5" t="s">
        <v>134</v>
      </c>
      <c r="BR2" s="5" t="s">
        <v>135</v>
      </c>
      <c r="BS2" s="5" t="s">
        <v>136</v>
      </c>
      <c r="BT2" s="5" t="s">
        <v>137</v>
      </c>
      <c r="BU2" s="5" t="s">
        <v>132</v>
      </c>
      <c r="BV2" s="5" t="s">
        <v>133</v>
      </c>
      <c r="BW2" s="5" t="s">
        <v>134</v>
      </c>
      <c r="BX2" s="5" t="s">
        <v>135</v>
      </c>
      <c r="BY2" s="5" t="s">
        <v>136</v>
      </c>
      <c r="BZ2" s="5" t="s">
        <v>137</v>
      </c>
      <c r="CA2" s="5" t="s">
        <v>132</v>
      </c>
      <c r="CB2" s="5" t="s">
        <v>133</v>
      </c>
      <c r="CC2" s="5" t="s">
        <v>134</v>
      </c>
      <c r="CD2" s="5" t="s">
        <v>135</v>
      </c>
      <c r="CE2" s="5" t="s">
        <v>136</v>
      </c>
      <c r="CF2" s="5" t="s">
        <v>137</v>
      </c>
      <c r="CG2" s="5" t="s">
        <v>132</v>
      </c>
      <c r="CH2" s="5" t="s">
        <v>133</v>
      </c>
      <c r="CI2" s="5" t="s">
        <v>134</v>
      </c>
      <c r="CJ2" s="5" t="s">
        <v>135</v>
      </c>
      <c r="CK2" s="5" t="s">
        <v>136</v>
      </c>
      <c r="CL2" s="5" t="s">
        <v>137</v>
      </c>
      <c r="CM2" s="5" t="s">
        <v>132</v>
      </c>
    </row>
    <row r="3" spans="1:91" x14ac:dyDescent="0.25">
      <c r="A3" s="7" t="s">
        <v>0</v>
      </c>
      <c r="B3" s="8">
        <v>31784.636363636364</v>
      </c>
      <c r="C3" s="8">
        <v>9056.363636363636</v>
      </c>
      <c r="D3" s="8">
        <v>174</v>
      </c>
      <c r="E3" s="9">
        <v>6028.1206896551721</v>
      </c>
      <c r="F3" s="9">
        <v>1717.5862068965519</v>
      </c>
      <c r="G3" s="10">
        <v>8.9818181818181824</v>
      </c>
      <c r="H3" s="8">
        <v>75810.25</v>
      </c>
      <c r="I3" s="8">
        <v>25080.333333333332</v>
      </c>
      <c r="J3" s="8">
        <v>187</v>
      </c>
      <c r="K3" s="9">
        <v>14594.486631016043</v>
      </c>
      <c r="L3" s="9">
        <v>4828.2994652406414</v>
      </c>
      <c r="M3" s="10">
        <v>9.6955941177246032</v>
      </c>
      <c r="N3" s="8">
        <f t="shared" ref="N3:N34" si="0">IFERROR(AVERAGE(T3,Z3,AF3,AL3,AR3,AX3,BD3,BJ3,BP3,BV3,CB3,CH3)," ")</f>
        <v>50265.63636363636</v>
      </c>
      <c r="O3" s="8">
        <f t="shared" ref="O3:O34" si="1">IFERROR(AVERAGE(U3,AA3,AG3,AM3,AS3,AY3,BE3,BK3,BQ3,BW3,CC3,CI3)," ")</f>
        <v>16068.454545454546</v>
      </c>
      <c r="P3" s="8">
        <f t="shared" ref="P3:P34" si="2">IFERROR(SUM(V3,AB3,AH3,AN3,AT3,AZ3,BF3,BL3,BR3,BX3,CD3,CJ3)," ")</f>
        <v>137</v>
      </c>
      <c r="Q3" s="9">
        <f t="shared" ref="Q3:Q34" si="3">IFERROR(SUM(T3,Z3,AF3,AL3,AR3,AX3,BD3,BJ3,BP3,BV3,CB3,CH3)/P3*3," ")</f>
        <v>12107.78102189781</v>
      </c>
      <c r="R3" s="9">
        <f t="shared" ref="R3:R34" si="4">IFERROR(SUM(U3,AA3,AG3,AM3,AS3,AY3,BE3,BK3,BQ3,BW3,CC3,CI3)/P3*3," ")</f>
        <v>3870.5036496350367</v>
      </c>
      <c r="S3" s="10">
        <f t="shared" ref="S3:S34" si="5">IFERROR(AVERAGE(Y3,AE3,AK3,AQ3,AW3,BC3,BI3,BO3,BU3,CA3,CG3,CM3)," ")</f>
        <v>9.0798193173072193</v>
      </c>
      <c r="T3" s="11">
        <v>14036</v>
      </c>
      <c r="U3" s="11">
        <v>3422</v>
      </c>
      <c r="V3" s="11">
        <v>4</v>
      </c>
      <c r="W3" s="12">
        <v>10527</v>
      </c>
      <c r="X3" s="12">
        <v>2566.5</v>
      </c>
      <c r="Y3" s="13">
        <v>7.9711620443582794</v>
      </c>
      <c r="Z3" s="11">
        <v>45161</v>
      </c>
      <c r="AA3" s="11">
        <v>13517</v>
      </c>
      <c r="AB3" s="11">
        <v>14</v>
      </c>
      <c r="AC3" s="12">
        <v>9677.3571428571431</v>
      </c>
      <c r="AD3" s="12">
        <v>2896.5</v>
      </c>
      <c r="AE3" s="13">
        <v>8.6392637067178253</v>
      </c>
      <c r="AF3" s="11">
        <v>53500</v>
      </c>
      <c r="AG3" s="11">
        <v>18568</v>
      </c>
      <c r="AH3" s="11">
        <v>18</v>
      </c>
      <c r="AI3" s="12">
        <v>8916.6666666666661</v>
      </c>
      <c r="AJ3" s="12">
        <v>3094.666666666667</v>
      </c>
      <c r="AK3" s="13">
        <v>9.868765037454585</v>
      </c>
      <c r="AL3" s="11">
        <v>110040</v>
      </c>
      <c r="AM3" s="11">
        <v>37443</v>
      </c>
      <c r="AN3" s="11">
        <v>26</v>
      </c>
      <c r="AO3" s="12">
        <v>12696.92307692308</v>
      </c>
      <c r="AP3" s="12">
        <v>4320.3461538461534</v>
      </c>
      <c r="AQ3" s="13">
        <v>9.823114048561715</v>
      </c>
      <c r="AR3" s="11">
        <v>77385</v>
      </c>
      <c r="AS3" s="11">
        <v>24637</v>
      </c>
      <c r="AT3" s="11">
        <v>18</v>
      </c>
      <c r="AU3" s="12">
        <v>12897.5</v>
      </c>
      <c r="AV3" s="12">
        <v>4106.1666666666661</v>
      </c>
      <c r="AW3" s="13">
        <v>9.451727291952901</v>
      </c>
      <c r="AX3" s="11">
        <v>71500</v>
      </c>
      <c r="AY3" s="11">
        <v>27995</v>
      </c>
      <c r="AZ3" s="11">
        <v>17</v>
      </c>
      <c r="BA3" s="12">
        <v>12617.64705882353</v>
      </c>
      <c r="BB3" s="12">
        <v>4940.2941176470586</v>
      </c>
      <c r="BC3" s="13">
        <v>10.490838494023841</v>
      </c>
      <c r="BD3" s="11">
        <v>33000</v>
      </c>
      <c r="BE3" s="11">
        <v>10363</v>
      </c>
      <c r="BF3" s="11">
        <v>9</v>
      </c>
      <c r="BG3" s="12">
        <v>11000</v>
      </c>
      <c r="BH3" s="12">
        <v>3454.333333333333</v>
      </c>
      <c r="BI3" s="13">
        <v>9.4468208537276848</v>
      </c>
      <c r="BJ3" s="11">
        <v>49000</v>
      </c>
      <c r="BK3" s="11">
        <v>14425</v>
      </c>
      <c r="BL3" s="11">
        <v>7</v>
      </c>
      <c r="BM3" s="12">
        <v>21000</v>
      </c>
      <c r="BN3" s="12">
        <v>6182.1428571428569</v>
      </c>
      <c r="BO3" s="13">
        <v>8.8363811966812076</v>
      </c>
      <c r="BP3" s="11">
        <v>12300</v>
      </c>
      <c r="BQ3" s="11">
        <v>3377</v>
      </c>
      <c r="BR3" s="11">
        <v>7</v>
      </c>
      <c r="BS3" s="12">
        <v>5271.4285714285716</v>
      </c>
      <c r="BT3" s="12">
        <v>1447.285714285714</v>
      </c>
      <c r="BU3" s="13">
        <v>8.4680173047278746</v>
      </c>
      <c r="BV3" s="11">
        <v>41000</v>
      </c>
      <c r="BW3" s="11">
        <v>11240</v>
      </c>
      <c r="BX3" s="11">
        <v>8</v>
      </c>
      <c r="BY3" s="12">
        <v>15375</v>
      </c>
      <c r="BZ3" s="12">
        <v>4215</v>
      </c>
      <c r="CA3" s="13">
        <v>8.7846873426045775</v>
      </c>
      <c r="CB3" s="11">
        <v>46000</v>
      </c>
      <c r="CC3" s="11">
        <v>11766</v>
      </c>
      <c r="CD3" s="11">
        <v>9</v>
      </c>
      <c r="CE3" s="12">
        <v>15333.33333333333</v>
      </c>
      <c r="CF3" s="12">
        <v>3922</v>
      </c>
      <c r="CG3" s="13">
        <v>8.0972351695689522</v>
      </c>
      <c r="CJ3" s="11"/>
      <c r="CK3" s="12"/>
      <c r="CL3" s="12"/>
      <c r="CM3" s="13"/>
    </row>
    <row r="4" spans="1:91" x14ac:dyDescent="0.25">
      <c r="A4" s="7" t="s">
        <v>1</v>
      </c>
      <c r="B4" s="8">
        <v>298974.36363636365</v>
      </c>
      <c r="C4" s="8">
        <v>11388.545454545454</v>
      </c>
      <c r="D4" s="8">
        <v>721</v>
      </c>
      <c r="E4" s="9">
        <v>13683.98613037448</v>
      </c>
      <c r="F4" s="9">
        <v>521.25104022191408</v>
      </c>
      <c r="G4" s="10">
        <v>2.6927272727272729</v>
      </c>
      <c r="H4" s="8">
        <v>228482.33333333334</v>
      </c>
      <c r="I4" s="8">
        <v>8924.25</v>
      </c>
      <c r="J4" s="8">
        <v>506</v>
      </c>
      <c r="K4" s="9">
        <v>16255.660079051382</v>
      </c>
      <c r="L4" s="9">
        <v>634.92687747035575</v>
      </c>
      <c r="M4" s="10">
        <v>2.724666921324626</v>
      </c>
      <c r="N4" s="8">
        <f t="shared" si="0"/>
        <v>270363.09090909088</v>
      </c>
      <c r="O4" s="8">
        <f t="shared" si="1"/>
        <v>10872.90909090909</v>
      </c>
      <c r="P4" s="8">
        <f t="shared" si="2"/>
        <v>484</v>
      </c>
      <c r="Q4" s="9">
        <f t="shared" si="3"/>
        <v>18433.847107438018</v>
      </c>
      <c r="R4" s="9">
        <f t="shared" si="4"/>
        <v>741.33471074380168</v>
      </c>
      <c r="S4" s="10">
        <f t="shared" si="5"/>
        <v>2.767811340657512</v>
      </c>
      <c r="T4" s="11">
        <v>273196</v>
      </c>
      <c r="U4" s="11">
        <v>10186</v>
      </c>
      <c r="V4" s="11">
        <v>44</v>
      </c>
      <c r="W4" s="12">
        <v>18627</v>
      </c>
      <c r="X4" s="12">
        <v>694.5</v>
      </c>
      <c r="Y4" s="13">
        <v>2.6573908901386418</v>
      </c>
      <c r="Z4" s="11">
        <v>241011</v>
      </c>
      <c r="AA4" s="11">
        <v>9260</v>
      </c>
      <c r="AB4" s="11">
        <v>41</v>
      </c>
      <c r="AC4" s="12">
        <v>17634.95121951219</v>
      </c>
      <c r="AD4" s="12">
        <v>677.56097560975604</v>
      </c>
      <c r="AE4" s="13">
        <v>2.6996854136582749</v>
      </c>
      <c r="AF4" s="11">
        <v>276168</v>
      </c>
      <c r="AG4" s="11">
        <v>10295</v>
      </c>
      <c r="AH4" s="11">
        <v>46</v>
      </c>
      <c r="AI4" s="12">
        <v>18010.956521739128</v>
      </c>
      <c r="AJ4" s="12">
        <v>671.41304347826087</v>
      </c>
      <c r="AK4" s="13">
        <v>2.6587311748239761</v>
      </c>
      <c r="AL4" s="11">
        <v>310572</v>
      </c>
      <c r="AM4" s="11">
        <v>12208</v>
      </c>
      <c r="AN4" s="11">
        <v>49</v>
      </c>
      <c r="AO4" s="12">
        <v>19014.612244897959</v>
      </c>
      <c r="AP4" s="12">
        <v>747.42857142857144</v>
      </c>
      <c r="AQ4" s="13">
        <v>2.730744033183838</v>
      </c>
      <c r="AR4" s="11">
        <v>270490</v>
      </c>
      <c r="AS4" s="11">
        <v>13765</v>
      </c>
      <c r="AT4" s="11">
        <v>42</v>
      </c>
      <c r="AU4" s="12">
        <v>19320.71428571429</v>
      </c>
      <c r="AV4" s="12">
        <v>983.21428571428578</v>
      </c>
      <c r="AW4" s="13">
        <v>3.2001070088673829</v>
      </c>
      <c r="AX4" s="11">
        <v>231748</v>
      </c>
      <c r="AY4" s="11">
        <v>9736</v>
      </c>
      <c r="AZ4" s="11">
        <v>47</v>
      </c>
      <c r="BA4" s="12">
        <v>14792.425531914891</v>
      </c>
      <c r="BB4" s="12">
        <v>621.44680851063833</v>
      </c>
      <c r="BC4" s="13">
        <v>2.8298398725667391</v>
      </c>
      <c r="BD4" s="11">
        <v>247500</v>
      </c>
      <c r="BE4" s="11">
        <v>9482</v>
      </c>
      <c r="BF4" s="11">
        <v>38</v>
      </c>
      <c r="BG4" s="12">
        <v>19539.47368421053</v>
      </c>
      <c r="BH4" s="12">
        <v>748.57894736842104</v>
      </c>
      <c r="BI4" s="13">
        <v>2.6958858291924011</v>
      </c>
      <c r="BJ4" s="11">
        <v>209712</v>
      </c>
      <c r="BK4" s="11">
        <v>8062</v>
      </c>
      <c r="BL4" s="11">
        <v>34</v>
      </c>
      <c r="BM4" s="12">
        <v>18504</v>
      </c>
      <c r="BN4" s="12">
        <v>711.35294117647061</v>
      </c>
      <c r="BO4" s="13">
        <v>2.7117343588569409</v>
      </c>
      <c r="BP4" s="11">
        <v>287704</v>
      </c>
      <c r="BQ4" s="11">
        <v>12005</v>
      </c>
      <c r="BR4" s="11">
        <v>47</v>
      </c>
      <c r="BS4" s="12">
        <v>18364.08510638298</v>
      </c>
      <c r="BT4" s="12">
        <v>766.27659574468089</v>
      </c>
      <c r="BU4" s="13">
        <v>2.8134456255860831</v>
      </c>
      <c r="BV4" s="11">
        <v>332021</v>
      </c>
      <c r="BW4" s="11">
        <v>13716</v>
      </c>
      <c r="BX4" s="11">
        <v>57</v>
      </c>
      <c r="BY4" s="12">
        <v>17474.78947368421</v>
      </c>
      <c r="BZ4" s="12">
        <v>721.8947368421052</v>
      </c>
      <c r="CA4" s="13">
        <v>2.7994751413292569</v>
      </c>
      <c r="CB4" s="11">
        <v>293872</v>
      </c>
      <c r="CC4" s="11">
        <v>10887</v>
      </c>
      <c r="CD4" s="11">
        <v>39</v>
      </c>
      <c r="CE4" s="12">
        <v>22605.538461538461</v>
      </c>
      <c r="CF4" s="12">
        <v>837.46153846153834</v>
      </c>
      <c r="CG4" s="13">
        <v>2.6488853990290941</v>
      </c>
      <c r="CJ4" s="11"/>
      <c r="CK4" s="12"/>
      <c r="CL4" s="12"/>
      <c r="CM4" s="13"/>
    </row>
    <row r="5" spans="1:91" x14ac:dyDescent="0.25">
      <c r="A5" s="7" t="s">
        <v>2</v>
      </c>
      <c r="B5" s="8">
        <v>358289</v>
      </c>
      <c r="C5" s="8">
        <v>14085.545454545454</v>
      </c>
      <c r="D5" s="8">
        <v>794</v>
      </c>
      <c r="E5" s="9">
        <v>14891.104534005037</v>
      </c>
      <c r="F5" s="9">
        <v>585.41939546599497</v>
      </c>
      <c r="G5" s="10">
        <v>2.7354545454545449</v>
      </c>
      <c r="H5" s="8">
        <v>6076986.25</v>
      </c>
      <c r="I5" s="8">
        <v>226234.33333333334</v>
      </c>
      <c r="J5" s="8">
        <v>494</v>
      </c>
      <c r="K5" s="9">
        <v>442857.29757085018</v>
      </c>
      <c r="L5" s="9">
        <v>16486.712550607288</v>
      </c>
      <c r="M5" s="10">
        <v>2.6582613729713112</v>
      </c>
      <c r="N5" s="8">
        <f t="shared" si="0"/>
        <v>287173.27272727271</v>
      </c>
      <c r="O5" s="8">
        <f t="shared" si="1"/>
        <v>12964.818181818182</v>
      </c>
      <c r="P5" s="8">
        <f t="shared" si="2"/>
        <v>562</v>
      </c>
      <c r="Q5" s="9">
        <f t="shared" si="3"/>
        <v>16862.487544483985</v>
      </c>
      <c r="R5" s="9">
        <f t="shared" si="4"/>
        <v>761.27935943060493</v>
      </c>
      <c r="S5" s="10">
        <f t="shared" si="5"/>
        <v>2.9805587990682425</v>
      </c>
      <c r="T5" s="11">
        <v>303782</v>
      </c>
      <c r="U5" s="11">
        <v>12020</v>
      </c>
      <c r="V5" s="11">
        <v>54</v>
      </c>
      <c r="W5" s="12">
        <v>16876.777777777781</v>
      </c>
      <c r="X5" s="12">
        <v>667.77777777777771</v>
      </c>
      <c r="Y5" s="13">
        <v>2.7388765900171852</v>
      </c>
      <c r="Z5" s="11">
        <v>152193</v>
      </c>
      <c r="AA5" s="11">
        <v>13306</v>
      </c>
      <c r="AB5" s="11">
        <v>50</v>
      </c>
      <c r="AC5" s="12">
        <v>9131.58</v>
      </c>
      <c r="AD5" s="12">
        <v>798.36</v>
      </c>
      <c r="AE5" s="13">
        <v>4.0876775007986108</v>
      </c>
      <c r="AF5" s="11">
        <v>348608</v>
      </c>
      <c r="AG5" s="11">
        <v>13321</v>
      </c>
      <c r="AH5" s="11">
        <v>58</v>
      </c>
      <c r="AI5" s="12">
        <v>18031.448275862069</v>
      </c>
      <c r="AJ5" s="12">
        <v>689.01724137931035</v>
      </c>
      <c r="AK5" s="13">
        <v>2.6912481867763969</v>
      </c>
      <c r="AL5" s="11">
        <v>377074</v>
      </c>
      <c r="AM5" s="11">
        <v>14789</v>
      </c>
      <c r="AN5" s="11">
        <v>61</v>
      </c>
      <c r="AO5" s="12">
        <v>18544.62295081967</v>
      </c>
      <c r="AP5" s="12">
        <v>727.32786885245901</v>
      </c>
      <c r="AQ5" s="13">
        <v>2.7267293096999792</v>
      </c>
      <c r="AR5" s="11">
        <v>333466</v>
      </c>
      <c r="AS5" s="11">
        <v>14328</v>
      </c>
      <c r="AT5" s="11">
        <v>57</v>
      </c>
      <c r="AU5" s="12">
        <v>17550.84210526316</v>
      </c>
      <c r="AV5" s="12">
        <v>754.1052631578948</v>
      </c>
      <c r="AW5" s="13">
        <v>2.8555840496498579</v>
      </c>
      <c r="AX5" s="11">
        <v>254758</v>
      </c>
      <c r="AY5" s="11">
        <v>14921</v>
      </c>
      <c r="AZ5" s="11">
        <v>49</v>
      </c>
      <c r="BA5" s="12">
        <v>15597.428571428571</v>
      </c>
      <c r="BB5" s="12">
        <v>913.53061224489795</v>
      </c>
      <c r="BC5" s="13">
        <v>3.4063882502287099</v>
      </c>
      <c r="BD5" s="11">
        <v>251167</v>
      </c>
      <c r="BE5" s="11">
        <v>9393</v>
      </c>
      <c r="BF5" s="11">
        <v>42</v>
      </c>
      <c r="BG5" s="12">
        <v>17940.5</v>
      </c>
      <c r="BH5" s="12">
        <v>670.92857142857144</v>
      </c>
      <c r="BI5" s="13">
        <v>2.6626284817570891</v>
      </c>
      <c r="BJ5" s="11">
        <v>246500</v>
      </c>
      <c r="BK5" s="11">
        <v>10689</v>
      </c>
      <c r="BL5" s="11">
        <v>41</v>
      </c>
      <c r="BM5" s="12">
        <v>18036.585365853662</v>
      </c>
      <c r="BN5" s="12">
        <v>782.12195121951208</v>
      </c>
      <c r="BO5" s="13">
        <v>2.8726784824073168</v>
      </c>
      <c r="BP5" s="11">
        <v>282139</v>
      </c>
      <c r="BQ5" s="11">
        <v>14000</v>
      </c>
      <c r="BR5" s="11">
        <v>51</v>
      </c>
      <c r="BS5" s="12">
        <v>16596.411764705881</v>
      </c>
      <c r="BT5" s="12">
        <v>823.52941176470586</v>
      </c>
      <c r="BU5" s="13">
        <v>3.0713490015149931</v>
      </c>
      <c r="BV5" s="11">
        <v>318039</v>
      </c>
      <c r="BW5" s="11">
        <v>13773</v>
      </c>
      <c r="BX5" s="11">
        <v>50</v>
      </c>
      <c r="BY5" s="12">
        <v>19082.34</v>
      </c>
      <c r="BZ5" s="12">
        <v>826.37999999999988</v>
      </c>
      <c r="CA5" s="13">
        <v>2.8662579342695689</v>
      </c>
      <c r="CB5" s="11">
        <v>291180</v>
      </c>
      <c r="CC5" s="11">
        <v>12073</v>
      </c>
      <c r="CD5" s="11">
        <v>49</v>
      </c>
      <c r="CE5" s="12">
        <v>17827.34693877551</v>
      </c>
      <c r="CF5" s="12">
        <v>739.16326530612241</v>
      </c>
      <c r="CG5" s="13">
        <v>2.806729002630957</v>
      </c>
      <c r="CJ5" s="11"/>
      <c r="CK5" s="12"/>
      <c r="CL5" s="12"/>
      <c r="CM5" s="13"/>
    </row>
    <row r="6" spans="1:91" x14ac:dyDescent="0.25">
      <c r="A6" s="7" t="s">
        <v>3</v>
      </c>
      <c r="B6" s="8">
        <v>223175.72727272726</v>
      </c>
      <c r="C6" s="8">
        <v>15731.181818181818</v>
      </c>
      <c r="D6" s="8">
        <v>750</v>
      </c>
      <c r="E6" s="9">
        <v>9819.732</v>
      </c>
      <c r="F6" s="9">
        <v>692.17200000000003</v>
      </c>
      <c r="G6" s="10">
        <v>3.6236363636363635</v>
      </c>
      <c r="H6" s="8">
        <v>216724.08333333334</v>
      </c>
      <c r="I6" s="8">
        <v>14975.166666666666</v>
      </c>
      <c r="J6" s="8">
        <v>601</v>
      </c>
      <c r="K6" s="9">
        <v>12981.808652246258</v>
      </c>
      <c r="L6" s="9">
        <v>897.01497504159738</v>
      </c>
      <c r="M6" s="10">
        <v>3.590734346213611</v>
      </c>
      <c r="N6" s="8">
        <f t="shared" si="0"/>
        <v>245606.09090909091</v>
      </c>
      <c r="O6" s="8">
        <f t="shared" si="1"/>
        <v>18773.454545454544</v>
      </c>
      <c r="P6" s="8">
        <f t="shared" si="2"/>
        <v>590</v>
      </c>
      <c r="Q6" s="9">
        <f t="shared" si="3"/>
        <v>13737.289830508475</v>
      </c>
      <c r="R6" s="9">
        <f t="shared" si="4"/>
        <v>1050.0406779661016</v>
      </c>
      <c r="S6" s="10">
        <f t="shared" si="5"/>
        <v>3.7625924391218875</v>
      </c>
      <c r="T6" s="11">
        <v>210176</v>
      </c>
      <c r="U6" s="11">
        <v>15985</v>
      </c>
      <c r="V6" s="11">
        <v>49</v>
      </c>
      <c r="W6" s="12">
        <v>12867.91836734694</v>
      </c>
      <c r="X6" s="12">
        <v>978.67346938775518</v>
      </c>
      <c r="Y6" s="13">
        <v>3.7598283139784172</v>
      </c>
      <c r="Z6" s="11">
        <v>245764</v>
      </c>
      <c r="AA6" s="11">
        <v>19977</v>
      </c>
      <c r="AB6" s="11">
        <v>55</v>
      </c>
      <c r="AC6" s="12">
        <v>13405.30909090909</v>
      </c>
      <c r="AD6" s="12">
        <v>1089.6545454545451</v>
      </c>
      <c r="AE6" s="13">
        <v>3.8832922396901299</v>
      </c>
      <c r="AF6" s="11">
        <v>274832</v>
      </c>
      <c r="AG6" s="11">
        <v>16656</v>
      </c>
      <c r="AH6" s="11">
        <v>63</v>
      </c>
      <c r="AI6" s="12">
        <v>13087.238095238101</v>
      </c>
      <c r="AJ6" s="12">
        <v>793.14285714285722</v>
      </c>
      <c r="AK6" s="13">
        <v>3.3613418337861112</v>
      </c>
      <c r="AL6" s="11">
        <v>326950</v>
      </c>
      <c r="AM6" s="11">
        <v>28307</v>
      </c>
      <c r="AN6" s="11">
        <v>72</v>
      </c>
      <c r="AO6" s="12">
        <v>13622.91666666667</v>
      </c>
      <c r="AP6" s="12">
        <v>1179.458333333333</v>
      </c>
      <c r="AQ6" s="13">
        <v>4.014818944568904</v>
      </c>
      <c r="AR6" s="11">
        <v>263357</v>
      </c>
      <c r="AS6" s="11">
        <v>20847</v>
      </c>
      <c r="AT6" s="11">
        <v>57</v>
      </c>
      <c r="AU6" s="12">
        <v>13860.89473684211</v>
      </c>
      <c r="AV6" s="12">
        <v>1097.21052631579</v>
      </c>
      <c r="AW6" s="13">
        <v>3.829450671075191</v>
      </c>
      <c r="AX6" s="11">
        <v>191328</v>
      </c>
      <c r="AY6" s="11">
        <v>16541</v>
      </c>
      <c r="AZ6" s="11">
        <v>47</v>
      </c>
      <c r="BA6" s="12">
        <v>12212.425531914891</v>
      </c>
      <c r="BB6" s="12">
        <v>1055.808510638298</v>
      </c>
      <c r="BC6" s="13">
        <v>4.0053771618419551</v>
      </c>
      <c r="BD6" s="11">
        <v>223943</v>
      </c>
      <c r="BE6" s="11">
        <v>17344</v>
      </c>
      <c r="BF6" s="11">
        <v>42</v>
      </c>
      <c r="BG6" s="12">
        <v>15995.928571428571</v>
      </c>
      <c r="BH6" s="12">
        <v>1238.8571428571429</v>
      </c>
      <c r="BI6" s="13">
        <v>3.7908464998172362</v>
      </c>
      <c r="BJ6" s="11">
        <v>226498</v>
      </c>
      <c r="BK6" s="11">
        <v>13184</v>
      </c>
      <c r="BL6" s="11">
        <v>44</v>
      </c>
      <c r="BM6" s="12">
        <v>15443.04545454545</v>
      </c>
      <c r="BN6" s="12">
        <v>898.90909090909088</v>
      </c>
      <c r="BO6" s="13">
        <v>3.2965414777709299</v>
      </c>
      <c r="BP6" s="11">
        <v>199609</v>
      </c>
      <c r="BQ6" s="11">
        <v>15187</v>
      </c>
      <c r="BR6" s="11">
        <v>40</v>
      </c>
      <c r="BS6" s="12">
        <v>14970.674999999999</v>
      </c>
      <c r="BT6" s="12">
        <v>1139.0250000000001</v>
      </c>
      <c r="BU6" s="13">
        <v>3.7804130232998698</v>
      </c>
      <c r="BV6" s="11">
        <v>273724</v>
      </c>
      <c r="BW6" s="11">
        <v>19699</v>
      </c>
      <c r="BX6" s="11">
        <v>65</v>
      </c>
      <c r="BY6" s="12">
        <v>12633.41538461538</v>
      </c>
      <c r="BZ6" s="12">
        <v>909.18461538461543</v>
      </c>
      <c r="CA6" s="13">
        <v>3.6626732182094561</v>
      </c>
      <c r="CB6" s="11">
        <v>265486</v>
      </c>
      <c r="CC6" s="11">
        <v>22781</v>
      </c>
      <c r="CD6" s="11">
        <v>56</v>
      </c>
      <c r="CE6" s="12">
        <v>14222.46428571429</v>
      </c>
      <c r="CF6" s="12">
        <v>1220.410714285714</v>
      </c>
      <c r="CG6" s="13">
        <v>4.0039334463025629</v>
      </c>
      <c r="CJ6" s="11"/>
      <c r="CK6" s="12"/>
      <c r="CL6" s="12"/>
      <c r="CM6" s="13"/>
    </row>
    <row r="7" spans="1:91" x14ac:dyDescent="0.25">
      <c r="A7" s="7" t="s">
        <v>4</v>
      </c>
      <c r="B7" s="8">
        <v>338306.63636363635</v>
      </c>
      <c r="C7" s="8">
        <v>49892.090909090912</v>
      </c>
      <c r="D7" s="8">
        <v>774</v>
      </c>
      <c r="E7" s="9">
        <v>14423.926356589147</v>
      </c>
      <c r="F7" s="9">
        <v>2127.1821705426355</v>
      </c>
      <c r="G7" s="10">
        <v>5.23</v>
      </c>
      <c r="H7" s="8">
        <v>300180.41666666669</v>
      </c>
      <c r="I7" s="8">
        <v>49553.666666666664</v>
      </c>
      <c r="J7" s="8">
        <v>692</v>
      </c>
      <c r="K7" s="9">
        <v>15616.32225433526</v>
      </c>
      <c r="L7" s="9">
        <v>2577.9364161849712</v>
      </c>
      <c r="M7" s="10">
        <v>5.5321889811932676</v>
      </c>
      <c r="N7" s="8">
        <f t="shared" si="0"/>
        <v>327433.45454545453</v>
      </c>
      <c r="O7" s="8">
        <f t="shared" si="1"/>
        <v>51695.545454545456</v>
      </c>
      <c r="P7" s="8">
        <f t="shared" si="2"/>
        <v>651</v>
      </c>
      <c r="Q7" s="9">
        <f t="shared" si="3"/>
        <v>16598.00921658986</v>
      </c>
      <c r="R7" s="9">
        <f t="shared" si="4"/>
        <v>2620.5115207373269</v>
      </c>
      <c r="S7" s="10">
        <f t="shared" si="5"/>
        <v>5.3492653578059857</v>
      </c>
      <c r="T7" s="11">
        <v>292850</v>
      </c>
      <c r="U7" s="11">
        <v>39220</v>
      </c>
      <c r="V7" s="11">
        <v>59</v>
      </c>
      <c r="W7" s="12">
        <v>14890.677966101701</v>
      </c>
      <c r="X7" s="12">
        <v>1994.237288135593</v>
      </c>
      <c r="Y7" s="13">
        <v>4.9672349844570887</v>
      </c>
      <c r="Z7" s="11">
        <v>347939</v>
      </c>
      <c r="AA7" s="11">
        <v>66513</v>
      </c>
      <c r="AB7" s="11">
        <v>56</v>
      </c>
      <c r="AC7" s="12">
        <v>18639.58928571429</v>
      </c>
      <c r="AD7" s="12">
        <v>3563.196428571428</v>
      </c>
      <c r="AE7" s="13">
        <v>5.952833442819303</v>
      </c>
      <c r="AF7" s="11">
        <v>295701</v>
      </c>
      <c r="AG7" s="11">
        <v>49025</v>
      </c>
      <c r="AH7" s="11">
        <v>54</v>
      </c>
      <c r="AI7" s="12">
        <v>16427.833333333328</v>
      </c>
      <c r="AJ7" s="12">
        <v>2723.6111111111109</v>
      </c>
      <c r="AK7" s="13">
        <v>5.5447976879961001</v>
      </c>
      <c r="AL7" s="11">
        <v>415605</v>
      </c>
      <c r="AM7" s="11">
        <v>67280</v>
      </c>
      <c r="AN7" s="11">
        <v>66</v>
      </c>
      <c r="AO7" s="12">
        <v>18891.13636363636</v>
      </c>
      <c r="AP7" s="12">
        <v>3058.181818181818</v>
      </c>
      <c r="AQ7" s="13">
        <v>5.4899143164211397</v>
      </c>
      <c r="AR7" s="11">
        <v>347019</v>
      </c>
      <c r="AS7" s="11">
        <v>58599</v>
      </c>
      <c r="AT7" s="11">
        <v>63</v>
      </c>
      <c r="AU7" s="12">
        <v>16524.71428571429</v>
      </c>
      <c r="AV7" s="12">
        <v>2790.428571428572</v>
      </c>
      <c r="AW7" s="13">
        <v>5.5969550279076259</v>
      </c>
      <c r="AX7" s="11">
        <v>299636</v>
      </c>
      <c r="AY7" s="11">
        <v>65125</v>
      </c>
      <c r="AZ7" s="11">
        <v>60</v>
      </c>
      <c r="BA7" s="12">
        <v>14981.8</v>
      </c>
      <c r="BB7" s="12">
        <v>3256.25</v>
      </c>
      <c r="BC7" s="13">
        <v>6.3535318279086637</v>
      </c>
      <c r="BD7" s="11">
        <v>350921</v>
      </c>
      <c r="BE7" s="11">
        <v>69282</v>
      </c>
      <c r="BF7" s="11">
        <v>63</v>
      </c>
      <c r="BG7" s="12">
        <v>16710.523809523809</v>
      </c>
      <c r="BH7" s="12">
        <v>3299.1428571428569</v>
      </c>
      <c r="BI7" s="13">
        <v>6.0964525418730711</v>
      </c>
      <c r="BJ7" s="11">
        <v>283129</v>
      </c>
      <c r="BK7" s="11">
        <v>48064</v>
      </c>
      <c r="BL7" s="11">
        <v>55</v>
      </c>
      <c r="BM7" s="12">
        <v>15443.4</v>
      </c>
      <c r="BN7" s="12">
        <v>2621.6727272727271</v>
      </c>
      <c r="BO7" s="13">
        <v>5.6055141939605422</v>
      </c>
      <c r="BP7" s="11">
        <v>328698</v>
      </c>
      <c r="BQ7" s="11">
        <v>37920</v>
      </c>
      <c r="BR7" s="11">
        <v>59</v>
      </c>
      <c r="BS7" s="12">
        <v>16713.457627118649</v>
      </c>
      <c r="BT7" s="12">
        <v>1928.1355932203389</v>
      </c>
      <c r="BU7" s="13">
        <v>4.594455289131635</v>
      </c>
      <c r="BV7" s="11">
        <v>295752</v>
      </c>
      <c r="BW7" s="11">
        <v>22370</v>
      </c>
      <c r="BX7" s="11">
        <v>56</v>
      </c>
      <c r="BY7" s="12">
        <v>15843.857142857139</v>
      </c>
      <c r="BZ7" s="12">
        <v>1198.3928571428571</v>
      </c>
      <c r="CA7" s="13">
        <v>3.6748751138742701</v>
      </c>
      <c r="CB7" s="11">
        <v>344518</v>
      </c>
      <c r="CC7" s="11">
        <v>45253</v>
      </c>
      <c r="CD7" s="11">
        <v>60</v>
      </c>
      <c r="CE7" s="12">
        <v>17225.900000000001</v>
      </c>
      <c r="CF7" s="12">
        <v>2262.65</v>
      </c>
      <c r="CG7" s="13">
        <v>4.9653545095163922</v>
      </c>
      <c r="CJ7" s="11"/>
      <c r="CK7" s="12"/>
      <c r="CL7" s="12"/>
      <c r="CM7" s="13"/>
    </row>
    <row r="8" spans="1:91" x14ac:dyDescent="0.25">
      <c r="A8" s="7" t="s">
        <v>5</v>
      </c>
      <c r="B8" s="8">
        <v>275239.90000000002</v>
      </c>
      <c r="C8" s="8">
        <v>37069.199999999997</v>
      </c>
      <c r="D8" s="8">
        <v>678</v>
      </c>
      <c r="E8" s="9">
        <v>12178.756637168142</v>
      </c>
      <c r="F8" s="9">
        <v>1640.2300884955753</v>
      </c>
      <c r="G8" s="10">
        <v>4.9389999999999992</v>
      </c>
      <c r="H8" s="8">
        <v>288730.67261904763</v>
      </c>
      <c r="I8" s="8">
        <v>37892.333333333336</v>
      </c>
      <c r="J8" s="8">
        <v>650</v>
      </c>
      <c r="K8" s="9">
        <v>15991.237252747251</v>
      </c>
      <c r="L8" s="9">
        <v>2098.6523076923077</v>
      </c>
      <c r="M8" s="10">
        <v>4.9535977910017621</v>
      </c>
      <c r="N8" s="8">
        <f t="shared" si="0"/>
        <v>297998.90909090912</v>
      </c>
      <c r="O8" s="8">
        <f t="shared" si="1"/>
        <v>43685.818181818184</v>
      </c>
      <c r="P8" s="8">
        <f t="shared" si="2"/>
        <v>623</v>
      </c>
      <c r="Q8" s="9">
        <f t="shared" si="3"/>
        <v>15784.853932584268</v>
      </c>
      <c r="R8" s="9">
        <f t="shared" si="4"/>
        <v>2314.0160513643659</v>
      </c>
      <c r="S8" s="10">
        <f t="shared" si="5"/>
        <v>5.176728933130601</v>
      </c>
      <c r="T8" s="11">
        <v>330482</v>
      </c>
      <c r="U8" s="11">
        <v>57807</v>
      </c>
      <c r="V8" s="11">
        <v>65</v>
      </c>
      <c r="W8" s="12">
        <v>15253.015384615381</v>
      </c>
      <c r="X8" s="12">
        <v>2668.0153846153839</v>
      </c>
      <c r="Y8" s="13">
        <v>5.6948199363558194</v>
      </c>
      <c r="Z8" s="11">
        <v>333708</v>
      </c>
      <c r="AA8" s="11">
        <v>58770</v>
      </c>
      <c r="AB8" s="11">
        <v>61</v>
      </c>
      <c r="AC8" s="12">
        <v>16411.868852459022</v>
      </c>
      <c r="AD8" s="12">
        <v>2890.3278688524588</v>
      </c>
      <c r="AE8" s="13">
        <v>5.7211795684355673</v>
      </c>
      <c r="AF8" s="11">
        <v>302241</v>
      </c>
      <c r="AG8" s="11">
        <v>45648</v>
      </c>
      <c r="AH8" s="11">
        <v>57</v>
      </c>
      <c r="AI8" s="12">
        <v>15907.42105263158</v>
      </c>
      <c r="AJ8" s="12">
        <v>2402.5263157894742</v>
      </c>
      <c r="AK8" s="13">
        <v>5.3157596164698466</v>
      </c>
      <c r="AL8" s="11">
        <v>395850</v>
      </c>
      <c r="AM8" s="11">
        <v>47094</v>
      </c>
      <c r="AN8" s="11">
        <v>72</v>
      </c>
      <c r="AO8" s="12">
        <v>16493.75</v>
      </c>
      <c r="AP8" s="12">
        <v>1962.25</v>
      </c>
      <c r="AQ8" s="13">
        <v>4.7252881886005396</v>
      </c>
      <c r="AR8" s="11">
        <v>344636</v>
      </c>
      <c r="AS8" s="11">
        <v>52070</v>
      </c>
      <c r="AT8" s="11">
        <v>69</v>
      </c>
      <c r="AU8" s="12">
        <v>14984.17391304348</v>
      </c>
      <c r="AV8" s="12">
        <v>2263.913043478261</v>
      </c>
      <c r="AW8" s="13">
        <v>5.3240280892001826</v>
      </c>
      <c r="AX8" s="11">
        <v>284121</v>
      </c>
      <c r="AY8" s="11">
        <v>45479</v>
      </c>
      <c r="AZ8" s="11">
        <v>51</v>
      </c>
      <c r="BA8" s="12">
        <v>16713</v>
      </c>
      <c r="BB8" s="12">
        <v>2675.2352941176468</v>
      </c>
      <c r="BC8" s="13">
        <v>5.4617158327401469</v>
      </c>
      <c r="BD8" s="11">
        <v>277584</v>
      </c>
      <c r="BE8" s="11">
        <v>34634</v>
      </c>
      <c r="BF8" s="11">
        <v>63</v>
      </c>
      <c r="BG8" s="12">
        <v>13218.285714285719</v>
      </c>
      <c r="BH8" s="12">
        <v>1649.238095238095</v>
      </c>
      <c r="BI8" s="13">
        <v>4.8319829898693767</v>
      </c>
      <c r="BJ8" s="11">
        <v>154251</v>
      </c>
      <c r="BK8" s="11">
        <v>15740</v>
      </c>
      <c r="BL8" s="11">
        <v>29</v>
      </c>
      <c r="BM8" s="12">
        <v>15957</v>
      </c>
      <c r="BN8" s="12">
        <v>1628.2758620689649</v>
      </c>
      <c r="BO8" s="13">
        <v>4.3668075087443254</v>
      </c>
      <c r="BP8" s="11">
        <v>214775</v>
      </c>
      <c r="BQ8" s="11">
        <v>28665</v>
      </c>
      <c r="BR8" s="11">
        <v>38</v>
      </c>
      <c r="BS8" s="12">
        <v>16955.92105263158</v>
      </c>
      <c r="BT8" s="12">
        <v>2263.0263157894742</v>
      </c>
      <c r="BU8" s="13">
        <v>5.007057600798718</v>
      </c>
      <c r="BV8" s="11">
        <v>331327</v>
      </c>
      <c r="BW8" s="11">
        <v>52283</v>
      </c>
      <c r="BX8" s="11">
        <v>59</v>
      </c>
      <c r="BY8" s="12">
        <v>16847.135593220341</v>
      </c>
      <c r="BZ8" s="12">
        <v>2658.4576271186438</v>
      </c>
      <c r="CA8" s="13">
        <v>5.4297889445581902</v>
      </c>
      <c r="CB8" s="11">
        <v>309013</v>
      </c>
      <c r="CC8" s="11">
        <v>42354</v>
      </c>
      <c r="CD8" s="11">
        <v>59</v>
      </c>
      <c r="CE8" s="12">
        <v>15712.52542372881</v>
      </c>
      <c r="CF8" s="12">
        <v>2153.593220338983</v>
      </c>
      <c r="CG8" s="13">
        <v>5.0655899886639073</v>
      </c>
      <c r="CJ8" s="11"/>
      <c r="CK8" s="12"/>
      <c r="CL8" s="12"/>
      <c r="CM8" s="13"/>
    </row>
    <row r="9" spans="1:91" x14ac:dyDescent="0.25">
      <c r="A9" s="7" t="s">
        <v>6</v>
      </c>
      <c r="B9" s="8">
        <v>192300</v>
      </c>
      <c r="C9" s="8">
        <v>6066.3</v>
      </c>
      <c r="D9" s="8">
        <v>551</v>
      </c>
      <c r="E9" s="9">
        <v>10470.054446460979</v>
      </c>
      <c r="F9" s="9">
        <v>330.28856624319423</v>
      </c>
      <c r="G9" s="10">
        <v>2.4559999999999995</v>
      </c>
      <c r="H9" s="8">
        <v>239941.5</v>
      </c>
      <c r="I9" s="8">
        <v>7292.833333333333</v>
      </c>
      <c r="J9" s="8">
        <v>501</v>
      </c>
      <c r="K9" s="9">
        <v>17241.305389221554</v>
      </c>
      <c r="L9" s="9">
        <v>524.03592814371257</v>
      </c>
      <c r="M9" s="10">
        <v>2.412393679549258</v>
      </c>
      <c r="N9" s="8">
        <f t="shared" si="0"/>
        <v>256586.27272727274</v>
      </c>
      <c r="O9" s="8">
        <f t="shared" si="1"/>
        <v>8005.636363636364</v>
      </c>
      <c r="P9" s="8">
        <f t="shared" si="2"/>
        <v>474</v>
      </c>
      <c r="Q9" s="9">
        <f t="shared" si="3"/>
        <v>17863.601265822785</v>
      </c>
      <c r="R9" s="9">
        <f t="shared" si="4"/>
        <v>557.35443037974687</v>
      </c>
      <c r="S9" s="10">
        <f t="shared" si="5"/>
        <v>2.3961930435511216</v>
      </c>
      <c r="T9" s="11">
        <v>198498</v>
      </c>
      <c r="U9" s="11">
        <v>5027</v>
      </c>
      <c r="V9" s="11">
        <v>38</v>
      </c>
      <c r="W9" s="12">
        <v>15670.8947368421</v>
      </c>
      <c r="X9" s="12">
        <v>396.86842105263162</v>
      </c>
      <c r="Y9" s="13">
        <v>2.2198555549229471</v>
      </c>
      <c r="Z9" s="11">
        <v>231408</v>
      </c>
      <c r="AA9" s="11">
        <v>8397</v>
      </c>
      <c r="AB9" s="11">
        <v>37</v>
      </c>
      <c r="AC9" s="12">
        <v>18762.81081081081</v>
      </c>
      <c r="AD9" s="12">
        <v>680.83783783783781</v>
      </c>
      <c r="AE9" s="13">
        <v>2.6253908945331741</v>
      </c>
      <c r="AF9" s="11">
        <v>301420</v>
      </c>
      <c r="AG9" s="11">
        <v>11737</v>
      </c>
      <c r="AH9" s="11">
        <v>56</v>
      </c>
      <c r="AI9" s="12">
        <v>16147.5</v>
      </c>
      <c r="AJ9" s="12">
        <v>628.76785714285711</v>
      </c>
      <c r="AK9" s="13">
        <v>2.7202289827510171</v>
      </c>
      <c r="AL9" s="11">
        <v>361245</v>
      </c>
      <c r="AM9" s="11">
        <v>14029</v>
      </c>
      <c r="AN9" s="11">
        <v>57</v>
      </c>
      <c r="AO9" s="12">
        <v>19012.89473684211</v>
      </c>
      <c r="AP9" s="12">
        <v>738.36842105263156</v>
      </c>
      <c r="AQ9" s="13">
        <v>2.7143087351378821</v>
      </c>
      <c r="AR9" s="11">
        <v>305660</v>
      </c>
      <c r="AS9" s="11">
        <v>11484</v>
      </c>
      <c r="AT9" s="11">
        <v>55</v>
      </c>
      <c r="AU9" s="12">
        <v>16672.36363636364</v>
      </c>
      <c r="AV9" s="12">
        <v>626.40000000000009</v>
      </c>
      <c r="AW9" s="13">
        <v>2.679321486169846</v>
      </c>
      <c r="AX9" s="11">
        <v>219791</v>
      </c>
      <c r="AY9" s="11">
        <v>5921</v>
      </c>
      <c r="AZ9" s="11">
        <v>33</v>
      </c>
      <c r="BA9" s="12">
        <v>19981</v>
      </c>
      <c r="BB9" s="12">
        <v>538.27272727272725</v>
      </c>
      <c r="BC9" s="13">
        <v>2.2749725138071479</v>
      </c>
      <c r="BD9" s="11">
        <v>252668</v>
      </c>
      <c r="BE9" s="11">
        <v>5060</v>
      </c>
      <c r="BF9" s="11">
        <v>40</v>
      </c>
      <c r="BG9" s="12">
        <v>18950.099999999999</v>
      </c>
      <c r="BH9" s="12">
        <v>379.5</v>
      </c>
      <c r="BI9" s="13">
        <v>1.9668267274182221</v>
      </c>
      <c r="BJ9" s="11">
        <v>162913</v>
      </c>
      <c r="BK9" s="11">
        <v>3766</v>
      </c>
      <c r="BL9" s="11">
        <v>22</v>
      </c>
      <c r="BM9" s="12">
        <v>22215.409090909088</v>
      </c>
      <c r="BN9" s="12">
        <v>513.5454545454545</v>
      </c>
      <c r="BO9" s="13">
        <v>2.1016554746299629</v>
      </c>
      <c r="BP9" s="11">
        <v>239204</v>
      </c>
      <c r="BQ9" s="11">
        <v>8285</v>
      </c>
      <c r="BR9" s="11">
        <v>42</v>
      </c>
      <c r="BS9" s="12">
        <v>17086</v>
      </c>
      <c r="BT9" s="12">
        <v>591.78571428571422</v>
      </c>
      <c r="BU9" s="13">
        <v>2.5744151340424071</v>
      </c>
      <c r="BV9" s="11">
        <v>283534</v>
      </c>
      <c r="BW9" s="11">
        <v>6355</v>
      </c>
      <c r="BX9" s="11">
        <v>55</v>
      </c>
      <c r="BY9" s="12">
        <v>15465.49090909091</v>
      </c>
      <c r="BZ9" s="12">
        <v>346.63636363636363</v>
      </c>
      <c r="CA9" s="13">
        <v>2.0882696701365671</v>
      </c>
      <c r="CB9" s="11">
        <v>266108</v>
      </c>
      <c r="CC9" s="11">
        <v>8001</v>
      </c>
      <c r="CD9" s="11">
        <v>39</v>
      </c>
      <c r="CE9" s="12">
        <v>20469.84615384616</v>
      </c>
      <c r="CF9" s="12">
        <v>615.46153846153845</v>
      </c>
      <c r="CG9" s="13">
        <v>2.3928783055131668</v>
      </c>
      <c r="CJ9" s="11"/>
      <c r="CK9" s="12"/>
      <c r="CL9" s="12"/>
      <c r="CM9" s="13"/>
    </row>
    <row r="10" spans="1:91" x14ac:dyDescent="0.25">
      <c r="A10" s="7" t="s">
        <v>7</v>
      </c>
      <c r="B10" s="8">
        <v>365658.09090909088</v>
      </c>
      <c r="C10" s="8">
        <v>14679.363636363636</v>
      </c>
      <c r="D10" s="8">
        <v>720</v>
      </c>
      <c r="E10" s="9">
        <v>16759.329166666666</v>
      </c>
      <c r="F10" s="9">
        <v>672.80416666666667</v>
      </c>
      <c r="G10" s="10">
        <v>2.8090909090909091</v>
      </c>
      <c r="H10" s="8">
        <v>294385.58333333331</v>
      </c>
      <c r="I10" s="8">
        <v>11609.083333333334</v>
      </c>
      <c r="J10" s="8">
        <v>565</v>
      </c>
      <c r="K10" s="9">
        <v>18757.311504424779</v>
      </c>
      <c r="L10" s="9">
        <v>739.69380530973444</v>
      </c>
      <c r="M10" s="10">
        <v>2.802072516977006</v>
      </c>
      <c r="N10" s="8">
        <f t="shared" si="0"/>
        <v>325528.90909090912</v>
      </c>
      <c r="O10" s="8">
        <f t="shared" si="1"/>
        <v>11532.90909090909</v>
      </c>
      <c r="P10" s="8">
        <f t="shared" si="2"/>
        <v>600</v>
      </c>
      <c r="Q10" s="9">
        <f t="shared" si="3"/>
        <v>17904.09</v>
      </c>
      <c r="R10" s="9">
        <f t="shared" si="4"/>
        <v>634.30999999999995</v>
      </c>
      <c r="S10" s="10">
        <f t="shared" si="5"/>
        <v>2.6568124157883841</v>
      </c>
      <c r="T10" s="11">
        <v>324944</v>
      </c>
      <c r="U10" s="11">
        <v>10858</v>
      </c>
      <c r="V10" s="11">
        <v>63</v>
      </c>
      <c r="W10" s="12">
        <v>15473.523809523809</v>
      </c>
      <c r="X10" s="12">
        <v>517.04761904761904</v>
      </c>
      <c r="Y10" s="13">
        <v>2.5770272556337059</v>
      </c>
      <c r="Z10" s="11">
        <v>254381</v>
      </c>
      <c r="AA10" s="11">
        <v>8611</v>
      </c>
      <c r="AB10" s="11">
        <v>42</v>
      </c>
      <c r="AC10" s="12">
        <v>18170.071428571431</v>
      </c>
      <c r="AD10" s="12">
        <v>615.07142857142856</v>
      </c>
      <c r="AE10" s="13">
        <v>2.59615828532255</v>
      </c>
      <c r="AF10" s="11">
        <v>275329</v>
      </c>
      <c r="AG10" s="11">
        <v>12239</v>
      </c>
      <c r="AH10" s="11">
        <v>50</v>
      </c>
      <c r="AI10" s="12">
        <v>16519.740000000002</v>
      </c>
      <c r="AJ10" s="12">
        <v>734.34</v>
      </c>
      <c r="AK10" s="13">
        <v>2.9755738664206</v>
      </c>
      <c r="AL10" s="11">
        <v>274791</v>
      </c>
      <c r="AM10" s="11">
        <v>9415</v>
      </c>
      <c r="AN10" s="11">
        <v>50</v>
      </c>
      <c r="AO10" s="12">
        <v>16487.46</v>
      </c>
      <c r="AP10" s="12">
        <v>564.90000000000009</v>
      </c>
      <c r="AQ10" s="13">
        <v>2.6124538392776402</v>
      </c>
      <c r="AR10" s="11">
        <v>374094</v>
      </c>
      <c r="AS10" s="11">
        <v>12224</v>
      </c>
      <c r="AT10" s="11">
        <v>65</v>
      </c>
      <c r="AU10" s="12">
        <v>17265.876923076921</v>
      </c>
      <c r="AV10" s="12">
        <v>564.18461538461543</v>
      </c>
      <c r="AW10" s="13">
        <v>2.5486180182184102</v>
      </c>
      <c r="AX10" s="11">
        <v>301100</v>
      </c>
      <c r="AY10" s="11">
        <v>11127</v>
      </c>
      <c r="AZ10" s="11">
        <v>59</v>
      </c>
      <c r="BA10" s="12">
        <v>15310.169491525419</v>
      </c>
      <c r="BB10" s="12">
        <v>565.77966101694915</v>
      </c>
      <c r="BC10" s="13">
        <v>2.7094911628093099</v>
      </c>
      <c r="BD10" s="11">
        <v>369942</v>
      </c>
      <c r="BE10" s="11">
        <v>13127</v>
      </c>
      <c r="BF10" s="11">
        <v>58</v>
      </c>
      <c r="BG10" s="12">
        <v>19134.931034482761</v>
      </c>
      <c r="BH10" s="12">
        <v>678.98275862068965</v>
      </c>
      <c r="BI10" s="13">
        <v>2.654633849639302</v>
      </c>
      <c r="BJ10" s="11">
        <v>304504</v>
      </c>
      <c r="BK10" s="11">
        <v>10494</v>
      </c>
      <c r="BL10" s="11">
        <v>50</v>
      </c>
      <c r="BM10" s="12">
        <v>18270.240000000002</v>
      </c>
      <c r="BN10" s="12">
        <v>629.64</v>
      </c>
      <c r="BO10" s="13">
        <v>2.6231742685361392</v>
      </c>
      <c r="BP10" s="11">
        <v>350114</v>
      </c>
      <c r="BQ10" s="11">
        <v>11501</v>
      </c>
      <c r="BR10" s="11">
        <v>47</v>
      </c>
      <c r="BS10" s="12">
        <v>22347.70212765957</v>
      </c>
      <c r="BT10" s="12">
        <v>734.10638297872345</v>
      </c>
      <c r="BU10" s="13">
        <v>2.5508086067539422</v>
      </c>
      <c r="BV10" s="11">
        <v>379134</v>
      </c>
      <c r="BW10" s="11">
        <v>13491</v>
      </c>
      <c r="BX10" s="11">
        <v>61</v>
      </c>
      <c r="BY10" s="12">
        <v>18645.934426229509</v>
      </c>
      <c r="BZ10" s="12">
        <v>663.49180327868851</v>
      </c>
      <c r="CA10" s="13">
        <v>2.6647874415905308</v>
      </c>
      <c r="CB10" s="11">
        <v>372485</v>
      </c>
      <c r="CC10" s="11">
        <v>13775</v>
      </c>
      <c r="CD10" s="11">
        <v>55</v>
      </c>
      <c r="CE10" s="12">
        <v>20317.36363636364</v>
      </c>
      <c r="CF10" s="12">
        <v>751.36363636363637</v>
      </c>
      <c r="CG10" s="13">
        <v>2.7122099794700918</v>
      </c>
      <c r="CJ10" s="11"/>
      <c r="CK10" s="12"/>
      <c r="CL10" s="12"/>
      <c r="CM10" s="13"/>
    </row>
    <row r="11" spans="1:91" x14ac:dyDescent="0.25">
      <c r="A11" s="7" t="s">
        <v>8</v>
      </c>
      <c r="B11" s="8">
        <v>333216</v>
      </c>
      <c r="C11" s="8">
        <v>12876.09090909091</v>
      </c>
      <c r="D11" s="8">
        <v>698</v>
      </c>
      <c r="E11" s="9">
        <v>15753.765042979941</v>
      </c>
      <c r="F11" s="9">
        <v>608.7550143266476</v>
      </c>
      <c r="G11" s="10">
        <v>2.7818181818181817</v>
      </c>
      <c r="H11" s="8">
        <v>323423.08333333331</v>
      </c>
      <c r="I11" s="8">
        <v>12424.5</v>
      </c>
      <c r="J11" s="8">
        <v>582</v>
      </c>
      <c r="K11" s="9">
        <v>20005.551546391751</v>
      </c>
      <c r="L11" s="9">
        <v>768.52577319587635</v>
      </c>
      <c r="M11" s="10">
        <v>2.7671779918394752</v>
      </c>
      <c r="N11" s="8">
        <f t="shared" si="0"/>
        <v>342481.63636363635</v>
      </c>
      <c r="O11" s="8">
        <f t="shared" si="1"/>
        <v>13013.90909090909</v>
      </c>
      <c r="P11" s="8">
        <f t="shared" si="2"/>
        <v>613</v>
      </c>
      <c r="Q11" s="9">
        <f t="shared" si="3"/>
        <v>18437.021207177815</v>
      </c>
      <c r="R11" s="9">
        <f t="shared" si="4"/>
        <v>700.58564437194127</v>
      </c>
      <c r="S11" s="10">
        <f t="shared" si="5"/>
        <v>2.7514589075598077</v>
      </c>
      <c r="T11" s="11">
        <v>297191</v>
      </c>
      <c r="U11" s="11">
        <v>10691</v>
      </c>
      <c r="V11" s="11">
        <v>56</v>
      </c>
      <c r="W11" s="12">
        <v>15920.946428571429</v>
      </c>
      <c r="X11" s="12">
        <v>572.73214285714289</v>
      </c>
      <c r="Y11" s="13">
        <v>2.674992983907464</v>
      </c>
      <c r="Z11" s="11">
        <v>364613</v>
      </c>
      <c r="AA11" s="11">
        <v>12909</v>
      </c>
      <c r="AB11" s="11">
        <v>60</v>
      </c>
      <c r="AC11" s="12">
        <v>18230.650000000001</v>
      </c>
      <c r="AD11" s="12">
        <v>645.45000000000005</v>
      </c>
      <c r="AE11" s="13">
        <v>2.653200225804647</v>
      </c>
      <c r="AF11" s="11">
        <v>345971</v>
      </c>
      <c r="AG11" s="11">
        <v>13658</v>
      </c>
      <c r="AH11" s="11">
        <v>56</v>
      </c>
      <c r="AI11" s="12">
        <v>18534.16071428571</v>
      </c>
      <c r="AJ11" s="12">
        <v>731.67857142857144</v>
      </c>
      <c r="AK11" s="13">
        <v>2.8049190154248551</v>
      </c>
      <c r="AL11" s="11">
        <v>310995</v>
      </c>
      <c r="AM11" s="11">
        <v>12729</v>
      </c>
      <c r="AN11" s="11">
        <v>58</v>
      </c>
      <c r="AO11" s="12">
        <v>16085.948275862071</v>
      </c>
      <c r="AP11" s="12">
        <v>658.39655172413791</v>
      </c>
      <c r="AQ11" s="13">
        <v>2.8644958514373271</v>
      </c>
      <c r="AR11" s="11">
        <v>405777</v>
      </c>
      <c r="AS11" s="11">
        <v>14723</v>
      </c>
      <c r="AT11" s="11">
        <v>65</v>
      </c>
      <c r="AU11" s="12">
        <v>18728.169230769228</v>
      </c>
      <c r="AV11" s="12">
        <v>679.52307692307693</v>
      </c>
      <c r="AW11" s="13">
        <v>2.692431950751466</v>
      </c>
      <c r="AX11" s="11">
        <v>332359</v>
      </c>
      <c r="AY11" s="11">
        <v>15639</v>
      </c>
      <c r="AZ11" s="11">
        <v>52</v>
      </c>
      <c r="BA11" s="12">
        <v>19174.557692307691</v>
      </c>
      <c r="BB11" s="12">
        <v>902.25</v>
      </c>
      <c r="BC11" s="13">
        <v>3.0645396777730438</v>
      </c>
      <c r="BD11" s="11">
        <v>341304</v>
      </c>
      <c r="BE11" s="11">
        <v>12148</v>
      </c>
      <c r="BF11" s="11">
        <v>65</v>
      </c>
      <c r="BG11" s="12">
        <v>15752.49230769231</v>
      </c>
      <c r="BH11" s="12">
        <v>560.67692307692312</v>
      </c>
      <c r="BI11" s="13">
        <v>2.6647525878498239</v>
      </c>
      <c r="BJ11" s="11">
        <v>306454</v>
      </c>
      <c r="BK11" s="11">
        <v>10423</v>
      </c>
      <c r="BL11" s="11">
        <v>44</v>
      </c>
      <c r="BM11" s="12">
        <v>20894.590909090912</v>
      </c>
      <c r="BN11" s="12">
        <v>710.65909090909088</v>
      </c>
      <c r="BO11" s="13">
        <v>2.6043407259539921</v>
      </c>
      <c r="BP11" s="11">
        <v>416099</v>
      </c>
      <c r="BQ11" s="11">
        <v>15122</v>
      </c>
      <c r="BR11" s="11">
        <v>46</v>
      </c>
      <c r="BS11" s="12">
        <v>27136.891304347821</v>
      </c>
      <c r="BT11" s="12">
        <v>986.21739130434787</v>
      </c>
      <c r="BU11" s="13">
        <v>2.6986341452673801</v>
      </c>
      <c r="BV11" s="11">
        <v>327883</v>
      </c>
      <c r="BW11" s="11">
        <v>10725</v>
      </c>
      <c r="BX11" s="11">
        <v>52</v>
      </c>
      <c r="BY11" s="12">
        <v>18916.326923076918</v>
      </c>
      <c r="BZ11" s="12">
        <v>618.75</v>
      </c>
      <c r="CA11" s="13">
        <v>2.544865298263443</v>
      </c>
      <c r="CB11" s="11">
        <v>318652</v>
      </c>
      <c r="CC11" s="11">
        <v>14386</v>
      </c>
      <c r="CD11" s="11">
        <v>59</v>
      </c>
      <c r="CE11" s="12">
        <v>16202.644067796609</v>
      </c>
      <c r="CF11" s="12">
        <v>731.49152542372883</v>
      </c>
      <c r="CG11" s="13">
        <v>2.9988755207244471</v>
      </c>
      <c r="CJ11" s="11"/>
      <c r="CK11" s="12"/>
      <c r="CL11" s="12"/>
      <c r="CM11" s="13"/>
    </row>
    <row r="12" spans="1:91" x14ac:dyDescent="0.25">
      <c r="A12" s="7" t="s">
        <v>9</v>
      </c>
      <c r="B12" s="8">
        <v>187984.81818181818</v>
      </c>
      <c r="C12" s="8">
        <v>12133.727272727272</v>
      </c>
      <c r="D12" s="8">
        <v>725</v>
      </c>
      <c r="E12" s="9">
        <v>8556.5503448275867</v>
      </c>
      <c r="F12" s="9">
        <v>552.29379310344825</v>
      </c>
      <c r="G12" s="10">
        <v>3.4627272727272729</v>
      </c>
      <c r="H12" s="8">
        <v>228673.08333333334</v>
      </c>
      <c r="I12" s="8">
        <v>12966.416666666666</v>
      </c>
      <c r="J12" s="8">
        <v>511</v>
      </c>
      <c r="K12" s="9">
        <v>16110.04109589041</v>
      </c>
      <c r="L12" s="9">
        <v>913.48532289628179</v>
      </c>
      <c r="M12" s="10">
        <v>3.2638828752057538</v>
      </c>
      <c r="N12" s="8">
        <f t="shared" si="0"/>
        <v>221979.18181818182</v>
      </c>
      <c r="O12" s="8">
        <f t="shared" si="1"/>
        <v>14823</v>
      </c>
      <c r="P12" s="8">
        <f t="shared" si="2"/>
        <v>467</v>
      </c>
      <c r="Q12" s="9">
        <f t="shared" si="3"/>
        <v>15685.895074946468</v>
      </c>
      <c r="R12" s="9">
        <f t="shared" si="4"/>
        <v>1047.4496788008564</v>
      </c>
      <c r="S12" s="10">
        <f t="shared" si="5"/>
        <v>3.4965278523766257</v>
      </c>
      <c r="T12" s="11">
        <v>187436</v>
      </c>
      <c r="U12" s="11">
        <v>12296</v>
      </c>
      <c r="V12" s="11">
        <v>39</v>
      </c>
      <c r="W12" s="12">
        <v>14418.153846153849</v>
      </c>
      <c r="X12" s="12">
        <v>945.84615384615381</v>
      </c>
      <c r="Y12" s="13">
        <v>3.5111761561520241</v>
      </c>
      <c r="Z12" s="11">
        <v>223924</v>
      </c>
      <c r="AA12" s="11">
        <v>15102</v>
      </c>
      <c r="AB12" s="11">
        <v>37</v>
      </c>
      <c r="AC12" s="12">
        <v>18156</v>
      </c>
      <c r="AD12" s="12">
        <v>1224.4864864864869</v>
      </c>
      <c r="AE12" s="13">
        <v>3.5622826338291009</v>
      </c>
      <c r="AF12" s="11">
        <v>227068</v>
      </c>
      <c r="AG12" s="11">
        <v>14105</v>
      </c>
      <c r="AH12" s="11">
        <v>45</v>
      </c>
      <c r="AI12" s="12">
        <v>15137.86666666666</v>
      </c>
      <c r="AJ12" s="12">
        <v>940.33333333333337</v>
      </c>
      <c r="AK12" s="13">
        <v>3.4433217240358611</v>
      </c>
      <c r="AL12" s="11">
        <v>201238</v>
      </c>
      <c r="AM12" s="11">
        <v>11964</v>
      </c>
      <c r="AN12" s="11">
        <v>31</v>
      </c>
      <c r="AO12" s="12">
        <v>19474.645161290329</v>
      </c>
      <c r="AP12" s="12">
        <v>1157.8064516129029</v>
      </c>
      <c r="AQ12" s="13">
        <v>3.362720404681427</v>
      </c>
      <c r="AR12" s="11">
        <v>265216</v>
      </c>
      <c r="AS12" s="11">
        <v>15025</v>
      </c>
      <c r="AT12" s="11">
        <v>48</v>
      </c>
      <c r="AU12" s="12">
        <v>16576</v>
      </c>
      <c r="AV12" s="12">
        <v>939.0625</v>
      </c>
      <c r="AW12" s="13">
        <v>3.2812549311072519</v>
      </c>
      <c r="AX12" s="11">
        <v>188172</v>
      </c>
      <c r="AY12" s="11">
        <v>9774</v>
      </c>
      <c r="AZ12" s="11">
        <v>35</v>
      </c>
      <c r="BA12" s="12">
        <v>16129.028571428569</v>
      </c>
      <c r="BB12" s="12">
        <v>837.7714285714286</v>
      </c>
      <c r="BC12" s="13">
        <v>3.1486765910835541</v>
      </c>
      <c r="BD12" s="11">
        <v>222487</v>
      </c>
      <c r="BE12" s="11">
        <v>14758</v>
      </c>
      <c r="BF12" s="11">
        <v>48</v>
      </c>
      <c r="BG12" s="12">
        <v>13905.4375</v>
      </c>
      <c r="BH12" s="12">
        <v>922.375</v>
      </c>
      <c r="BI12" s="13">
        <v>3.5347314623903028</v>
      </c>
      <c r="BJ12" s="11">
        <v>200862</v>
      </c>
      <c r="BK12" s="11">
        <v>7513</v>
      </c>
      <c r="BL12" s="11">
        <v>26</v>
      </c>
      <c r="BM12" s="12">
        <v>23176.38461538461</v>
      </c>
      <c r="BN12" s="12">
        <v>866.88461538461536</v>
      </c>
      <c r="BO12" s="13">
        <v>2.66563193381152</v>
      </c>
      <c r="BP12" s="11">
        <v>229036</v>
      </c>
      <c r="BQ12" s="11">
        <v>13447</v>
      </c>
      <c r="BR12" s="11">
        <v>49</v>
      </c>
      <c r="BS12" s="12">
        <v>14022.61224489796</v>
      </c>
      <c r="BT12" s="12">
        <v>823.28571428571433</v>
      </c>
      <c r="BU12" s="13">
        <v>3.3384310492801261</v>
      </c>
      <c r="BV12" s="11">
        <v>264470</v>
      </c>
      <c r="BW12" s="11">
        <v>26607</v>
      </c>
      <c r="BX12" s="11">
        <v>50</v>
      </c>
      <c r="BY12" s="12">
        <v>15868.2</v>
      </c>
      <c r="BZ12" s="12">
        <v>1596.42</v>
      </c>
      <c r="CA12" s="13">
        <v>4.3295871689898267</v>
      </c>
      <c r="CB12" s="11">
        <v>231862</v>
      </c>
      <c r="CC12" s="11">
        <v>22462</v>
      </c>
      <c r="CD12" s="11">
        <v>59</v>
      </c>
      <c r="CE12" s="12">
        <v>11789.59322033898</v>
      </c>
      <c r="CF12" s="12">
        <v>1142.1355932203389</v>
      </c>
      <c r="CG12" s="13">
        <v>4.2839923207818904</v>
      </c>
      <c r="CJ12" s="11"/>
      <c r="CK12" s="12"/>
      <c r="CL12" s="12"/>
      <c r="CM12" s="13"/>
    </row>
    <row r="13" spans="1:91" x14ac:dyDescent="0.25">
      <c r="A13" s="7" t="s">
        <v>10</v>
      </c>
      <c r="B13" s="8">
        <v>168754.27272727274</v>
      </c>
      <c r="C13" s="8">
        <v>3216.7272727272725</v>
      </c>
      <c r="D13" s="8">
        <v>601</v>
      </c>
      <c r="E13" s="9">
        <v>9266.0415973377694</v>
      </c>
      <c r="F13" s="9">
        <v>176.62562396006655</v>
      </c>
      <c r="G13" s="10">
        <v>1.9281818181818182</v>
      </c>
      <c r="H13" s="8">
        <v>11990.96875</v>
      </c>
      <c r="I13" s="8">
        <v>227.5</v>
      </c>
      <c r="J13" s="8">
        <v>4</v>
      </c>
      <c r="K13" s="9">
        <v>17986.453125</v>
      </c>
      <c r="L13" s="9">
        <v>341.25</v>
      </c>
      <c r="M13" s="10">
        <v>1.935410861643905</v>
      </c>
      <c r="N13" s="8" t="str">
        <f t="shared" si="0"/>
        <v xml:space="preserve"> </v>
      </c>
      <c r="O13" s="8" t="str">
        <f t="shared" si="1"/>
        <v xml:space="preserve"> </v>
      </c>
      <c r="P13" s="8">
        <f t="shared" si="2"/>
        <v>0</v>
      </c>
      <c r="Q13" s="9" t="str">
        <f t="shared" si="3"/>
        <v xml:space="preserve"> </v>
      </c>
      <c r="R13" s="9" t="str">
        <f t="shared" si="4"/>
        <v xml:space="preserve"> </v>
      </c>
      <c r="S13" s="10" t="str">
        <f t="shared" si="5"/>
        <v xml:space="preserve"> </v>
      </c>
      <c r="T13" s="11"/>
      <c r="U13" s="11"/>
      <c r="V13" s="11"/>
      <c r="W13" s="12"/>
      <c r="X13" s="12"/>
      <c r="Y13" s="13"/>
      <c r="Z13" s="11"/>
      <c r="AA13" s="11"/>
      <c r="AB13" s="11"/>
      <c r="AC13" s="12"/>
      <c r="AD13" s="12"/>
      <c r="AE13" s="13"/>
      <c r="AF13" s="11"/>
      <c r="AG13" s="11"/>
      <c r="AH13" s="11"/>
      <c r="AI13" s="12"/>
      <c r="AJ13" s="12"/>
      <c r="AK13" s="13"/>
      <c r="AL13" s="11"/>
      <c r="AM13" s="11"/>
      <c r="AN13" s="11"/>
      <c r="AO13" s="12"/>
      <c r="AP13" s="12"/>
      <c r="AQ13" s="13"/>
      <c r="AR13" s="11"/>
      <c r="AS13" s="11"/>
      <c r="AT13" s="11"/>
      <c r="AU13" s="12"/>
      <c r="AV13" s="12"/>
      <c r="AW13" s="13"/>
      <c r="AX13" s="11"/>
      <c r="AY13" s="11"/>
      <c r="AZ13" s="11"/>
      <c r="BA13" s="12"/>
      <c r="BB13" s="12"/>
      <c r="BC13" s="13"/>
      <c r="BD13" s="11"/>
      <c r="BE13" s="11"/>
      <c r="BF13" s="11"/>
      <c r="BG13" s="12"/>
      <c r="BH13" s="12"/>
      <c r="BI13" s="13"/>
      <c r="BJ13" s="11"/>
      <c r="BK13" s="11"/>
      <c r="BL13" s="11"/>
      <c r="BM13" s="12"/>
      <c r="BN13" s="12"/>
      <c r="BO13" s="13"/>
      <c r="BP13" s="11"/>
      <c r="BQ13" s="11"/>
      <c r="BR13" s="11"/>
      <c r="BS13" s="12"/>
      <c r="BT13" s="12"/>
      <c r="BU13" s="13"/>
      <c r="BV13" s="11"/>
      <c r="BW13" s="11"/>
      <c r="BX13" s="11"/>
      <c r="BY13" s="12"/>
      <c r="BZ13" s="12"/>
      <c r="CA13" s="13"/>
      <c r="CB13" s="11"/>
      <c r="CC13" s="11"/>
      <c r="CD13" s="11"/>
      <c r="CE13" s="12"/>
      <c r="CF13" s="12"/>
      <c r="CG13" s="13"/>
      <c r="CJ13" s="11"/>
      <c r="CK13" s="12"/>
      <c r="CL13" s="12"/>
      <c r="CM13" s="13"/>
    </row>
    <row r="14" spans="1:91" x14ac:dyDescent="0.25">
      <c r="A14" s="7" t="s">
        <v>11</v>
      </c>
      <c r="B14" s="8">
        <v>221234.09090909091</v>
      </c>
      <c r="C14" s="8">
        <v>9644.9090909090901</v>
      </c>
      <c r="D14" s="8">
        <v>716</v>
      </c>
      <c r="E14" s="9">
        <v>10196.543296089385</v>
      </c>
      <c r="F14" s="9">
        <v>444.52793296089385</v>
      </c>
      <c r="G14" s="10">
        <v>2.9027272727272728</v>
      </c>
      <c r="H14" s="8">
        <v>230337.83333333334</v>
      </c>
      <c r="I14" s="8">
        <v>8101.416666666667</v>
      </c>
      <c r="J14" s="8">
        <v>573</v>
      </c>
      <c r="K14" s="9">
        <v>14471.486910994763</v>
      </c>
      <c r="L14" s="9">
        <v>508.98952879581145</v>
      </c>
      <c r="M14" s="10">
        <v>2.6219532768454279</v>
      </c>
      <c r="N14" s="8">
        <f t="shared" si="0"/>
        <v>281024.72727272729</v>
      </c>
      <c r="O14" s="8">
        <f t="shared" si="1"/>
        <v>11334.818181818182</v>
      </c>
      <c r="P14" s="8">
        <f t="shared" si="2"/>
        <v>585</v>
      </c>
      <c r="Q14" s="9">
        <f t="shared" si="3"/>
        <v>15852.676923076924</v>
      </c>
      <c r="R14" s="9">
        <f t="shared" si="4"/>
        <v>639.4</v>
      </c>
      <c r="S14" s="10">
        <f t="shared" si="5"/>
        <v>2.7767696231820471</v>
      </c>
      <c r="T14" s="11">
        <v>305464</v>
      </c>
      <c r="U14" s="11">
        <v>6536</v>
      </c>
      <c r="V14" s="11">
        <v>54</v>
      </c>
      <c r="W14" s="12">
        <v>16970.222222222219</v>
      </c>
      <c r="X14" s="12">
        <v>363.11111111111109</v>
      </c>
      <c r="Y14" s="13">
        <v>2.0343966228358319</v>
      </c>
      <c r="Z14" s="11">
        <v>290473</v>
      </c>
      <c r="AA14" s="11">
        <v>16990</v>
      </c>
      <c r="AB14" s="11">
        <v>51</v>
      </c>
      <c r="AC14" s="12">
        <v>17086.647058823532</v>
      </c>
      <c r="AD14" s="12">
        <v>999.41176470588232</v>
      </c>
      <c r="AE14" s="13">
        <v>3.3826575984090099</v>
      </c>
      <c r="AF14" s="11">
        <v>300873</v>
      </c>
      <c r="AG14" s="11">
        <v>16563</v>
      </c>
      <c r="AH14" s="11">
        <v>58</v>
      </c>
      <c r="AI14" s="12">
        <v>15562.396551724139</v>
      </c>
      <c r="AJ14" s="12">
        <v>856.70689655172418</v>
      </c>
      <c r="AK14" s="13">
        <v>3.3385378132650549</v>
      </c>
      <c r="AL14" s="11">
        <v>292985</v>
      </c>
      <c r="AM14" s="11">
        <v>10617</v>
      </c>
      <c r="AN14" s="11">
        <v>57</v>
      </c>
      <c r="AO14" s="12">
        <v>15420.26315789474</v>
      </c>
      <c r="AP14" s="12">
        <v>558.78947368421052</v>
      </c>
      <c r="AQ14" s="13">
        <v>2.6877353748958419</v>
      </c>
      <c r="AR14" s="11">
        <v>313649</v>
      </c>
      <c r="AS14" s="11">
        <v>8807</v>
      </c>
      <c r="AT14" s="11">
        <v>60</v>
      </c>
      <c r="AU14" s="12">
        <v>15682.45</v>
      </c>
      <c r="AV14" s="12">
        <v>440.35</v>
      </c>
      <c r="AW14" s="13">
        <v>2.335744178187356</v>
      </c>
      <c r="AX14" s="11">
        <v>247329</v>
      </c>
      <c r="AY14" s="11">
        <v>9673</v>
      </c>
      <c r="AZ14" s="11">
        <v>49</v>
      </c>
      <c r="BA14" s="12">
        <v>15142.591836734689</v>
      </c>
      <c r="BB14" s="12">
        <v>592.22448979591832</v>
      </c>
      <c r="BC14" s="13">
        <v>2.8107953182885641</v>
      </c>
      <c r="BD14" s="11">
        <v>209608</v>
      </c>
      <c r="BE14" s="11">
        <v>4790</v>
      </c>
      <c r="BF14" s="11">
        <v>40</v>
      </c>
      <c r="BG14" s="12">
        <v>15720.6</v>
      </c>
      <c r="BH14" s="12">
        <v>359.25</v>
      </c>
      <c r="BI14" s="13">
        <v>2.1217900214934891</v>
      </c>
      <c r="BJ14" s="11">
        <v>281726</v>
      </c>
      <c r="BK14" s="11">
        <v>17195</v>
      </c>
      <c r="BL14" s="11">
        <v>49</v>
      </c>
      <c r="BM14" s="12">
        <v>17248.5306122449</v>
      </c>
      <c r="BN14" s="12">
        <v>1052.7551020408159</v>
      </c>
      <c r="BO14" s="13">
        <v>3.4911618443545001</v>
      </c>
      <c r="BP14" s="11">
        <v>304803</v>
      </c>
      <c r="BQ14" s="11">
        <v>14874</v>
      </c>
      <c r="BR14" s="11">
        <v>64</v>
      </c>
      <c r="BS14" s="12">
        <v>14287.640625</v>
      </c>
      <c r="BT14" s="12">
        <v>697.21875</v>
      </c>
      <c r="BU14" s="13">
        <v>3.2103067989536509</v>
      </c>
      <c r="BV14" s="11">
        <v>268372</v>
      </c>
      <c r="BW14" s="11">
        <v>9793</v>
      </c>
      <c r="BX14" s="11">
        <v>48</v>
      </c>
      <c r="BY14" s="12">
        <v>16773.25</v>
      </c>
      <c r="BZ14" s="12">
        <v>612.0625</v>
      </c>
      <c r="CA14" s="13">
        <v>2.6435861497470432</v>
      </c>
      <c r="CB14" s="11">
        <v>275990</v>
      </c>
      <c r="CC14" s="11">
        <v>8845</v>
      </c>
      <c r="CD14" s="11">
        <v>55</v>
      </c>
      <c r="CE14" s="12">
        <v>15054</v>
      </c>
      <c r="CF14" s="12">
        <v>482.45454545454538</v>
      </c>
      <c r="CG14" s="13">
        <v>2.4877541345721741</v>
      </c>
      <c r="CJ14" s="11"/>
      <c r="CK14" s="12"/>
      <c r="CL14" s="12"/>
      <c r="CM14" s="13"/>
    </row>
    <row r="15" spans="1:91" x14ac:dyDescent="0.25">
      <c r="A15" s="7" t="s">
        <v>12</v>
      </c>
      <c r="B15" s="8">
        <v>1300</v>
      </c>
      <c r="C15" s="8">
        <v>395</v>
      </c>
      <c r="D15" s="8">
        <v>1</v>
      </c>
      <c r="E15" s="9">
        <v>3900</v>
      </c>
      <c r="F15" s="9">
        <v>1185</v>
      </c>
      <c r="G15" s="10">
        <v>7.03</v>
      </c>
      <c r="H15" s="8" t="s">
        <v>27</v>
      </c>
      <c r="I15" s="8" t="s">
        <v>27</v>
      </c>
      <c r="J15" s="8">
        <v>0</v>
      </c>
      <c r="K15" s="9" t="s">
        <v>27</v>
      </c>
      <c r="L15" s="9" t="s">
        <v>27</v>
      </c>
      <c r="M15" s="10"/>
      <c r="N15" s="8" t="str">
        <f t="shared" si="0"/>
        <v xml:space="preserve"> </v>
      </c>
      <c r="O15" s="8" t="str">
        <f t="shared" si="1"/>
        <v xml:space="preserve"> </v>
      </c>
      <c r="P15" s="8">
        <f t="shared" si="2"/>
        <v>0</v>
      </c>
      <c r="Q15" s="9" t="str">
        <f t="shared" si="3"/>
        <v xml:space="preserve"> </v>
      </c>
      <c r="R15" s="9" t="str">
        <f t="shared" si="4"/>
        <v xml:space="preserve"> </v>
      </c>
      <c r="S15" s="10" t="str">
        <f t="shared" si="5"/>
        <v xml:space="preserve"> </v>
      </c>
      <c r="T15" s="11"/>
      <c r="U15" s="11"/>
      <c r="V15" s="11"/>
      <c r="W15" s="12"/>
      <c r="X15" s="12"/>
      <c r="Y15" s="13"/>
      <c r="Z15" s="11"/>
      <c r="AA15" s="11"/>
      <c r="AB15" s="11"/>
      <c r="AC15" s="12"/>
      <c r="AD15" s="12"/>
      <c r="AE15" s="13"/>
      <c r="AF15" s="11"/>
      <c r="AG15" s="11"/>
      <c r="AH15" s="11"/>
      <c r="AI15" s="12"/>
      <c r="AJ15" s="12"/>
      <c r="AK15" s="13"/>
      <c r="AL15" s="11"/>
      <c r="AM15" s="11"/>
      <c r="AN15" s="11"/>
      <c r="AO15" s="12"/>
      <c r="AP15" s="12"/>
      <c r="AQ15" s="13"/>
      <c r="AR15" s="11"/>
      <c r="AS15" s="11"/>
      <c r="AT15" s="11"/>
      <c r="AU15" s="12"/>
      <c r="AV15" s="12"/>
      <c r="AW15" s="13"/>
      <c r="AX15" s="11"/>
      <c r="AY15" s="11"/>
      <c r="AZ15" s="11"/>
      <c r="BA15" s="12"/>
      <c r="BB15" s="12"/>
      <c r="BC15" s="13"/>
      <c r="BD15" s="11"/>
      <c r="BE15" s="11"/>
      <c r="BF15" s="11"/>
      <c r="BG15" s="12"/>
      <c r="BH15" s="12"/>
      <c r="BI15" s="13"/>
      <c r="BJ15" s="11"/>
      <c r="BK15" s="11"/>
      <c r="BL15" s="11"/>
      <c r="BM15" s="12"/>
      <c r="BN15" s="12"/>
      <c r="BO15" s="13"/>
      <c r="BP15" s="11"/>
      <c r="BQ15" s="11"/>
      <c r="BR15" s="11"/>
      <c r="BS15" s="12"/>
      <c r="BT15" s="12"/>
      <c r="BU15" s="13"/>
      <c r="BV15" s="11"/>
      <c r="BW15" s="11"/>
      <c r="BX15" s="11"/>
      <c r="BY15" s="12"/>
      <c r="BZ15" s="12"/>
      <c r="CA15" s="13"/>
      <c r="CB15" s="11"/>
      <c r="CC15" s="11"/>
      <c r="CD15" s="11"/>
      <c r="CE15" s="12"/>
      <c r="CF15" s="12"/>
      <c r="CG15" s="13"/>
      <c r="CJ15" s="11"/>
      <c r="CK15" s="12"/>
      <c r="CL15" s="12"/>
      <c r="CM15" s="13"/>
    </row>
    <row r="16" spans="1:91" x14ac:dyDescent="0.25">
      <c r="A16" s="7" t="s">
        <v>13</v>
      </c>
      <c r="B16" s="8">
        <v>15841.285714285714</v>
      </c>
      <c r="C16" s="8">
        <v>6445.4285714285716</v>
      </c>
      <c r="D16" s="8">
        <v>33</v>
      </c>
      <c r="E16" s="9">
        <v>10080.818181818182</v>
      </c>
      <c r="F16" s="9">
        <v>4101.636363636364</v>
      </c>
      <c r="G16" s="10">
        <v>8.9971428571428582</v>
      </c>
      <c r="H16" s="8">
        <v>255692.92180989581</v>
      </c>
      <c r="I16" s="8">
        <v>146822.41666666666</v>
      </c>
      <c r="J16" s="8">
        <v>746</v>
      </c>
      <c r="K16" s="9">
        <v>12339.068612809986</v>
      </c>
      <c r="L16" s="9">
        <v>7085.2640750670253</v>
      </c>
      <c r="M16" s="10">
        <v>10.241662463156921</v>
      </c>
      <c r="N16" s="8">
        <f t="shared" si="0"/>
        <v>330749.84727272729</v>
      </c>
      <c r="O16" s="8">
        <f t="shared" si="1"/>
        <v>164662.45454545456</v>
      </c>
      <c r="P16" s="8">
        <f t="shared" si="2"/>
        <v>707</v>
      </c>
      <c r="Q16" s="9">
        <f t="shared" si="3"/>
        <v>15438.111683168318</v>
      </c>
      <c r="R16" s="9">
        <f t="shared" si="4"/>
        <v>7685.8005657708627</v>
      </c>
      <c r="S16" s="10">
        <f t="shared" si="5"/>
        <v>9.6422799601591738</v>
      </c>
      <c r="T16" s="11">
        <v>406091.32</v>
      </c>
      <c r="U16" s="11">
        <v>168706</v>
      </c>
      <c r="V16" s="11">
        <v>72</v>
      </c>
      <c r="W16" s="12">
        <v>16920.471666666661</v>
      </c>
      <c r="X16" s="12">
        <v>7029.4166666666661</v>
      </c>
      <c r="Y16" s="13">
        <v>8.7303573261309193</v>
      </c>
      <c r="Z16" s="11">
        <v>338085</v>
      </c>
      <c r="AA16" s="11">
        <v>139845</v>
      </c>
      <c r="AB16" s="11">
        <v>69</v>
      </c>
      <c r="AC16" s="12">
        <v>14699.34782608696</v>
      </c>
      <c r="AD16" s="12">
        <v>6080.217391304348</v>
      </c>
      <c r="AE16" s="13">
        <v>8.7728158974766544</v>
      </c>
      <c r="AF16" s="11">
        <v>301350</v>
      </c>
      <c r="AG16" s="11">
        <v>149913</v>
      </c>
      <c r="AH16" s="11">
        <v>61</v>
      </c>
      <c r="AI16" s="12">
        <v>14820.49180327869</v>
      </c>
      <c r="AJ16" s="12">
        <v>7372.7704918032778</v>
      </c>
      <c r="AK16" s="13">
        <v>9.4966380435262181</v>
      </c>
      <c r="AL16" s="11">
        <v>472616</v>
      </c>
      <c r="AM16" s="11">
        <v>207742</v>
      </c>
      <c r="AN16" s="11">
        <v>73</v>
      </c>
      <c r="AO16" s="12">
        <v>19422.575342465749</v>
      </c>
      <c r="AP16" s="12">
        <v>8537.3424657534251</v>
      </c>
      <c r="AQ16" s="13">
        <v>9.0037820685151928</v>
      </c>
      <c r="AR16" s="11">
        <v>376917</v>
      </c>
      <c r="AS16" s="11">
        <v>186017</v>
      </c>
      <c r="AT16" s="11">
        <v>69</v>
      </c>
      <c r="AU16" s="12">
        <v>16387.695652173908</v>
      </c>
      <c r="AV16" s="12">
        <v>8087.6956521739121</v>
      </c>
      <c r="AW16" s="13">
        <v>9.4515226169002009</v>
      </c>
      <c r="AX16" s="11">
        <v>215958</v>
      </c>
      <c r="AY16" s="11">
        <v>146405</v>
      </c>
      <c r="AZ16" s="11">
        <v>63</v>
      </c>
      <c r="BA16" s="12">
        <v>10283.71428571429</v>
      </c>
      <c r="BB16" s="12">
        <v>6971.6666666666661</v>
      </c>
      <c r="BC16" s="13">
        <v>11.15057014798194</v>
      </c>
      <c r="BD16" s="11">
        <v>325772</v>
      </c>
      <c r="BE16" s="11">
        <v>168148</v>
      </c>
      <c r="BF16" s="11">
        <v>67</v>
      </c>
      <c r="BG16" s="12">
        <v>14586.805970149249</v>
      </c>
      <c r="BH16" s="12">
        <v>7529.0149253731342</v>
      </c>
      <c r="BI16" s="13">
        <v>9.7390758572664193</v>
      </c>
      <c r="BJ16" s="11">
        <v>368282</v>
      </c>
      <c r="BK16" s="11">
        <v>192473</v>
      </c>
      <c r="BL16" s="11">
        <v>64</v>
      </c>
      <c r="BM16" s="12">
        <v>17263.21875</v>
      </c>
      <c r="BN16" s="12">
        <v>9022.171875</v>
      </c>
      <c r="BO16" s="13">
        <v>9.795439843952666</v>
      </c>
      <c r="BP16" s="11">
        <v>231992</v>
      </c>
      <c r="BQ16" s="11">
        <v>140181</v>
      </c>
      <c r="BR16" s="11">
        <v>48</v>
      </c>
      <c r="BS16" s="12">
        <v>14499.5</v>
      </c>
      <c r="BT16" s="12">
        <v>8761.3125</v>
      </c>
      <c r="BU16" s="13">
        <v>10.448644043730321</v>
      </c>
      <c r="BV16" s="11">
        <v>248391</v>
      </c>
      <c r="BW16" s="11">
        <v>136613</v>
      </c>
      <c r="BX16" s="11">
        <v>59</v>
      </c>
      <c r="BY16" s="12">
        <v>12630.050847457631</v>
      </c>
      <c r="BZ16" s="12">
        <v>6946.4237288135591</v>
      </c>
      <c r="CA16" s="13">
        <v>10.01303922208055</v>
      </c>
      <c r="CB16" s="11">
        <v>352794</v>
      </c>
      <c r="CC16" s="11">
        <v>175244</v>
      </c>
      <c r="CD16" s="11">
        <v>62</v>
      </c>
      <c r="CE16" s="12">
        <v>17070.677419354841</v>
      </c>
      <c r="CF16" s="12">
        <v>8479.5483870967746</v>
      </c>
      <c r="CG16" s="13">
        <v>9.4631944941898212</v>
      </c>
      <c r="CJ16" s="11"/>
      <c r="CK16" s="12"/>
      <c r="CL16" s="12"/>
      <c r="CM16" s="13"/>
    </row>
    <row r="17" spans="1:91" x14ac:dyDescent="0.25">
      <c r="A17" s="7" t="s">
        <v>14</v>
      </c>
      <c r="B17" s="8">
        <v>301395.09090909088</v>
      </c>
      <c r="C17" s="8">
        <v>156037</v>
      </c>
      <c r="D17" s="8">
        <v>811</v>
      </c>
      <c r="E17" s="9">
        <v>12263.918618988902</v>
      </c>
      <c r="F17" s="9">
        <v>6349.2244143033295</v>
      </c>
      <c r="G17" s="10">
        <v>9.951818181818183</v>
      </c>
      <c r="H17" s="8" t="s">
        <v>27</v>
      </c>
      <c r="I17" s="8" t="s">
        <v>27</v>
      </c>
      <c r="J17" s="8">
        <v>0</v>
      </c>
      <c r="K17" s="9" t="s">
        <v>27</v>
      </c>
      <c r="L17" s="9" t="s">
        <v>27</v>
      </c>
      <c r="M17" s="10"/>
      <c r="N17" s="8" t="str">
        <f t="shared" si="0"/>
        <v xml:space="preserve"> </v>
      </c>
      <c r="O17" s="8" t="str">
        <f t="shared" si="1"/>
        <v xml:space="preserve"> </v>
      </c>
      <c r="P17" s="8">
        <f t="shared" si="2"/>
        <v>0</v>
      </c>
      <c r="Q17" s="9" t="str">
        <f t="shared" si="3"/>
        <v xml:space="preserve"> </v>
      </c>
      <c r="R17" s="9" t="str">
        <f t="shared" si="4"/>
        <v xml:space="preserve"> </v>
      </c>
      <c r="S17" s="10" t="str">
        <f t="shared" si="5"/>
        <v xml:space="preserve"> </v>
      </c>
      <c r="T17" s="11"/>
      <c r="U17" s="11"/>
      <c r="V17" s="11"/>
      <c r="W17" s="12"/>
      <c r="X17" s="12"/>
      <c r="Y17" s="13"/>
      <c r="Z17" s="11"/>
      <c r="AA17" s="11"/>
      <c r="AB17" s="11"/>
      <c r="AC17" s="12"/>
      <c r="AD17" s="12"/>
      <c r="AE17" s="13"/>
      <c r="AF17" s="11"/>
      <c r="AG17" s="11"/>
      <c r="AH17" s="11"/>
      <c r="AI17" s="12"/>
      <c r="AJ17" s="12"/>
      <c r="AK17" s="13"/>
      <c r="AL17" s="11"/>
      <c r="AM17" s="11"/>
      <c r="AN17" s="11"/>
      <c r="AO17" s="12"/>
      <c r="AP17" s="12"/>
      <c r="AQ17" s="13"/>
      <c r="AR17" s="11"/>
      <c r="AS17" s="11"/>
      <c r="AT17" s="11"/>
      <c r="AU17" s="12"/>
      <c r="AV17" s="12"/>
      <c r="AW17" s="13"/>
      <c r="AX17" s="11"/>
      <c r="AY17" s="11"/>
      <c r="AZ17" s="11"/>
      <c r="BA17" s="12"/>
      <c r="BB17" s="12"/>
      <c r="BC17" s="13"/>
      <c r="BD17" s="11"/>
      <c r="BE17" s="11"/>
      <c r="BF17" s="11"/>
      <c r="BG17" s="12"/>
      <c r="BH17" s="12"/>
      <c r="BI17" s="13"/>
      <c r="BJ17" s="11"/>
      <c r="BK17" s="11"/>
      <c r="BL17" s="11"/>
      <c r="BM17" s="12"/>
      <c r="BN17" s="12"/>
      <c r="BO17" s="13"/>
      <c r="BP17" s="11"/>
      <c r="BQ17" s="11"/>
      <c r="BR17" s="11"/>
      <c r="BS17" s="12"/>
      <c r="BT17" s="12"/>
      <c r="BU17" s="13"/>
      <c r="BV17" s="11"/>
      <c r="BW17" s="11"/>
      <c r="BX17" s="11"/>
      <c r="BY17" s="12"/>
      <c r="BZ17" s="12"/>
      <c r="CA17" s="13"/>
      <c r="CB17" s="11"/>
      <c r="CC17" s="11"/>
      <c r="CD17" s="11"/>
      <c r="CE17" s="12"/>
      <c r="CF17" s="12"/>
      <c r="CG17" s="13"/>
      <c r="CJ17" s="11"/>
      <c r="CK17" s="12"/>
      <c r="CL17" s="12"/>
      <c r="CM17" s="13"/>
    </row>
    <row r="18" spans="1:91" x14ac:dyDescent="0.25">
      <c r="A18" s="7" t="s">
        <v>15</v>
      </c>
      <c r="B18" s="8">
        <v>167952.72727272726</v>
      </c>
      <c r="C18" s="8">
        <v>68969</v>
      </c>
      <c r="D18" s="8">
        <v>683</v>
      </c>
      <c r="E18" s="9">
        <v>8114.8462664714498</v>
      </c>
      <c r="F18" s="9">
        <v>3332.3235724743772</v>
      </c>
      <c r="G18" s="10">
        <v>10.119090909090909</v>
      </c>
      <c r="H18" s="8">
        <v>132264.58333333334</v>
      </c>
      <c r="I18" s="8">
        <v>53849.166666666664</v>
      </c>
      <c r="J18" s="8">
        <v>598</v>
      </c>
      <c r="K18" s="9">
        <v>7962.4163879598655</v>
      </c>
      <c r="L18" s="9">
        <v>3241.7558528428099</v>
      </c>
      <c r="M18" s="10">
        <v>10.07676635317133</v>
      </c>
      <c r="N18" s="8">
        <f t="shared" si="0"/>
        <v>165016.63636363635</v>
      </c>
      <c r="O18" s="8">
        <f t="shared" si="1"/>
        <v>73840.818181818177</v>
      </c>
      <c r="P18" s="8">
        <f t="shared" si="2"/>
        <v>631</v>
      </c>
      <c r="Q18" s="9">
        <f t="shared" si="3"/>
        <v>8630.0301109350239</v>
      </c>
      <c r="R18" s="9">
        <f t="shared" si="4"/>
        <v>3861.7226624405703</v>
      </c>
      <c r="S18" s="10">
        <f t="shared" si="5"/>
        <v>10.607078095006399</v>
      </c>
      <c r="T18" s="11">
        <v>187236</v>
      </c>
      <c r="U18" s="11">
        <v>73406</v>
      </c>
      <c r="V18" s="11">
        <v>63</v>
      </c>
      <c r="W18" s="12">
        <v>8916</v>
      </c>
      <c r="X18" s="12">
        <v>3495.5238095238092</v>
      </c>
      <c r="Y18" s="13">
        <v>9.8794757342055082</v>
      </c>
      <c r="Z18" s="11">
        <v>113266</v>
      </c>
      <c r="AA18" s="11">
        <v>51109</v>
      </c>
      <c r="AB18" s="11">
        <v>39</v>
      </c>
      <c r="AC18" s="12">
        <v>8712.7692307692305</v>
      </c>
      <c r="AD18" s="12">
        <v>3931.4615384615381</v>
      </c>
      <c r="AE18" s="13">
        <v>10.62279272193593</v>
      </c>
      <c r="AF18" s="11">
        <v>184885</v>
      </c>
      <c r="AG18" s="11">
        <v>83993</v>
      </c>
      <c r="AH18" s="11">
        <v>59</v>
      </c>
      <c r="AI18" s="12">
        <v>9400.9322033898316</v>
      </c>
      <c r="AJ18" s="12">
        <v>4270.8305084745762</v>
      </c>
      <c r="AK18" s="13">
        <v>10.671781591825191</v>
      </c>
      <c r="AL18" s="11">
        <v>230650</v>
      </c>
      <c r="AM18" s="11">
        <v>109141</v>
      </c>
      <c r="AN18" s="11">
        <v>72</v>
      </c>
      <c r="AO18" s="12">
        <v>9610.4166666666661</v>
      </c>
      <c r="AP18" s="12">
        <v>4547.5416666666661</v>
      </c>
      <c r="AQ18" s="13">
        <v>10.88316178547079</v>
      </c>
      <c r="AR18" s="11">
        <v>218079</v>
      </c>
      <c r="AS18" s="11">
        <v>86700</v>
      </c>
      <c r="AT18" s="11">
        <v>63</v>
      </c>
      <c r="AU18" s="12">
        <v>10384.71428571429</v>
      </c>
      <c r="AV18" s="12">
        <v>4128.5714285714284</v>
      </c>
      <c r="AW18" s="13">
        <v>9.9488393039580654</v>
      </c>
      <c r="AX18" s="11">
        <v>163605</v>
      </c>
      <c r="AY18" s="11">
        <v>73334</v>
      </c>
      <c r="AZ18" s="11">
        <v>61</v>
      </c>
      <c r="BA18" s="12">
        <v>8046.1475409836057</v>
      </c>
      <c r="BB18" s="12">
        <v>3606.5901639344261</v>
      </c>
      <c r="BC18" s="13">
        <v>10.55697583696028</v>
      </c>
      <c r="BD18" s="11">
        <v>142094</v>
      </c>
      <c r="BE18" s="11">
        <v>67155</v>
      </c>
      <c r="BF18" s="11">
        <v>56</v>
      </c>
      <c r="BG18" s="12">
        <v>7612.1785714285716</v>
      </c>
      <c r="BH18" s="12">
        <v>3597.5892857142858</v>
      </c>
      <c r="BI18" s="13">
        <v>10.84669803371928</v>
      </c>
      <c r="BJ18" s="11">
        <v>134689</v>
      </c>
      <c r="BK18" s="11">
        <v>58057</v>
      </c>
      <c r="BL18" s="11">
        <v>49</v>
      </c>
      <c r="BM18" s="12">
        <v>8246.2653061224482</v>
      </c>
      <c r="BN18" s="12">
        <v>3554.5102040816332</v>
      </c>
      <c r="BO18" s="13">
        <v>10.368035767945329</v>
      </c>
      <c r="BP18" s="11">
        <v>122842</v>
      </c>
      <c r="BQ18" s="11">
        <v>56026</v>
      </c>
      <c r="BR18" s="11">
        <v>51</v>
      </c>
      <c r="BS18" s="12">
        <v>7226</v>
      </c>
      <c r="BT18" s="12">
        <v>3295.6470588235288</v>
      </c>
      <c r="BU18" s="13">
        <v>10.812806511271759</v>
      </c>
      <c r="BV18" s="11">
        <v>155984</v>
      </c>
      <c r="BW18" s="11">
        <v>73138</v>
      </c>
      <c r="BX18" s="11">
        <v>62</v>
      </c>
      <c r="BY18" s="12">
        <v>7547.6129032258068</v>
      </c>
      <c r="BZ18" s="12">
        <v>3538.9354838709678</v>
      </c>
      <c r="CA18" s="13">
        <v>10.878651450325989</v>
      </c>
      <c r="CB18" s="11">
        <v>161853</v>
      </c>
      <c r="CC18" s="11">
        <v>80190</v>
      </c>
      <c r="CD18" s="11">
        <v>56</v>
      </c>
      <c r="CE18" s="12">
        <v>8670.6964285714275</v>
      </c>
      <c r="CF18" s="12">
        <v>4295.8928571428569</v>
      </c>
      <c r="CG18" s="13">
        <v>11.20864030745226</v>
      </c>
      <c r="CJ18" s="11"/>
      <c r="CK18" s="12"/>
      <c r="CL18" s="12"/>
      <c r="CM18" s="13"/>
    </row>
    <row r="19" spans="1:91" x14ac:dyDescent="0.25">
      <c r="A19" s="7" t="s">
        <v>16</v>
      </c>
      <c r="B19" s="8">
        <v>114933.81818181818</v>
      </c>
      <c r="C19" s="8">
        <v>186102.72727272726</v>
      </c>
      <c r="D19" s="8">
        <v>777</v>
      </c>
      <c r="E19" s="9">
        <v>4881.3590733590736</v>
      </c>
      <c r="F19" s="9">
        <v>7903.9768339768343</v>
      </c>
      <c r="G19" s="10">
        <v>20.541818181818179</v>
      </c>
      <c r="H19" s="8">
        <v>96029.166666666672</v>
      </c>
      <c r="I19" s="8">
        <v>157463.25</v>
      </c>
      <c r="J19" s="8">
        <v>635</v>
      </c>
      <c r="K19" s="9">
        <v>5444.1732283464571</v>
      </c>
      <c r="L19" s="9">
        <v>8927.050393700787</v>
      </c>
      <c r="M19" s="10">
        <v>20.504579958246222</v>
      </c>
      <c r="N19" s="8">
        <f t="shared" si="0"/>
        <v>86706.777777777781</v>
      </c>
      <c r="O19" s="8">
        <f t="shared" si="1"/>
        <v>142799.11111111112</v>
      </c>
      <c r="P19" s="8">
        <f t="shared" si="2"/>
        <v>402</v>
      </c>
      <c r="Q19" s="9">
        <f t="shared" si="3"/>
        <v>5823.5895522388055</v>
      </c>
      <c r="R19" s="9">
        <f t="shared" si="4"/>
        <v>9590.9850746268658</v>
      </c>
      <c r="S19" s="10">
        <f t="shared" si="5"/>
        <v>20.785730804993317</v>
      </c>
      <c r="T19" s="11">
        <v>29248</v>
      </c>
      <c r="U19" s="11">
        <v>50722</v>
      </c>
      <c r="V19" s="11">
        <v>19</v>
      </c>
      <c r="W19" s="12">
        <v>4618.105263157895</v>
      </c>
      <c r="X19" s="12">
        <v>8008.7368421052633</v>
      </c>
      <c r="Y19" s="13">
        <v>20.849256571631411</v>
      </c>
      <c r="Z19" s="11"/>
      <c r="AA19" s="11"/>
      <c r="AB19" s="11"/>
      <c r="AC19" s="12"/>
      <c r="AD19" s="12"/>
      <c r="AE19" s="13"/>
      <c r="AF19" s="11"/>
      <c r="AG19" s="11"/>
      <c r="AH19" s="11"/>
      <c r="AI19" s="12"/>
      <c r="AJ19" s="12"/>
      <c r="AK19" s="13"/>
      <c r="AL19" s="11">
        <v>5900</v>
      </c>
      <c r="AM19" s="11">
        <v>10837</v>
      </c>
      <c r="AN19" s="11">
        <v>4</v>
      </c>
      <c r="AO19" s="12">
        <v>4425</v>
      </c>
      <c r="AP19" s="12">
        <v>8127.75</v>
      </c>
      <c r="AQ19" s="13">
        <v>21.730241366135552</v>
      </c>
      <c r="AR19" s="11">
        <v>124656</v>
      </c>
      <c r="AS19" s="11">
        <v>198709</v>
      </c>
      <c r="AT19" s="11">
        <v>62</v>
      </c>
      <c r="AU19" s="12">
        <v>6031.7419354838712</v>
      </c>
      <c r="AV19" s="12">
        <v>9614.9516129032254</v>
      </c>
      <c r="AW19" s="13">
        <v>20.045018071495651</v>
      </c>
      <c r="AX19" s="11">
        <v>74922</v>
      </c>
      <c r="AY19" s="11">
        <v>134401</v>
      </c>
      <c r="AZ19" s="11">
        <v>53</v>
      </c>
      <c r="BA19" s="12">
        <v>4240.867924528302</v>
      </c>
      <c r="BB19" s="12">
        <v>7607.6037735849059</v>
      </c>
      <c r="BC19" s="13">
        <v>21.205073078453811</v>
      </c>
      <c r="BD19" s="11">
        <v>128644</v>
      </c>
      <c r="BE19" s="11">
        <v>180015</v>
      </c>
      <c r="BF19" s="11">
        <v>52</v>
      </c>
      <c r="BG19" s="12">
        <v>7421.7692307692314</v>
      </c>
      <c r="BH19" s="12">
        <v>10385.48076923077</v>
      </c>
      <c r="BI19" s="13">
        <v>19.204760246974619</v>
      </c>
      <c r="BJ19" s="11">
        <v>125015</v>
      </c>
      <c r="BK19" s="11">
        <v>202556</v>
      </c>
      <c r="BL19" s="11">
        <v>53</v>
      </c>
      <c r="BM19" s="12">
        <v>7076.3207547169804</v>
      </c>
      <c r="BN19" s="12">
        <v>11465.433962264149</v>
      </c>
      <c r="BO19" s="13">
        <v>20.67129092359222</v>
      </c>
      <c r="BP19" s="11">
        <v>82353</v>
      </c>
      <c r="BQ19" s="11">
        <v>145295</v>
      </c>
      <c r="BR19" s="11">
        <v>52</v>
      </c>
      <c r="BS19" s="12">
        <v>4751.1346153846152</v>
      </c>
      <c r="BT19" s="12">
        <v>8382.4038461538457</v>
      </c>
      <c r="BU19" s="13">
        <v>21.22536529761145</v>
      </c>
      <c r="BV19" s="11">
        <v>97088</v>
      </c>
      <c r="BW19" s="11">
        <v>174949</v>
      </c>
      <c r="BX19" s="11">
        <v>55</v>
      </c>
      <c r="BY19" s="12">
        <v>5295.7090909090912</v>
      </c>
      <c r="BZ19" s="12">
        <v>9542.6727272727276</v>
      </c>
      <c r="CA19" s="13">
        <v>21.423205786927049</v>
      </c>
      <c r="CB19" s="11">
        <v>112535</v>
      </c>
      <c r="CC19" s="11">
        <v>187708</v>
      </c>
      <c r="CD19" s="11">
        <v>52</v>
      </c>
      <c r="CE19" s="12">
        <v>6492.4038461538457</v>
      </c>
      <c r="CF19" s="12">
        <v>10829.30769230769</v>
      </c>
      <c r="CG19" s="13">
        <v>20.717365902118111</v>
      </c>
      <c r="CJ19" s="11"/>
      <c r="CK19" s="12"/>
      <c r="CL19" s="12"/>
      <c r="CM19" s="13"/>
    </row>
    <row r="20" spans="1:91" x14ac:dyDescent="0.25">
      <c r="A20" s="7" t="s">
        <v>17</v>
      </c>
      <c r="B20" s="8">
        <v>259213.90909090909</v>
      </c>
      <c r="C20" s="8">
        <v>3007.3636363636365</v>
      </c>
      <c r="D20" s="8">
        <v>688</v>
      </c>
      <c r="E20" s="9">
        <v>12433.225290697676</v>
      </c>
      <c r="F20" s="9">
        <v>144.24854651162792</v>
      </c>
      <c r="G20" s="10">
        <v>1.5036363636363637</v>
      </c>
      <c r="H20" s="8">
        <v>235465.5272034439</v>
      </c>
      <c r="I20" s="8">
        <v>3410.6666666666665</v>
      </c>
      <c r="J20" s="8">
        <v>486</v>
      </c>
      <c r="K20" s="9">
        <v>17441.890903958803</v>
      </c>
      <c r="L20" s="9">
        <v>252.64197530864197</v>
      </c>
      <c r="M20" s="10">
        <v>1.695057766667553</v>
      </c>
      <c r="N20" s="8">
        <f t="shared" si="0"/>
        <v>321798.09090909088</v>
      </c>
      <c r="O20" s="8">
        <f t="shared" si="1"/>
        <v>4911</v>
      </c>
      <c r="P20" s="8">
        <f t="shared" si="2"/>
        <v>610</v>
      </c>
      <c r="Q20" s="9">
        <f t="shared" si="3"/>
        <v>17408.749180327868</v>
      </c>
      <c r="R20" s="9">
        <f t="shared" si="4"/>
        <v>265.67704918032786</v>
      </c>
      <c r="S20" s="10">
        <f t="shared" si="5"/>
        <v>1.7238989158058913</v>
      </c>
      <c r="T20" s="11">
        <v>370489</v>
      </c>
      <c r="U20" s="11">
        <v>5578</v>
      </c>
      <c r="V20" s="11">
        <v>61</v>
      </c>
      <c r="W20" s="12">
        <v>18220.77049180328</v>
      </c>
      <c r="X20" s="12">
        <v>274.32786885245901</v>
      </c>
      <c r="Y20" s="13">
        <v>1.726377721002738</v>
      </c>
      <c r="Z20" s="11">
        <v>345075</v>
      </c>
      <c r="AA20" s="11">
        <v>5387</v>
      </c>
      <c r="AB20" s="11">
        <v>59</v>
      </c>
      <c r="AC20" s="12">
        <v>17546.18644067796</v>
      </c>
      <c r="AD20" s="12">
        <v>273.91525423728808</v>
      </c>
      <c r="AE20" s="13">
        <v>1.7600601528911619</v>
      </c>
      <c r="AF20" s="11">
        <v>210174</v>
      </c>
      <c r="AG20" s="11">
        <v>2622</v>
      </c>
      <c r="AH20" s="11">
        <v>45</v>
      </c>
      <c r="AI20" s="12">
        <v>14011.6</v>
      </c>
      <c r="AJ20" s="12">
        <v>174.8</v>
      </c>
      <c r="AK20" s="13">
        <v>1.576938512249928</v>
      </c>
      <c r="AL20" s="11">
        <v>411602</v>
      </c>
      <c r="AM20" s="11">
        <v>7057</v>
      </c>
      <c r="AN20" s="11">
        <v>64</v>
      </c>
      <c r="AO20" s="12">
        <v>19293.84375</v>
      </c>
      <c r="AP20" s="12">
        <v>330.796875</v>
      </c>
      <c r="AQ20" s="13">
        <v>1.8510891220179979</v>
      </c>
      <c r="AR20" s="11">
        <v>370757</v>
      </c>
      <c r="AS20" s="11">
        <v>5458</v>
      </c>
      <c r="AT20" s="11">
        <v>61</v>
      </c>
      <c r="AU20" s="12">
        <v>18233.950819672129</v>
      </c>
      <c r="AV20" s="12">
        <v>268.42622950819668</v>
      </c>
      <c r="AW20" s="13">
        <v>1.7131234161202209</v>
      </c>
      <c r="AX20" s="11">
        <v>310854</v>
      </c>
      <c r="AY20" s="11">
        <v>4330</v>
      </c>
      <c r="AZ20" s="11">
        <v>54</v>
      </c>
      <c r="BA20" s="12">
        <v>17269.666666666672</v>
      </c>
      <c r="BB20" s="12">
        <v>240.5555555555556</v>
      </c>
      <c r="BC20" s="13">
        <v>1.659095595780316</v>
      </c>
      <c r="BD20" s="11">
        <v>229293</v>
      </c>
      <c r="BE20" s="11">
        <v>2463</v>
      </c>
      <c r="BF20" s="11">
        <v>47</v>
      </c>
      <c r="BG20" s="12">
        <v>14635.723404255319</v>
      </c>
      <c r="BH20" s="12">
        <v>157.21276595744681</v>
      </c>
      <c r="BI20" s="13">
        <v>1.4650052984781321</v>
      </c>
      <c r="BJ20" s="11">
        <v>293730</v>
      </c>
      <c r="BK20" s="11">
        <v>5615</v>
      </c>
      <c r="BL20" s="11">
        <v>42</v>
      </c>
      <c r="BM20" s="12">
        <v>20980.71428571429</v>
      </c>
      <c r="BN20" s="12">
        <v>401.07142857142861</v>
      </c>
      <c r="BO20" s="13">
        <v>1.94761398937048</v>
      </c>
      <c r="BP20" s="11">
        <v>327563</v>
      </c>
      <c r="BQ20" s="11">
        <v>5303</v>
      </c>
      <c r="BR20" s="11">
        <v>60</v>
      </c>
      <c r="BS20" s="12">
        <v>16378.15</v>
      </c>
      <c r="BT20" s="12">
        <v>265.14999999999998</v>
      </c>
      <c r="BU20" s="13">
        <v>1.7948695780482029</v>
      </c>
      <c r="BV20" s="11">
        <v>327635</v>
      </c>
      <c r="BW20" s="11">
        <v>4721</v>
      </c>
      <c r="BX20" s="11">
        <v>53</v>
      </c>
      <c r="BY20" s="12">
        <v>18545.377358490561</v>
      </c>
      <c r="BZ20" s="12">
        <v>267.22641509433959</v>
      </c>
      <c r="CA20" s="13">
        <v>1.6943507305711549</v>
      </c>
      <c r="CB20" s="11">
        <v>342607</v>
      </c>
      <c r="CC20" s="11">
        <v>5487</v>
      </c>
      <c r="CD20" s="11">
        <v>64</v>
      </c>
      <c r="CE20" s="12">
        <v>16059.703125</v>
      </c>
      <c r="CF20" s="12">
        <v>257.203125</v>
      </c>
      <c r="CG20" s="13">
        <v>1.7743639573344721</v>
      </c>
      <c r="CJ20" s="11"/>
      <c r="CK20" s="12"/>
      <c r="CL20" s="12"/>
      <c r="CM20" s="13"/>
    </row>
    <row r="21" spans="1:91" x14ac:dyDescent="0.25">
      <c r="A21" s="7" t="s">
        <v>18</v>
      </c>
      <c r="B21" s="8">
        <v>197437.27272727274</v>
      </c>
      <c r="C21" s="8">
        <v>5359</v>
      </c>
      <c r="D21" s="8">
        <v>676</v>
      </c>
      <c r="E21" s="9">
        <v>9638.2100591715971</v>
      </c>
      <c r="F21" s="9">
        <v>261.60798816568047</v>
      </c>
      <c r="G21" s="10">
        <v>2.3090909090909091</v>
      </c>
      <c r="H21" s="8">
        <v>8751</v>
      </c>
      <c r="I21" s="8">
        <v>131</v>
      </c>
      <c r="J21" s="8">
        <v>1</v>
      </c>
      <c r="K21" s="9">
        <v>26253</v>
      </c>
      <c r="L21" s="9">
        <v>393</v>
      </c>
      <c r="M21" s="10">
        <v>1.73</v>
      </c>
      <c r="N21" s="8" t="str">
        <f t="shared" si="0"/>
        <v xml:space="preserve"> </v>
      </c>
      <c r="O21" s="8" t="str">
        <f t="shared" si="1"/>
        <v xml:space="preserve"> </v>
      </c>
      <c r="P21" s="8">
        <f t="shared" si="2"/>
        <v>0</v>
      </c>
      <c r="Q21" s="9" t="str">
        <f t="shared" si="3"/>
        <v xml:space="preserve"> </v>
      </c>
      <c r="R21" s="9" t="str">
        <f t="shared" si="4"/>
        <v xml:space="preserve"> </v>
      </c>
      <c r="S21" s="10" t="str">
        <f t="shared" si="5"/>
        <v xml:space="preserve"> </v>
      </c>
      <c r="T21" s="11"/>
      <c r="U21" s="11"/>
      <c r="V21" s="11"/>
      <c r="W21" s="12"/>
      <c r="X21" s="12"/>
      <c r="Y21" s="13"/>
      <c r="Z21" s="11"/>
      <c r="AA21" s="11"/>
      <c r="AB21" s="11"/>
      <c r="AC21" s="12"/>
      <c r="AD21" s="12"/>
      <c r="AE21" s="13"/>
      <c r="AF21" s="11"/>
      <c r="AG21" s="11"/>
      <c r="AH21" s="11"/>
      <c r="AI21" s="12"/>
      <c r="AJ21" s="12"/>
      <c r="AK21" s="13"/>
      <c r="AL21" s="11"/>
      <c r="AM21" s="11"/>
      <c r="AN21" s="11"/>
      <c r="AO21" s="12"/>
      <c r="AP21" s="12"/>
      <c r="AQ21" s="13"/>
      <c r="AR21" s="11"/>
      <c r="AS21" s="11"/>
      <c r="AT21" s="11"/>
      <c r="AU21" s="12"/>
      <c r="AV21" s="12"/>
      <c r="AW21" s="13"/>
      <c r="AX21" s="11"/>
      <c r="AY21" s="11"/>
      <c r="AZ21" s="11"/>
      <c r="BA21" s="12"/>
      <c r="BB21" s="12"/>
      <c r="BC21" s="13"/>
      <c r="BD21" s="11"/>
      <c r="BE21" s="11"/>
      <c r="BF21" s="11"/>
      <c r="BG21" s="12"/>
      <c r="BH21" s="12"/>
      <c r="BI21" s="13"/>
      <c r="BJ21" s="11"/>
      <c r="BK21" s="11"/>
      <c r="BL21" s="11"/>
      <c r="BM21" s="12"/>
      <c r="BN21" s="12"/>
      <c r="BO21" s="13"/>
      <c r="BP21" s="11"/>
      <c r="BQ21" s="11"/>
      <c r="BR21" s="11"/>
      <c r="BS21" s="12"/>
      <c r="BT21" s="12"/>
      <c r="BU21" s="13"/>
      <c r="BV21" s="11"/>
      <c r="BW21" s="11"/>
      <c r="BX21" s="11"/>
      <c r="BY21" s="12"/>
      <c r="BZ21" s="12"/>
      <c r="CA21" s="13"/>
      <c r="CB21" s="11"/>
      <c r="CC21" s="11"/>
      <c r="CD21" s="11"/>
      <c r="CE21" s="12"/>
      <c r="CF21" s="12"/>
      <c r="CG21" s="13"/>
      <c r="CJ21" s="11"/>
      <c r="CK21" s="12"/>
      <c r="CL21" s="12"/>
      <c r="CM21" s="13"/>
    </row>
    <row r="22" spans="1:91" x14ac:dyDescent="0.25">
      <c r="A22" s="7" t="s">
        <v>19</v>
      </c>
      <c r="B22" s="8">
        <v>175103.27272727274</v>
      </c>
      <c r="C22" s="8">
        <v>3380.2727272727275</v>
      </c>
      <c r="D22" s="8">
        <v>672</v>
      </c>
      <c r="E22" s="9">
        <v>8598.8214285714294</v>
      </c>
      <c r="F22" s="9">
        <v>165.99553571428572</v>
      </c>
      <c r="G22" s="10">
        <v>1.8645454545454543</v>
      </c>
      <c r="H22" s="8" t="s">
        <v>27</v>
      </c>
      <c r="I22" s="8" t="s">
        <v>27</v>
      </c>
      <c r="J22" s="8">
        <v>0</v>
      </c>
      <c r="K22" s="9" t="s">
        <v>27</v>
      </c>
      <c r="L22" s="9" t="s">
        <v>27</v>
      </c>
      <c r="M22" s="10"/>
      <c r="N22" s="8" t="str">
        <f t="shared" si="0"/>
        <v xml:space="preserve"> </v>
      </c>
      <c r="O22" s="8" t="str">
        <f t="shared" si="1"/>
        <v xml:space="preserve"> </v>
      </c>
      <c r="P22" s="8">
        <f t="shared" si="2"/>
        <v>0</v>
      </c>
      <c r="Q22" s="9" t="str">
        <f t="shared" si="3"/>
        <v xml:space="preserve"> </v>
      </c>
      <c r="R22" s="9" t="str">
        <f t="shared" si="4"/>
        <v xml:space="preserve"> </v>
      </c>
      <c r="S22" s="10" t="str">
        <f t="shared" si="5"/>
        <v xml:space="preserve"> </v>
      </c>
      <c r="T22" s="11"/>
      <c r="U22" s="11"/>
      <c r="V22" s="11"/>
      <c r="W22" s="12"/>
      <c r="X22" s="12"/>
      <c r="Y22" s="13"/>
      <c r="Z22" s="11"/>
      <c r="AA22" s="11"/>
      <c r="AB22" s="11"/>
      <c r="AC22" s="12"/>
      <c r="AD22" s="12"/>
      <c r="AE22" s="13"/>
      <c r="AF22" s="11"/>
      <c r="AG22" s="11"/>
      <c r="AH22" s="11"/>
      <c r="AI22" s="12"/>
      <c r="AJ22" s="12"/>
      <c r="AK22" s="13"/>
      <c r="AL22" s="11"/>
      <c r="AM22" s="11"/>
      <c r="AN22" s="11"/>
      <c r="AO22" s="12"/>
      <c r="AP22" s="12"/>
      <c r="AQ22" s="13"/>
      <c r="AR22" s="11"/>
      <c r="AS22" s="11"/>
      <c r="AT22" s="11"/>
      <c r="AU22" s="12"/>
      <c r="AV22" s="12"/>
      <c r="AW22" s="13"/>
      <c r="AX22" s="11"/>
      <c r="AY22" s="11"/>
      <c r="AZ22" s="11"/>
      <c r="BA22" s="12"/>
      <c r="BB22" s="12"/>
      <c r="BC22" s="13"/>
      <c r="BD22" s="11"/>
      <c r="BE22" s="11"/>
      <c r="BF22" s="11"/>
      <c r="BG22" s="12"/>
      <c r="BH22" s="12"/>
      <c r="BI22" s="13"/>
      <c r="BJ22" s="11"/>
      <c r="BK22" s="11"/>
      <c r="BL22" s="11"/>
      <c r="BM22" s="12"/>
      <c r="BN22" s="12"/>
      <c r="BO22" s="13"/>
      <c r="BP22" s="11"/>
      <c r="BQ22" s="11"/>
      <c r="BR22" s="11"/>
      <c r="BS22" s="12"/>
      <c r="BT22" s="12"/>
      <c r="BU22" s="13"/>
      <c r="BV22" s="11"/>
      <c r="BW22" s="11"/>
      <c r="BX22" s="11"/>
      <c r="BY22" s="12"/>
      <c r="BZ22" s="12"/>
      <c r="CA22" s="13"/>
      <c r="CB22" s="11"/>
      <c r="CC22" s="11"/>
      <c r="CD22" s="11"/>
      <c r="CE22" s="12"/>
      <c r="CF22" s="12"/>
      <c r="CG22" s="13"/>
      <c r="CJ22" s="11"/>
      <c r="CK22" s="12"/>
      <c r="CL22" s="12"/>
      <c r="CM22" s="13"/>
    </row>
    <row r="23" spans="1:91" x14ac:dyDescent="0.25">
      <c r="A23" s="7" t="s">
        <v>20</v>
      </c>
      <c r="B23" s="8">
        <v>234348.09090909091</v>
      </c>
      <c r="C23" s="8">
        <v>7105.545454545455</v>
      </c>
      <c r="D23" s="8">
        <v>711</v>
      </c>
      <c r="E23" s="9">
        <v>10876.915611814346</v>
      </c>
      <c r="F23" s="9">
        <v>329.79324894514764</v>
      </c>
      <c r="G23" s="10">
        <v>2.4109090909090907</v>
      </c>
      <c r="H23" s="8">
        <v>168420.9189830705</v>
      </c>
      <c r="I23" s="8">
        <v>4593.909090909091</v>
      </c>
      <c r="J23" s="8">
        <v>395</v>
      </c>
      <c r="K23" s="9">
        <v>14070.608421370445</v>
      </c>
      <c r="L23" s="9">
        <v>383.79493670886075</v>
      </c>
      <c r="M23" s="10">
        <v>2.2962796543768249</v>
      </c>
      <c r="N23" s="8">
        <f t="shared" si="0"/>
        <v>197372.36363636365</v>
      </c>
      <c r="O23" s="8">
        <f t="shared" si="1"/>
        <v>5891</v>
      </c>
      <c r="P23" s="8">
        <f t="shared" si="2"/>
        <v>377</v>
      </c>
      <c r="Q23" s="9">
        <f t="shared" si="3"/>
        <v>17276.625994694958</v>
      </c>
      <c r="R23" s="9">
        <f t="shared" si="4"/>
        <v>515.65782493368704</v>
      </c>
      <c r="S23" s="10">
        <f t="shared" si="5"/>
        <v>2.4707971516389686</v>
      </c>
      <c r="T23" s="11">
        <v>209199</v>
      </c>
      <c r="U23" s="11">
        <v>6321</v>
      </c>
      <c r="V23" s="11">
        <v>40</v>
      </c>
      <c r="W23" s="12">
        <v>15689.924999999999</v>
      </c>
      <c r="X23" s="12">
        <v>474.07499999999999</v>
      </c>
      <c r="Y23" s="13">
        <v>2.4544849708764711</v>
      </c>
      <c r="Z23" s="11">
        <v>250561</v>
      </c>
      <c r="AA23" s="11">
        <v>4323</v>
      </c>
      <c r="AB23" s="11">
        <v>46</v>
      </c>
      <c r="AC23" s="12">
        <v>16340.9347826087</v>
      </c>
      <c r="AD23" s="12">
        <v>281.93478260869563</v>
      </c>
      <c r="AE23" s="13">
        <v>1.8469730103951889</v>
      </c>
      <c r="AF23" s="11">
        <v>222592</v>
      </c>
      <c r="AG23" s="11">
        <v>6700</v>
      </c>
      <c r="AH23" s="11">
        <v>43</v>
      </c>
      <c r="AI23" s="12">
        <v>15529.674418604651</v>
      </c>
      <c r="AJ23" s="12">
        <v>467.44186046511629</v>
      </c>
      <c r="AK23" s="13">
        <v>2.3974285810082181</v>
      </c>
      <c r="AL23" s="11">
        <v>257912</v>
      </c>
      <c r="AM23" s="11">
        <v>5403</v>
      </c>
      <c r="AN23" s="11">
        <v>51</v>
      </c>
      <c r="AO23" s="12">
        <v>15171.294117647059</v>
      </c>
      <c r="AP23" s="12">
        <v>317.8235294117647</v>
      </c>
      <c r="AQ23" s="13">
        <v>2.026047498548869</v>
      </c>
      <c r="AR23" s="11">
        <v>144746</v>
      </c>
      <c r="AS23" s="11">
        <v>2671</v>
      </c>
      <c r="AT23" s="11">
        <v>32</v>
      </c>
      <c r="AU23" s="12">
        <v>13569.9375</v>
      </c>
      <c r="AV23" s="12">
        <v>250.40625</v>
      </c>
      <c r="AW23" s="13">
        <v>1.904476710481902</v>
      </c>
      <c r="AX23" s="11">
        <v>1153</v>
      </c>
      <c r="AY23" s="11">
        <v>70</v>
      </c>
      <c r="AZ23" s="11">
        <v>1</v>
      </c>
      <c r="BA23" s="12">
        <v>3459</v>
      </c>
      <c r="BB23" s="12">
        <v>210</v>
      </c>
      <c r="BC23" s="13">
        <v>3.5</v>
      </c>
      <c r="BD23" s="11">
        <v>86072</v>
      </c>
      <c r="BE23" s="11">
        <v>3303</v>
      </c>
      <c r="BF23" s="11">
        <v>2</v>
      </c>
      <c r="BG23" s="12">
        <v>129108</v>
      </c>
      <c r="BH23" s="12">
        <v>4954.5</v>
      </c>
      <c r="BI23" s="13">
        <v>2.696721349061256</v>
      </c>
      <c r="BJ23" s="11">
        <v>144016</v>
      </c>
      <c r="BK23" s="11">
        <v>4643</v>
      </c>
      <c r="BL23" s="11">
        <v>24</v>
      </c>
      <c r="BM23" s="12">
        <v>18002</v>
      </c>
      <c r="BN23" s="12">
        <v>580.375</v>
      </c>
      <c r="BO23" s="13">
        <v>2.4843208293888259</v>
      </c>
      <c r="BP23" s="11">
        <v>308366</v>
      </c>
      <c r="BQ23" s="11">
        <v>14180</v>
      </c>
      <c r="BR23" s="11">
        <v>54</v>
      </c>
      <c r="BS23" s="12">
        <v>17131.444444444449</v>
      </c>
      <c r="BT23" s="12">
        <v>787.77777777777783</v>
      </c>
      <c r="BU23" s="13">
        <v>2.9804123168334011</v>
      </c>
      <c r="BV23" s="11">
        <v>295583</v>
      </c>
      <c r="BW23" s="11">
        <v>9372</v>
      </c>
      <c r="BX23" s="11">
        <v>47</v>
      </c>
      <c r="BY23" s="12">
        <v>18867</v>
      </c>
      <c r="BZ23" s="12">
        <v>598.21276595744689</v>
      </c>
      <c r="CA23" s="13">
        <v>2.4564809063123012</v>
      </c>
      <c r="CB23" s="11">
        <v>250896</v>
      </c>
      <c r="CC23" s="11">
        <v>7815</v>
      </c>
      <c r="CD23" s="11">
        <v>37</v>
      </c>
      <c r="CE23" s="12">
        <v>20342.91891891892</v>
      </c>
      <c r="CF23" s="12">
        <v>633.64864864864865</v>
      </c>
      <c r="CG23" s="13">
        <v>2.431422495122221</v>
      </c>
      <c r="CJ23" s="11"/>
      <c r="CK23" s="12"/>
      <c r="CL23" s="12"/>
      <c r="CM23" s="13"/>
    </row>
    <row r="24" spans="1:91" x14ac:dyDescent="0.25">
      <c r="A24" s="7" t="s">
        <v>21</v>
      </c>
      <c r="B24" s="8">
        <v>89040.6</v>
      </c>
      <c r="C24" s="8">
        <v>245232.6</v>
      </c>
      <c r="D24" s="8">
        <v>667</v>
      </c>
      <c r="E24" s="9">
        <v>4004.8245877061472</v>
      </c>
      <c r="F24" s="9">
        <v>11029.952023988006</v>
      </c>
      <c r="G24" s="10">
        <v>26.572000000000003</v>
      </c>
      <c r="H24" s="8">
        <v>77018.416666666672</v>
      </c>
      <c r="I24" s="8">
        <v>214771.08333333334</v>
      </c>
      <c r="J24" s="8">
        <v>581</v>
      </c>
      <c r="K24" s="9">
        <v>4772.2254733218588</v>
      </c>
      <c r="L24" s="9">
        <v>13307.674698795181</v>
      </c>
      <c r="M24" s="10">
        <v>26.165532817126689</v>
      </c>
      <c r="N24" s="8">
        <f t="shared" si="0"/>
        <v>89484.909090909088</v>
      </c>
      <c r="O24" s="8">
        <f t="shared" si="1"/>
        <v>260585.72727272726</v>
      </c>
      <c r="P24" s="8">
        <f t="shared" si="2"/>
        <v>597</v>
      </c>
      <c r="Q24" s="9">
        <f t="shared" si="3"/>
        <v>4946.4020100502512</v>
      </c>
      <c r="R24" s="9">
        <f t="shared" si="4"/>
        <v>14404.236180904521</v>
      </c>
      <c r="S24" s="10">
        <f t="shared" si="5"/>
        <v>26.68060141556008</v>
      </c>
      <c r="T24" s="11">
        <v>77550</v>
      </c>
      <c r="U24" s="11">
        <v>191519</v>
      </c>
      <c r="V24" s="11">
        <v>48</v>
      </c>
      <c r="W24" s="12">
        <v>4846.875</v>
      </c>
      <c r="X24" s="12">
        <v>11969.9375</v>
      </c>
      <c r="Y24" s="13">
        <v>24.479792326860441</v>
      </c>
      <c r="Z24" s="11">
        <v>97250</v>
      </c>
      <c r="AA24" s="11">
        <v>246093</v>
      </c>
      <c r="AB24" s="11">
        <v>63</v>
      </c>
      <c r="AC24" s="12">
        <v>4630.9523809523816</v>
      </c>
      <c r="AD24" s="12">
        <v>11718.71428571429</v>
      </c>
      <c r="AE24" s="13">
        <v>24.745785696098309</v>
      </c>
      <c r="AF24" s="11">
        <v>76973</v>
      </c>
      <c r="AG24" s="11">
        <v>235550</v>
      </c>
      <c r="AH24" s="11">
        <v>53</v>
      </c>
      <c r="AI24" s="12">
        <v>4356.9622641509432</v>
      </c>
      <c r="AJ24" s="12">
        <v>13333.018867924529</v>
      </c>
      <c r="AK24" s="13">
        <v>27.14839022696092</v>
      </c>
      <c r="AL24" s="11">
        <v>122080</v>
      </c>
      <c r="AM24" s="11">
        <v>316838</v>
      </c>
      <c r="AN24" s="11">
        <v>70</v>
      </c>
      <c r="AO24" s="12">
        <v>5232</v>
      </c>
      <c r="AP24" s="12">
        <v>13578.77142857143</v>
      </c>
      <c r="AQ24" s="13">
        <v>25.45203378103777</v>
      </c>
      <c r="AR24" s="11">
        <v>106850</v>
      </c>
      <c r="AS24" s="11">
        <v>290714</v>
      </c>
      <c r="AT24" s="11">
        <v>57</v>
      </c>
      <c r="AU24" s="12">
        <v>5623.6842105263158</v>
      </c>
      <c r="AV24" s="12">
        <v>15300.73684210526</v>
      </c>
      <c r="AW24" s="13">
        <v>25.644551129245681</v>
      </c>
      <c r="AX24" s="11">
        <v>77646</v>
      </c>
      <c r="AY24" s="11">
        <v>230139</v>
      </c>
      <c r="AZ24" s="11">
        <v>51</v>
      </c>
      <c r="BA24" s="12">
        <v>4567.4117647058829</v>
      </c>
      <c r="BB24" s="12">
        <v>13537.588235294121</v>
      </c>
      <c r="BC24" s="13">
        <v>26.444359996368721</v>
      </c>
      <c r="BD24" s="11">
        <v>82490</v>
      </c>
      <c r="BE24" s="11">
        <v>260886</v>
      </c>
      <c r="BF24" s="11">
        <v>51</v>
      </c>
      <c r="BG24" s="12">
        <v>4852.3529411764703</v>
      </c>
      <c r="BH24" s="12">
        <v>15346.23529411765</v>
      </c>
      <c r="BI24" s="13">
        <v>27.399106503983521</v>
      </c>
      <c r="BJ24" s="11">
        <v>104500</v>
      </c>
      <c r="BK24" s="11">
        <v>294572</v>
      </c>
      <c r="BL24" s="11">
        <v>52</v>
      </c>
      <c r="BM24" s="12">
        <v>6028.8461538461534</v>
      </c>
      <c r="BN24" s="12">
        <v>16994.538461538461</v>
      </c>
      <c r="BO24" s="13">
        <v>26.234887597046519</v>
      </c>
      <c r="BP24" s="11">
        <v>72234</v>
      </c>
      <c r="BQ24" s="11">
        <v>251552</v>
      </c>
      <c r="BR24" s="11">
        <v>58</v>
      </c>
      <c r="BS24" s="12">
        <v>3736.2413793103451</v>
      </c>
      <c r="BT24" s="12">
        <v>13011.310344827591</v>
      </c>
      <c r="BU24" s="13">
        <v>29.027515162117702</v>
      </c>
      <c r="BV24" s="11">
        <v>79494</v>
      </c>
      <c r="BW24" s="11">
        <v>259168</v>
      </c>
      <c r="BX24" s="11">
        <v>46</v>
      </c>
      <c r="BY24" s="12">
        <v>5184.391304347826</v>
      </c>
      <c r="BZ24" s="12">
        <v>16902.26086956522</v>
      </c>
      <c r="CA24" s="13">
        <v>28.37037595479196</v>
      </c>
      <c r="CB24" s="11">
        <v>87267</v>
      </c>
      <c r="CC24" s="11">
        <v>289412</v>
      </c>
      <c r="CD24" s="11">
        <v>48</v>
      </c>
      <c r="CE24" s="12">
        <v>5454.1875</v>
      </c>
      <c r="CF24" s="12">
        <v>18088.25</v>
      </c>
      <c r="CG24" s="13">
        <v>28.53981719664932</v>
      </c>
      <c r="CJ24" s="11"/>
      <c r="CK24" s="12"/>
      <c r="CL24" s="12"/>
      <c r="CM24" s="13"/>
    </row>
    <row r="25" spans="1:91" x14ac:dyDescent="0.25">
      <c r="A25" s="7" t="s">
        <v>22</v>
      </c>
      <c r="B25" s="8">
        <v>161807.18181818182</v>
      </c>
      <c r="C25" s="8">
        <v>21742.909090909092</v>
      </c>
      <c r="D25" s="8">
        <v>620</v>
      </c>
      <c r="E25" s="9">
        <v>8612.3177419354834</v>
      </c>
      <c r="F25" s="9">
        <v>1157.2838709677419</v>
      </c>
      <c r="G25" s="10">
        <v>5.7609090909090908</v>
      </c>
      <c r="H25" s="8">
        <v>114198.27272727272</v>
      </c>
      <c r="I25" s="8">
        <v>18250.272727272728</v>
      </c>
      <c r="J25" s="8">
        <v>386</v>
      </c>
      <c r="K25" s="9">
        <v>9763.0647668393794</v>
      </c>
      <c r="L25" s="9">
        <v>1560.256476683938</v>
      </c>
      <c r="M25" s="10">
        <v>6.3284372764155554</v>
      </c>
      <c r="N25" s="8">
        <f t="shared" si="0"/>
        <v>177796.18181818182</v>
      </c>
      <c r="O25" s="8">
        <f t="shared" si="1"/>
        <v>34273</v>
      </c>
      <c r="P25" s="8">
        <f t="shared" si="2"/>
        <v>523</v>
      </c>
      <c r="Q25" s="9">
        <f t="shared" si="3"/>
        <v>11218.497131931166</v>
      </c>
      <c r="R25" s="9">
        <f t="shared" si="4"/>
        <v>2162.5411089866157</v>
      </c>
      <c r="S25" s="10">
        <f t="shared" si="5"/>
        <v>6.8076981001431713</v>
      </c>
      <c r="T25" s="11">
        <v>164013</v>
      </c>
      <c r="U25" s="11">
        <v>35327</v>
      </c>
      <c r="V25" s="11">
        <v>52</v>
      </c>
      <c r="W25" s="12">
        <v>9462.288461538461</v>
      </c>
      <c r="X25" s="12">
        <v>2038.096153846154</v>
      </c>
      <c r="Y25" s="13">
        <v>7.289243380180257</v>
      </c>
      <c r="Z25" s="11">
        <v>199102</v>
      </c>
      <c r="AA25" s="11">
        <v>50929</v>
      </c>
      <c r="AB25" s="11">
        <v>60</v>
      </c>
      <c r="AC25" s="12">
        <v>9955.1</v>
      </c>
      <c r="AD25" s="12">
        <v>2546.4499999999998</v>
      </c>
      <c r="AE25" s="13">
        <v>8.0075615861557257</v>
      </c>
      <c r="AF25" s="11">
        <v>196158</v>
      </c>
      <c r="AG25" s="11">
        <v>64985</v>
      </c>
      <c r="AH25" s="11">
        <v>48</v>
      </c>
      <c r="AI25" s="12">
        <v>12259.875</v>
      </c>
      <c r="AJ25" s="12">
        <v>4061.5625</v>
      </c>
      <c r="AK25" s="13">
        <v>9.0855604135755943</v>
      </c>
      <c r="AL25" s="11">
        <v>223584</v>
      </c>
      <c r="AM25" s="11">
        <v>48999</v>
      </c>
      <c r="AN25" s="11">
        <v>58</v>
      </c>
      <c r="AO25" s="12">
        <v>11564.689655172409</v>
      </c>
      <c r="AP25" s="12">
        <v>2534.4310344827591</v>
      </c>
      <c r="AQ25" s="13">
        <v>7.3592647541430516</v>
      </c>
      <c r="AR25" s="11">
        <v>208367</v>
      </c>
      <c r="AS25" s="11">
        <v>28265</v>
      </c>
      <c r="AT25" s="11">
        <v>45</v>
      </c>
      <c r="AU25" s="12">
        <v>13891.13333333333</v>
      </c>
      <c r="AV25" s="12">
        <v>1884.333333333333</v>
      </c>
      <c r="AW25" s="13">
        <v>5.8148053448718544</v>
      </c>
      <c r="AX25" s="11">
        <v>140608</v>
      </c>
      <c r="AY25" s="11">
        <v>24903</v>
      </c>
      <c r="AZ25" s="11">
        <v>49</v>
      </c>
      <c r="BA25" s="12">
        <v>8608.6530612244896</v>
      </c>
      <c r="BB25" s="12">
        <v>1524.6734693877549</v>
      </c>
      <c r="BC25" s="13">
        <v>6.6348371002101123</v>
      </c>
      <c r="BD25" s="11">
        <v>194958</v>
      </c>
      <c r="BE25" s="11">
        <v>29698</v>
      </c>
      <c r="BF25" s="11">
        <v>53</v>
      </c>
      <c r="BG25" s="12">
        <v>11035.358490566039</v>
      </c>
      <c r="BH25" s="12">
        <v>1681.018867924528</v>
      </c>
      <c r="BI25" s="13">
        <v>6.1618445755580158</v>
      </c>
      <c r="BJ25" s="11">
        <v>127218</v>
      </c>
      <c r="BK25" s="11">
        <v>18667</v>
      </c>
      <c r="BL25" s="11">
        <v>25</v>
      </c>
      <c r="BM25" s="12">
        <v>15266.16</v>
      </c>
      <c r="BN25" s="12">
        <v>2240.04</v>
      </c>
      <c r="BO25" s="13">
        <v>6.0686079187279667</v>
      </c>
      <c r="BP25" s="11">
        <v>141855</v>
      </c>
      <c r="BQ25" s="11">
        <v>26134</v>
      </c>
      <c r="BR25" s="11">
        <v>38</v>
      </c>
      <c r="BS25" s="12">
        <v>11199.07894736842</v>
      </c>
      <c r="BT25" s="12">
        <v>2063.2105263157891</v>
      </c>
      <c r="BU25" s="13">
        <v>6.7881494065870802</v>
      </c>
      <c r="BV25" s="11">
        <v>170405</v>
      </c>
      <c r="BW25" s="11">
        <v>23148</v>
      </c>
      <c r="BX25" s="11">
        <v>51</v>
      </c>
      <c r="BY25" s="12">
        <v>10023.823529411769</v>
      </c>
      <c r="BZ25" s="12">
        <v>1361.6470588235291</v>
      </c>
      <c r="CA25" s="13">
        <v>5.8251713574169166</v>
      </c>
      <c r="CB25" s="11">
        <v>189490</v>
      </c>
      <c r="CC25" s="11">
        <v>25948</v>
      </c>
      <c r="CD25" s="11">
        <v>44</v>
      </c>
      <c r="CE25" s="12">
        <v>12919.77272727273</v>
      </c>
      <c r="CF25" s="12">
        <v>1769.181818181818</v>
      </c>
      <c r="CG25" s="13">
        <v>5.849633264148304</v>
      </c>
      <c r="CJ25" s="11"/>
      <c r="CK25" s="12"/>
      <c r="CL25" s="12"/>
      <c r="CM25" s="13"/>
    </row>
    <row r="26" spans="1:91" x14ac:dyDescent="0.25">
      <c r="A26" s="7" t="s">
        <v>23</v>
      </c>
      <c r="B26" s="8">
        <v>449562.09090909088</v>
      </c>
      <c r="C26" s="8">
        <v>131394.90909090909</v>
      </c>
      <c r="D26" s="8">
        <v>752</v>
      </c>
      <c r="E26" s="9">
        <v>19728.123670212764</v>
      </c>
      <c r="F26" s="9">
        <v>5766</v>
      </c>
      <c r="G26" s="10">
        <v>7.1145454545454552</v>
      </c>
      <c r="H26" s="8">
        <v>496964.43583333335</v>
      </c>
      <c r="I26" s="8">
        <v>143549.16666666666</v>
      </c>
      <c r="J26" s="8">
        <v>838</v>
      </c>
      <c r="K26" s="9">
        <v>21349.307505966586</v>
      </c>
      <c r="L26" s="9">
        <v>6166.7899761336512</v>
      </c>
      <c r="M26" s="10">
        <v>7.2333463740734052</v>
      </c>
      <c r="N26" s="8">
        <f t="shared" si="0"/>
        <v>562110.90909090906</v>
      </c>
      <c r="O26" s="8">
        <f t="shared" si="1"/>
        <v>156224.54545454544</v>
      </c>
      <c r="P26" s="8">
        <f t="shared" si="2"/>
        <v>801</v>
      </c>
      <c r="Q26" s="9">
        <f t="shared" si="3"/>
        <v>23158.127340823972</v>
      </c>
      <c r="R26" s="9">
        <f t="shared" si="4"/>
        <v>6436.2172284644203</v>
      </c>
      <c r="S26" s="10">
        <f t="shared" si="5"/>
        <v>7.1310672173662306</v>
      </c>
      <c r="T26" s="11">
        <v>551602</v>
      </c>
      <c r="U26" s="11">
        <v>136940</v>
      </c>
      <c r="V26" s="11">
        <v>75</v>
      </c>
      <c r="W26" s="12">
        <v>22064.080000000002</v>
      </c>
      <c r="X26" s="12">
        <v>5477.5999999999995</v>
      </c>
      <c r="Y26" s="13">
        <v>6.6888275859500821</v>
      </c>
      <c r="Z26" s="11">
        <v>547834</v>
      </c>
      <c r="AA26" s="11">
        <v>155106</v>
      </c>
      <c r="AB26" s="11">
        <v>77</v>
      </c>
      <c r="AC26" s="12">
        <v>21344.18181818182</v>
      </c>
      <c r="AD26" s="12">
        <v>6043.090909090909</v>
      </c>
      <c r="AE26" s="13">
        <v>7.1663417432177594</v>
      </c>
      <c r="AF26" s="11">
        <v>563416</v>
      </c>
      <c r="AG26" s="11">
        <v>173372</v>
      </c>
      <c r="AH26" s="11">
        <v>78</v>
      </c>
      <c r="AI26" s="12">
        <v>21669.84615384616</v>
      </c>
      <c r="AJ26" s="12">
        <v>6668.1538461538457</v>
      </c>
      <c r="AK26" s="13">
        <v>7.4892929356281668</v>
      </c>
      <c r="AL26" s="11">
        <v>536059</v>
      </c>
      <c r="AM26" s="11">
        <v>182108</v>
      </c>
      <c r="AN26" s="11">
        <v>82</v>
      </c>
      <c r="AO26" s="12">
        <v>19611.914634146338</v>
      </c>
      <c r="AP26" s="12">
        <v>6662.4878048780492</v>
      </c>
      <c r="AQ26" s="13">
        <v>7.7228873486116081</v>
      </c>
      <c r="AR26" s="11">
        <v>630035</v>
      </c>
      <c r="AS26" s="11">
        <v>156673</v>
      </c>
      <c r="AT26" s="11">
        <v>72</v>
      </c>
      <c r="AU26" s="12">
        <v>26251.458333333339</v>
      </c>
      <c r="AV26" s="12">
        <v>6528.0416666666661</v>
      </c>
      <c r="AW26" s="13">
        <v>6.7809261127610867</v>
      </c>
      <c r="AX26" s="11">
        <v>521951</v>
      </c>
      <c r="AY26" s="11">
        <v>144275</v>
      </c>
      <c r="AZ26" s="11">
        <v>72</v>
      </c>
      <c r="BA26" s="12">
        <v>21747.958333333328</v>
      </c>
      <c r="BB26" s="12">
        <v>6011.458333333333</v>
      </c>
      <c r="BC26" s="13">
        <v>7.1205738982701963</v>
      </c>
      <c r="BD26" s="11">
        <v>663000</v>
      </c>
      <c r="BE26" s="11">
        <v>127334</v>
      </c>
      <c r="BF26" s="11">
        <v>64</v>
      </c>
      <c r="BG26" s="12">
        <v>31078.125</v>
      </c>
      <c r="BH26" s="12">
        <v>5968.78125</v>
      </c>
      <c r="BI26" s="13">
        <v>6.0451239166307262</v>
      </c>
      <c r="BJ26" s="11">
        <v>673920</v>
      </c>
      <c r="BK26" s="11">
        <v>170289</v>
      </c>
      <c r="BL26" s="11">
        <v>68</v>
      </c>
      <c r="BM26" s="12">
        <v>29731.76470588235</v>
      </c>
      <c r="BN26" s="12">
        <v>7512.75</v>
      </c>
      <c r="BO26" s="13">
        <v>6.8691882670202222</v>
      </c>
      <c r="BP26" s="11">
        <v>479883</v>
      </c>
      <c r="BQ26" s="11">
        <v>153010</v>
      </c>
      <c r="BR26" s="11">
        <v>72</v>
      </c>
      <c r="BS26" s="12">
        <v>19995.125</v>
      </c>
      <c r="BT26" s="12">
        <v>6375.4166666666661</v>
      </c>
      <c r="BU26" s="13">
        <v>7.5735014176452209</v>
      </c>
      <c r="BV26" s="11">
        <v>503957</v>
      </c>
      <c r="BW26" s="11">
        <v>167918</v>
      </c>
      <c r="BX26" s="11">
        <v>71</v>
      </c>
      <c r="BY26" s="12">
        <v>21293.957746478871</v>
      </c>
      <c r="BZ26" s="12">
        <v>7095.1267605633802</v>
      </c>
      <c r="CA26" s="13">
        <v>7.7057295976465454</v>
      </c>
      <c r="CB26" s="11">
        <v>511563</v>
      </c>
      <c r="CC26" s="11">
        <v>151445</v>
      </c>
      <c r="CD26" s="11">
        <v>70</v>
      </c>
      <c r="CE26" s="12">
        <v>21924.12857142857</v>
      </c>
      <c r="CF26" s="12">
        <v>6490.5</v>
      </c>
      <c r="CG26" s="13">
        <v>7.2793465676469236</v>
      </c>
      <c r="CJ26" s="11"/>
      <c r="CK26" s="12"/>
      <c r="CL26" s="12"/>
      <c r="CM26" s="13"/>
    </row>
    <row r="27" spans="1:91" x14ac:dyDescent="0.25">
      <c r="A27" s="7" t="s">
        <v>24</v>
      </c>
      <c r="B27" s="8">
        <v>477259.90909090912</v>
      </c>
      <c r="C27" s="8">
        <v>100100</v>
      </c>
      <c r="D27" s="8">
        <v>741</v>
      </c>
      <c r="E27" s="9">
        <v>21254.48987854251</v>
      </c>
      <c r="F27" s="9">
        <v>4457.894736842105</v>
      </c>
      <c r="G27" s="10">
        <v>6.2027272727272731</v>
      </c>
      <c r="H27" s="8">
        <v>386507.05208333331</v>
      </c>
      <c r="I27" s="8">
        <v>100948.58333333333</v>
      </c>
      <c r="J27" s="8">
        <v>760</v>
      </c>
      <c r="K27" s="9">
        <v>18308.228782894737</v>
      </c>
      <c r="L27" s="9">
        <v>4781.7749999999996</v>
      </c>
      <c r="M27" s="10">
        <v>6.8398745554157081</v>
      </c>
      <c r="N27" s="8">
        <f t="shared" si="0"/>
        <v>462752.27272727271</v>
      </c>
      <c r="O27" s="8">
        <f t="shared" si="1"/>
        <v>115137.72727272728</v>
      </c>
      <c r="P27" s="8">
        <f t="shared" si="2"/>
        <v>759</v>
      </c>
      <c r="Q27" s="9">
        <f t="shared" si="3"/>
        <v>20119.664031620552</v>
      </c>
      <c r="R27" s="9">
        <f t="shared" si="4"/>
        <v>5005.98814229249</v>
      </c>
      <c r="S27" s="10">
        <f t="shared" si="5"/>
        <v>6.6967144334503015</v>
      </c>
      <c r="T27" s="11">
        <v>427151</v>
      </c>
      <c r="U27" s="11">
        <v>89854</v>
      </c>
      <c r="V27" s="11">
        <v>72</v>
      </c>
      <c r="W27" s="12">
        <v>17797.958333333328</v>
      </c>
      <c r="X27" s="12">
        <v>3743.916666666667</v>
      </c>
      <c r="Y27" s="13">
        <v>6.2438689880046088</v>
      </c>
      <c r="Z27" s="11">
        <v>358574</v>
      </c>
      <c r="AA27" s="11">
        <v>82532</v>
      </c>
      <c r="AB27" s="11">
        <v>63</v>
      </c>
      <c r="AC27" s="12">
        <v>17074.952380952382</v>
      </c>
      <c r="AD27" s="12">
        <v>3930.0952380952381</v>
      </c>
      <c r="AE27" s="13">
        <v>6.4519322568604691</v>
      </c>
      <c r="AF27" s="11">
        <v>432043</v>
      </c>
      <c r="AG27" s="11">
        <v>100270</v>
      </c>
      <c r="AH27" s="11">
        <v>66</v>
      </c>
      <c r="AI27" s="12">
        <v>19638.31818181818</v>
      </c>
      <c r="AJ27" s="12">
        <v>4557.727272727273</v>
      </c>
      <c r="AK27" s="13">
        <v>6.4960972936459083</v>
      </c>
      <c r="AL27" s="11">
        <v>591104</v>
      </c>
      <c r="AM27" s="11">
        <v>153951</v>
      </c>
      <c r="AN27" s="11">
        <v>82</v>
      </c>
      <c r="AO27" s="12">
        <v>21625.756097560981</v>
      </c>
      <c r="AP27" s="12">
        <v>5632.3536585365846</v>
      </c>
      <c r="AQ27" s="13">
        <v>6.9727641205650199</v>
      </c>
      <c r="AR27" s="11">
        <v>524879</v>
      </c>
      <c r="AS27" s="11">
        <v>130415</v>
      </c>
      <c r="AT27" s="11">
        <v>81</v>
      </c>
      <c r="AU27" s="12">
        <v>19439.96296296296</v>
      </c>
      <c r="AV27" s="12">
        <v>4830.1851851851852</v>
      </c>
      <c r="AW27" s="13">
        <v>6.5898909545422644</v>
      </c>
      <c r="AX27" s="11">
        <v>436156</v>
      </c>
      <c r="AY27" s="11">
        <v>114996</v>
      </c>
      <c r="AZ27" s="11">
        <v>69</v>
      </c>
      <c r="BA27" s="12">
        <v>18963.304347826092</v>
      </c>
      <c r="BB27" s="12">
        <v>4999.826086956522</v>
      </c>
      <c r="BC27" s="13">
        <v>6.9765034666343899</v>
      </c>
      <c r="BD27" s="11">
        <v>441255</v>
      </c>
      <c r="BE27" s="11">
        <v>135496</v>
      </c>
      <c r="BF27" s="11">
        <v>67</v>
      </c>
      <c r="BG27" s="12">
        <v>19757.686567164179</v>
      </c>
      <c r="BH27" s="12">
        <v>6066.9850746268658</v>
      </c>
      <c r="BI27" s="13">
        <v>7.494594792606863</v>
      </c>
      <c r="BJ27" s="11">
        <v>538933</v>
      </c>
      <c r="BK27" s="11">
        <v>126060</v>
      </c>
      <c r="BL27" s="11">
        <v>63</v>
      </c>
      <c r="BM27" s="12">
        <v>25663.476190476191</v>
      </c>
      <c r="BN27" s="12">
        <v>6002.8571428571431</v>
      </c>
      <c r="BO27" s="13">
        <v>6.4315922884880186</v>
      </c>
      <c r="BP27" s="11">
        <v>465082</v>
      </c>
      <c r="BQ27" s="11">
        <v>118178</v>
      </c>
      <c r="BR27" s="11">
        <v>62</v>
      </c>
      <c r="BS27" s="12">
        <v>22503.967741935481</v>
      </c>
      <c r="BT27" s="12">
        <v>5718.2903225806449</v>
      </c>
      <c r="BU27" s="13">
        <v>6.7746697694641007</v>
      </c>
      <c r="BV27" s="11">
        <v>434032</v>
      </c>
      <c r="BW27" s="11">
        <v>103668</v>
      </c>
      <c r="BX27" s="11">
        <v>63</v>
      </c>
      <c r="BY27" s="12">
        <v>20668.19047619047</v>
      </c>
      <c r="BZ27" s="12">
        <v>4936.5714285714294</v>
      </c>
      <c r="CA27" s="13">
        <v>6.4914953748628133</v>
      </c>
      <c r="CB27" s="11">
        <v>441066</v>
      </c>
      <c r="CC27" s="11">
        <v>111095</v>
      </c>
      <c r="CD27" s="11">
        <v>71</v>
      </c>
      <c r="CE27" s="12">
        <v>18636.591549295768</v>
      </c>
      <c r="CF27" s="12">
        <v>4694.1549295774648</v>
      </c>
      <c r="CG27" s="13">
        <v>6.7404494622788551</v>
      </c>
      <c r="CJ27" s="11"/>
      <c r="CK27" s="12"/>
      <c r="CL27" s="12"/>
      <c r="CM27" s="13"/>
    </row>
    <row r="28" spans="1:91" x14ac:dyDescent="0.25">
      <c r="A28" s="7" t="s">
        <v>25</v>
      </c>
      <c r="B28" s="8">
        <v>85774</v>
      </c>
      <c r="C28" s="8">
        <v>26934.166666666668</v>
      </c>
      <c r="D28" s="8">
        <v>100</v>
      </c>
      <c r="E28" s="9">
        <v>15439.32</v>
      </c>
      <c r="F28" s="9">
        <v>4848.1499999999996</v>
      </c>
      <c r="G28" s="10">
        <v>7.5650000000000004</v>
      </c>
      <c r="H28" s="8" t="s">
        <v>27</v>
      </c>
      <c r="I28" s="8" t="s">
        <v>27</v>
      </c>
      <c r="J28" s="8">
        <v>0</v>
      </c>
      <c r="K28" s="9" t="s">
        <v>27</v>
      </c>
      <c r="L28" s="9" t="s">
        <v>27</v>
      </c>
      <c r="M28" s="10"/>
      <c r="N28" s="8" t="str">
        <f t="shared" si="0"/>
        <v xml:space="preserve"> </v>
      </c>
      <c r="O28" s="8" t="str">
        <f t="shared" si="1"/>
        <v xml:space="preserve"> </v>
      </c>
      <c r="P28" s="8">
        <f t="shared" si="2"/>
        <v>0</v>
      </c>
      <c r="Q28" s="9" t="str">
        <f t="shared" si="3"/>
        <v xml:space="preserve"> </v>
      </c>
      <c r="R28" s="9" t="str">
        <f t="shared" si="4"/>
        <v xml:space="preserve"> </v>
      </c>
      <c r="S28" s="10" t="str">
        <f t="shared" si="5"/>
        <v xml:space="preserve"> </v>
      </c>
      <c r="T28" s="11"/>
      <c r="U28" s="11"/>
      <c r="V28" s="11"/>
      <c r="W28" s="12"/>
      <c r="X28" s="12"/>
      <c r="Y28" s="13"/>
      <c r="Z28" s="11"/>
      <c r="AA28" s="11"/>
      <c r="AB28" s="11"/>
      <c r="AC28" s="12"/>
      <c r="AD28" s="12"/>
      <c r="AE28" s="13"/>
      <c r="AF28" s="11"/>
      <c r="AG28" s="11"/>
      <c r="AH28" s="11"/>
      <c r="AI28" s="12"/>
      <c r="AJ28" s="12"/>
      <c r="AK28" s="13"/>
      <c r="AL28" s="11"/>
      <c r="AM28" s="11"/>
      <c r="AN28" s="11"/>
      <c r="AO28" s="12"/>
      <c r="AP28" s="12"/>
      <c r="AQ28" s="13"/>
      <c r="AR28" s="11"/>
      <c r="AS28" s="11"/>
      <c r="AT28" s="11"/>
      <c r="AU28" s="12"/>
      <c r="AV28" s="12"/>
      <c r="AW28" s="13"/>
      <c r="AX28" s="11"/>
      <c r="AY28" s="11"/>
      <c r="AZ28" s="11"/>
      <c r="BA28" s="12"/>
      <c r="BB28" s="12"/>
      <c r="BC28" s="13"/>
      <c r="BD28" s="11"/>
      <c r="BE28" s="11"/>
      <c r="BF28" s="11"/>
      <c r="BG28" s="12"/>
      <c r="BH28" s="12"/>
      <c r="BI28" s="13"/>
      <c r="BJ28" s="11"/>
      <c r="BK28" s="11"/>
      <c r="BL28" s="11"/>
      <c r="BM28" s="12"/>
      <c r="BN28" s="12"/>
      <c r="BO28" s="13"/>
      <c r="BP28" s="11"/>
      <c r="BQ28" s="11"/>
      <c r="BR28" s="11"/>
      <c r="BS28" s="12"/>
      <c r="BT28" s="12"/>
      <c r="BU28" s="13"/>
      <c r="BV28" s="11"/>
      <c r="BW28" s="11"/>
      <c r="BX28" s="11"/>
      <c r="BY28" s="12"/>
      <c r="BZ28" s="12"/>
      <c r="CA28" s="13"/>
      <c r="CB28" s="11"/>
      <c r="CC28" s="11"/>
      <c r="CD28" s="11"/>
      <c r="CE28" s="12"/>
      <c r="CF28" s="12"/>
      <c r="CG28" s="13"/>
      <c r="CJ28" s="11"/>
      <c r="CK28" s="12"/>
      <c r="CL28" s="12"/>
      <c r="CM28" s="13"/>
    </row>
    <row r="29" spans="1:91" x14ac:dyDescent="0.25">
      <c r="A29" s="7" t="s">
        <v>26</v>
      </c>
      <c r="B29" s="8" t="s">
        <v>27</v>
      </c>
      <c r="C29" s="8" t="s">
        <v>27</v>
      </c>
      <c r="D29" s="8"/>
      <c r="E29" s="9" t="s">
        <v>27</v>
      </c>
      <c r="F29" s="9" t="s">
        <v>27</v>
      </c>
      <c r="G29" s="10" t="s">
        <v>27</v>
      </c>
      <c r="H29" s="8" t="s">
        <v>27</v>
      </c>
      <c r="I29" s="8" t="s">
        <v>27</v>
      </c>
      <c r="J29" s="8">
        <v>0</v>
      </c>
      <c r="K29" s="9" t="s">
        <v>27</v>
      </c>
      <c r="L29" s="9" t="s">
        <v>27</v>
      </c>
      <c r="M29" s="10"/>
      <c r="N29" s="8" t="str">
        <f t="shared" si="0"/>
        <v xml:space="preserve"> </v>
      </c>
      <c r="O29" s="8" t="str">
        <f t="shared" si="1"/>
        <v xml:space="preserve"> </v>
      </c>
      <c r="P29" s="8">
        <f t="shared" si="2"/>
        <v>0</v>
      </c>
      <c r="Q29" s="9" t="str">
        <f t="shared" si="3"/>
        <v xml:space="preserve"> </v>
      </c>
      <c r="R29" s="9" t="str">
        <f t="shared" si="4"/>
        <v xml:space="preserve"> </v>
      </c>
      <c r="S29" s="10" t="str">
        <f t="shared" si="5"/>
        <v xml:space="preserve"> </v>
      </c>
      <c r="T29" s="11"/>
      <c r="U29" s="11"/>
      <c r="V29" s="11"/>
      <c r="W29" s="12"/>
      <c r="X29" s="12"/>
      <c r="Y29" s="13"/>
      <c r="Z29" s="11"/>
      <c r="AA29" s="11"/>
      <c r="AB29" s="11"/>
      <c r="AC29" s="12"/>
      <c r="AD29" s="12"/>
      <c r="AE29" s="13"/>
      <c r="AF29" s="11"/>
      <c r="AG29" s="11"/>
      <c r="AH29" s="11"/>
      <c r="AI29" s="12"/>
      <c r="AJ29" s="12"/>
      <c r="AK29" s="13"/>
      <c r="AL29" s="11"/>
      <c r="AM29" s="11"/>
      <c r="AN29" s="11"/>
      <c r="AO29" s="12"/>
      <c r="AP29" s="12"/>
      <c r="AQ29" s="13"/>
      <c r="AR29" s="11"/>
      <c r="AS29" s="11"/>
      <c r="AT29" s="11"/>
      <c r="AU29" s="12"/>
      <c r="AV29" s="12"/>
      <c r="AW29" s="13"/>
      <c r="AX29" s="11"/>
      <c r="AY29" s="11"/>
      <c r="AZ29" s="11"/>
      <c r="BA29" s="12"/>
      <c r="BB29" s="12"/>
      <c r="BC29" s="13"/>
      <c r="BD29" s="11"/>
      <c r="BE29" s="11"/>
      <c r="BF29" s="11"/>
      <c r="BG29" s="12"/>
      <c r="BH29" s="12"/>
      <c r="BI29" s="13"/>
      <c r="BJ29" s="11"/>
      <c r="BK29" s="11"/>
      <c r="BL29" s="11"/>
      <c r="BM29" s="12"/>
      <c r="BN29" s="12"/>
      <c r="BO29" s="13"/>
      <c r="BP29" s="11"/>
      <c r="BQ29" s="11"/>
      <c r="BR29" s="11"/>
      <c r="BS29" s="12"/>
      <c r="BT29" s="12"/>
      <c r="BU29" s="13"/>
      <c r="BV29" s="11"/>
      <c r="BW29" s="11"/>
      <c r="BX29" s="11"/>
      <c r="BY29" s="12"/>
      <c r="BZ29" s="12"/>
      <c r="CA29" s="13"/>
      <c r="CB29" s="11"/>
      <c r="CC29" s="11"/>
      <c r="CD29" s="11"/>
      <c r="CE29" s="12"/>
      <c r="CF29" s="12"/>
      <c r="CG29" s="13"/>
      <c r="CJ29" s="11"/>
      <c r="CK29" s="12"/>
      <c r="CL29" s="12"/>
      <c r="CM29" s="13"/>
    </row>
    <row r="30" spans="1:91" x14ac:dyDescent="0.25">
      <c r="A30" s="7" t="s">
        <v>28</v>
      </c>
      <c r="B30" s="8" t="s">
        <v>27</v>
      </c>
      <c r="C30" s="8" t="s">
        <v>27</v>
      </c>
      <c r="D30" s="8"/>
      <c r="E30" s="9" t="s">
        <v>27</v>
      </c>
      <c r="F30" s="9" t="s">
        <v>27</v>
      </c>
      <c r="G30" s="10" t="s">
        <v>27</v>
      </c>
      <c r="H30" s="8">
        <v>211871.91666666666</v>
      </c>
      <c r="I30" s="8">
        <v>7506.333333333333</v>
      </c>
      <c r="J30" s="8">
        <v>450</v>
      </c>
      <c r="K30" s="9">
        <v>16949.753333333334</v>
      </c>
      <c r="L30" s="9">
        <v>600.50666666666666</v>
      </c>
      <c r="M30" s="10">
        <v>2.592628940730636</v>
      </c>
      <c r="N30" s="8">
        <f t="shared" si="0"/>
        <v>261213.27272727274</v>
      </c>
      <c r="O30" s="8">
        <f t="shared" si="1"/>
        <v>9609.363636363636</v>
      </c>
      <c r="P30" s="8">
        <f t="shared" si="2"/>
        <v>420</v>
      </c>
      <c r="Q30" s="9">
        <f t="shared" si="3"/>
        <v>20523.900000000001</v>
      </c>
      <c r="R30" s="9">
        <f t="shared" si="4"/>
        <v>755.0214285714286</v>
      </c>
      <c r="S30" s="10">
        <f t="shared" si="5"/>
        <v>2.6359717553247508</v>
      </c>
      <c r="T30" s="11">
        <v>244240</v>
      </c>
      <c r="U30" s="11">
        <v>8216</v>
      </c>
      <c r="V30" s="11">
        <v>35</v>
      </c>
      <c r="W30" s="12">
        <v>20934.857142857141</v>
      </c>
      <c r="X30" s="12">
        <v>704.2285714285714</v>
      </c>
      <c r="Y30" s="13">
        <v>2.5292559738387141</v>
      </c>
      <c r="Z30" s="11">
        <v>246840</v>
      </c>
      <c r="AA30" s="11">
        <v>9152</v>
      </c>
      <c r="AB30" s="11">
        <v>41</v>
      </c>
      <c r="AC30" s="12">
        <v>18061.463414634149</v>
      </c>
      <c r="AD30" s="12">
        <v>669.65853658536582</v>
      </c>
      <c r="AE30" s="13">
        <v>2.65</v>
      </c>
      <c r="AF30" s="11">
        <v>357720</v>
      </c>
      <c r="AG30" s="11">
        <v>13266</v>
      </c>
      <c r="AH30" s="11">
        <v>50</v>
      </c>
      <c r="AI30" s="12">
        <v>21463.200000000001</v>
      </c>
      <c r="AJ30" s="12">
        <v>795.96</v>
      </c>
      <c r="AK30" s="13">
        <v>2.65</v>
      </c>
      <c r="AL30" s="11">
        <v>370000</v>
      </c>
      <c r="AM30" s="11">
        <v>13713</v>
      </c>
      <c r="AN30" s="11">
        <v>57</v>
      </c>
      <c r="AO30" s="12">
        <v>19473.68421052632</v>
      </c>
      <c r="AP30" s="12">
        <v>721.73684210526312</v>
      </c>
      <c r="AQ30" s="13">
        <v>2.65</v>
      </c>
      <c r="AR30" s="11">
        <v>319430</v>
      </c>
      <c r="AS30" s="11">
        <v>11839</v>
      </c>
      <c r="AT30" s="11">
        <v>42</v>
      </c>
      <c r="AU30" s="12">
        <v>22816.428571428569</v>
      </c>
      <c r="AV30" s="12">
        <v>845.64285714285722</v>
      </c>
      <c r="AW30" s="13">
        <v>2.65</v>
      </c>
      <c r="AX30" s="11">
        <v>156290</v>
      </c>
      <c r="AY30" s="11">
        <v>5794</v>
      </c>
      <c r="AZ30" s="11">
        <v>22</v>
      </c>
      <c r="BA30" s="12">
        <v>21312.272727272732</v>
      </c>
      <c r="BB30" s="12">
        <v>790.09090909090912</v>
      </c>
      <c r="BC30" s="13">
        <v>2.65</v>
      </c>
      <c r="BD30" s="11">
        <v>215894</v>
      </c>
      <c r="BE30" s="11">
        <v>6504</v>
      </c>
      <c r="BF30" s="11">
        <v>29</v>
      </c>
      <c r="BG30" s="12">
        <v>22333.862068965511</v>
      </c>
      <c r="BH30" s="12">
        <v>672.82758620689651</v>
      </c>
      <c r="BI30" s="13">
        <v>2.392477150102637</v>
      </c>
      <c r="BJ30" s="11">
        <v>246992</v>
      </c>
      <c r="BK30" s="11">
        <v>8638</v>
      </c>
      <c r="BL30" s="11">
        <v>37</v>
      </c>
      <c r="BM30" s="12">
        <v>20026.37837837838</v>
      </c>
      <c r="BN30" s="12">
        <v>700.37837837837833</v>
      </c>
      <c r="BO30" s="13">
        <v>2.5743908274403768</v>
      </c>
      <c r="BP30" s="11">
        <v>234605</v>
      </c>
      <c r="BQ30" s="11">
        <v>10745</v>
      </c>
      <c r="BR30" s="11">
        <v>35</v>
      </c>
      <c r="BS30" s="12">
        <v>20109</v>
      </c>
      <c r="BT30" s="12">
        <v>921</v>
      </c>
      <c r="BU30" s="13">
        <v>2.9495653571905351</v>
      </c>
      <c r="BV30" s="11">
        <v>226535</v>
      </c>
      <c r="BW30" s="11">
        <v>8387</v>
      </c>
      <c r="BX30" s="11">
        <v>34</v>
      </c>
      <c r="BY30" s="12">
        <v>19988.382352941171</v>
      </c>
      <c r="BZ30" s="12">
        <v>740.02941176470586</v>
      </c>
      <c r="CA30" s="13">
        <v>2.65</v>
      </c>
      <c r="CB30" s="11">
        <v>254800</v>
      </c>
      <c r="CC30" s="11">
        <v>9449</v>
      </c>
      <c r="CD30" s="11">
        <v>38</v>
      </c>
      <c r="CE30" s="12">
        <v>20115.78947368421</v>
      </c>
      <c r="CF30" s="12">
        <v>745.97368421052636</v>
      </c>
      <c r="CG30" s="13">
        <v>2.65</v>
      </c>
      <c r="CJ30" s="11"/>
      <c r="CK30" s="12"/>
      <c r="CL30" s="12"/>
      <c r="CM30" s="13"/>
    </row>
    <row r="31" spans="1:91" x14ac:dyDescent="0.25">
      <c r="A31" s="7" t="s">
        <v>29</v>
      </c>
      <c r="B31" s="8">
        <v>349902.18181818182</v>
      </c>
      <c r="C31" s="8">
        <v>12596.363636363636</v>
      </c>
      <c r="D31" s="8">
        <v>764</v>
      </c>
      <c r="E31" s="9">
        <v>15113.575916230366</v>
      </c>
      <c r="F31" s="9">
        <v>544.08376963350793</v>
      </c>
      <c r="G31" s="10">
        <v>2.62</v>
      </c>
      <c r="H31" s="8" t="s">
        <v>27</v>
      </c>
      <c r="I31" s="8" t="s">
        <v>27</v>
      </c>
      <c r="J31" s="8">
        <v>0</v>
      </c>
      <c r="K31" s="9" t="s">
        <v>27</v>
      </c>
      <c r="L31" s="9" t="s">
        <v>27</v>
      </c>
      <c r="M31" s="10"/>
      <c r="N31" s="8" t="str">
        <f t="shared" si="0"/>
        <v xml:space="preserve"> </v>
      </c>
      <c r="O31" s="8" t="str">
        <f t="shared" si="1"/>
        <v xml:space="preserve"> </v>
      </c>
      <c r="P31" s="8">
        <f t="shared" si="2"/>
        <v>0</v>
      </c>
      <c r="Q31" s="9" t="str">
        <f t="shared" si="3"/>
        <v xml:space="preserve"> </v>
      </c>
      <c r="R31" s="9" t="str">
        <f t="shared" si="4"/>
        <v xml:space="preserve"> </v>
      </c>
      <c r="S31" s="10" t="str">
        <f t="shared" si="5"/>
        <v xml:space="preserve"> </v>
      </c>
      <c r="T31" s="11"/>
      <c r="U31" s="11"/>
      <c r="V31" s="11"/>
      <c r="W31" s="12"/>
      <c r="X31" s="12"/>
      <c r="Y31" s="13"/>
      <c r="Z31" s="11"/>
      <c r="AA31" s="11"/>
      <c r="AB31" s="11"/>
      <c r="AC31" s="12"/>
      <c r="AD31" s="12"/>
      <c r="AE31" s="13"/>
      <c r="AF31" s="11"/>
      <c r="AG31" s="11"/>
      <c r="AH31" s="11"/>
      <c r="AI31" s="12"/>
      <c r="AJ31" s="12"/>
      <c r="AK31" s="13"/>
      <c r="AL31" s="11"/>
      <c r="AM31" s="11"/>
      <c r="AN31" s="11"/>
      <c r="AO31" s="12"/>
      <c r="AP31" s="12"/>
      <c r="AQ31" s="13"/>
      <c r="AR31" s="11"/>
      <c r="AS31" s="11"/>
      <c r="AT31" s="11"/>
      <c r="AU31" s="12"/>
      <c r="AV31" s="12"/>
      <c r="AW31" s="13"/>
      <c r="AX31" s="11"/>
      <c r="AY31" s="11"/>
      <c r="AZ31" s="11"/>
      <c r="BA31" s="12"/>
      <c r="BB31" s="12"/>
      <c r="BC31" s="13"/>
      <c r="BD31" s="11"/>
      <c r="BE31" s="11"/>
      <c r="BF31" s="11"/>
      <c r="BG31" s="12"/>
      <c r="BH31" s="12"/>
      <c r="BI31" s="13"/>
      <c r="BJ31" s="11"/>
      <c r="BK31" s="11"/>
      <c r="BL31" s="11"/>
      <c r="BM31" s="12"/>
      <c r="BN31" s="12"/>
      <c r="BO31" s="13"/>
      <c r="BP31" s="11"/>
      <c r="BQ31" s="11"/>
      <c r="BR31" s="11"/>
      <c r="BS31" s="12"/>
      <c r="BT31" s="12"/>
      <c r="BU31" s="13"/>
      <c r="BV31" s="11"/>
      <c r="BW31" s="11"/>
      <c r="BX31" s="11"/>
      <c r="BY31" s="12"/>
      <c r="BZ31" s="12"/>
      <c r="CA31" s="13"/>
      <c r="CB31" s="11"/>
      <c r="CC31" s="11"/>
      <c r="CD31" s="11"/>
      <c r="CE31" s="12"/>
      <c r="CF31" s="12"/>
      <c r="CG31" s="13"/>
      <c r="CJ31" s="11"/>
      <c r="CK31" s="12"/>
      <c r="CL31" s="12"/>
      <c r="CM31" s="13"/>
    </row>
    <row r="32" spans="1:91" x14ac:dyDescent="0.25">
      <c r="A32" s="7" t="s">
        <v>30</v>
      </c>
      <c r="B32" s="8">
        <v>219399.54545454544</v>
      </c>
      <c r="C32" s="8">
        <v>3240.4545454545455</v>
      </c>
      <c r="D32" s="8">
        <v>648</v>
      </c>
      <c r="E32" s="9">
        <v>11173.125</v>
      </c>
      <c r="F32" s="9">
        <v>165.02314814814815</v>
      </c>
      <c r="G32" s="10">
        <v>1.6963636363636363</v>
      </c>
      <c r="H32" s="8">
        <v>39162</v>
      </c>
      <c r="I32" s="8">
        <v>691.85714285714289</v>
      </c>
      <c r="J32" s="8">
        <v>47</v>
      </c>
      <c r="K32" s="9">
        <v>17497.91489361702</v>
      </c>
      <c r="L32" s="9">
        <v>309.12765957446811</v>
      </c>
      <c r="M32" s="10">
        <v>1.8698020900963701</v>
      </c>
      <c r="N32" s="8">
        <f t="shared" si="0"/>
        <v>222646.18181818182</v>
      </c>
      <c r="O32" s="8">
        <f t="shared" si="1"/>
        <v>3940.2727272727275</v>
      </c>
      <c r="P32" s="8">
        <f t="shared" si="2"/>
        <v>420</v>
      </c>
      <c r="Q32" s="9">
        <f t="shared" si="3"/>
        <v>17493.62857142857</v>
      </c>
      <c r="R32" s="9">
        <f t="shared" si="4"/>
        <v>309.59285714285716</v>
      </c>
      <c r="S32" s="10">
        <f t="shared" si="5"/>
        <v>1.9006605013195701</v>
      </c>
      <c r="T32" s="11">
        <v>117841</v>
      </c>
      <c r="U32" s="11">
        <v>2792</v>
      </c>
      <c r="V32" s="11">
        <v>25</v>
      </c>
      <c r="W32" s="12">
        <v>14140.92</v>
      </c>
      <c r="X32" s="12">
        <v>335.04</v>
      </c>
      <c r="Y32" s="13">
        <v>2.1722341955212339</v>
      </c>
      <c r="Z32" s="11">
        <v>139071</v>
      </c>
      <c r="AA32" s="11">
        <v>2863</v>
      </c>
      <c r="AB32" s="11">
        <v>31</v>
      </c>
      <c r="AC32" s="12">
        <v>13458.483870967741</v>
      </c>
      <c r="AD32" s="12">
        <v>277.06451612903231</v>
      </c>
      <c r="AE32" s="13">
        <v>2.0249039090005461</v>
      </c>
      <c r="AF32" s="11">
        <v>125175</v>
      </c>
      <c r="AG32" s="11">
        <v>2267</v>
      </c>
      <c r="AH32" s="11">
        <v>35</v>
      </c>
      <c r="AI32" s="12">
        <v>10729.28571428571</v>
      </c>
      <c r="AJ32" s="12">
        <v>194.31428571428569</v>
      </c>
      <c r="AK32" s="13">
        <v>1.900539592473784</v>
      </c>
      <c r="AL32" s="11">
        <v>245645</v>
      </c>
      <c r="AM32" s="11">
        <v>4260</v>
      </c>
      <c r="AN32" s="11">
        <v>42</v>
      </c>
      <c r="AO32" s="12">
        <v>17546.071428571431</v>
      </c>
      <c r="AP32" s="12">
        <v>304.28571428571428</v>
      </c>
      <c r="AQ32" s="13">
        <v>1.8571674837538079</v>
      </c>
      <c r="AR32" s="11">
        <v>164217</v>
      </c>
      <c r="AS32" s="11">
        <v>2967</v>
      </c>
      <c r="AT32" s="11">
        <v>29</v>
      </c>
      <c r="AU32" s="12">
        <v>16987.96551724138</v>
      </c>
      <c r="AV32" s="12">
        <v>306.93103448275861</v>
      </c>
      <c r="AW32" s="13">
        <v>1.8902368202927231</v>
      </c>
      <c r="AX32" s="11">
        <v>261415</v>
      </c>
      <c r="AY32" s="11">
        <v>5267</v>
      </c>
      <c r="AZ32" s="11">
        <v>46</v>
      </c>
      <c r="BA32" s="12">
        <v>17048.804347826092</v>
      </c>
      <c r="BB32" s="12">
        <v>343.5</v>
      </c>
      <c r="BC32" s="13">
        <v>2.002643897307637</v>
      </c>
      <c r="BD32" s="11">
        <v>310679</v>
      </c>
      <c r="BE32" s="11">
        <v>5079</v>
      </c>
      <c r="BF32" s="11">
        <v>52</v>
      </c>
      <c r="BG32" s="12">
        <v>17923.788461538461</v>
      </c>
      <c r="BH32" s="12">
        <v>293.01923076923077</v>
      </c>
      <c r="BI32" s="13">
        <v>1.802097062523538</v>
      </c>
      <c r="BJ32" s="11">
        <v>196013</v>
      </c>
      <c r="BK32" s="11">
        <v>3621</v>
      </c>
      <c r="BL32" s="11">
        <v>33</v>
      </c>
      <c r="BM32" s="12">
        <v>17819.36363636364</v>
      </c>
      <c r="BN32" s="12">
        <v>329.18181818181819</v>
      </c>
      <c r="BO32" s="13">
        <v>1.9126029888869871</v>
      </c>
      <c r="BP32" s="11">
        <v>281012</v>
      </c>
      <c r="BQ32" s="11">
        <v>5345</v>
      </c>
      <c r="BR32" s="11">
        <v>41</v>
      </c>
      <c r="BS32" s="12">
        <v>20561.853658536591</v>
      </c>
      <c r="BT32" s="12">
        <v>391.09756097560978</v>
      </c>
      <c r="BU32" s="13">
        <v>1.9385951164642341</v>
      </c>
      <c r="BV32" s="11">
        <v>273290</v>
      </c>
      <c r="BW32" s="11">
        <v>3844</v>
      </c>
      <c r="BX32" s="11">
        <v>41</v>
      </c>
      <c r="BY32" s="12">
        <v>19996.82926829268</v>
      </c>
      <c r="BZ32" s="12">
        <v>281.26829268292681</v>
      </c>
      <c r="CA32" s="13">
        <v>1.6778755599484509</v>
      </c>
      <c r="CB32" s="11">
        <v>334750</v>
      </c>
      <c r="CC32" s="11">
        <v>5038</v>
      </c>
      <c r="CD32" s="11">
        <v>45</v>
      </c>
      <c r="CE32" s="12">
        <v>22316.666666666661</v>
      </c>
      <c r="CF32" s="12">
        <v>335.86666666666667</v>
      </c>
      <c r="CG32" s="13">
        <v>1.728368888342328</v>
      </c>
      <c r="CJ32" s="11"/>
      <c r="CK32" s="12"/>
      <c r="CL32" s="12"/>
      <c r="CM32" s="13"/>
    </row>
    <row r="33" spans="1:91" x14ac:dyDescent="0.25">
      <c r="A33" s="7" t="s">
        <v>31</v>
      </c>
      <c r="B33" s="8">
        <v>254519</v>
      </c>
      <c r="C33" s="8">
        <v>20573.090909090908</v>
      </c>
      <c r="D33" s="8">
        <v>736</v>
      </c>
      <c r="E33" s="9">
        <v>11411.857336956522</v>
      </c>
      <c r="F33" s="9">
        <v>922.43478260869551</v>
      </c>
      <c r="G33" s="10">
        <v>3.9863636363636363</v>
      </c>
      <c r="H33" s="8">
        <v>221629.16666666666</v>
      </c>
      <c r="I33" s="8">
        <v>18527.833333333332</v>
      </c>
      <c r="J33" s="8">
        <v>649</v>
      </c>
      <c r="K33" s="9">
        <v>12293.759630200309</v>
      </c>
      <c r="L33" s="9">
        <v>1027.738058551618</v>
      </c>
      <c r="M33" s="10">
        <v>4.0902313484221953</v>
      </c>
      <c r="N33" s="8">
        <f t="shared" si="0"/>
        <v>263592</v>
      </c>
      <c r="O33" s="8">
        <f t="shared" si="1"/>
        <v>21585.363636363636</v>
      </c>
      <c r="P33" s="8">
        <f t="shared" si="2"/>
        <v>630</v>
      </c>
      <c r="Q33" s="9">
        <f t="shared" si="3"/>
        <v>13807.199999999999</v>
      </c>
      <c r="R33" s="9">
        <f t="shared" si="4"/>
        <v>1130.6619047619047</v>
      </c>
      <c r="S33" s="10">
        <f t="shared" si="5"/>
        <v>4.0603194285579898</v>
      </c>
      <c r="T33" s="11">
        <v>291624</v>
      </c>
      <c r="U33" s="11">
        <v>16831</v>
      </c>
      <c r="V33" s="11">
        <v>39</v>
      </c>
      <c r="W33" s="12">
        <v>22432.61538461539</v>
      </c>
      <c r="X33" s="12">
        <v>1294.6923076923081</v>
      </c>
      <c r="Y33" s="13">
        <v>3.4211931889399581</v>
      </c>
      <c r="Z33" s="11">
        <v>211294</v>
      </c>
      <c r="AA33" s="11">
        <v>18478</v>
      </c>
      <c r="AB33" s="11">
        <v>63</v>
      </c>
      <c r="AC33" s="12">
        <v>10061.61904761905</v>
      </c>
      <c r="AD33" s="12">
        <v>879.90476190476193</v>
      </c>
      <c r="AE33" s="13">
        <v>4.1734228438478844</v>
      </c>
      <c r="AF33" s="11">
        <v>272721</v>
      </c>
      <c r="AG33" s="11">
        <v>20339</v>
      </c>
      <c r="AH33" s="11">
        <v>58</v>
      </c>
      <c r="AI33" s="12">
        <v>14106.258620689659</v>
      </c>
      <c r="AJ33" s="12">
        <v>1052.01724137931</v>
      </c>
      <c r="AK33" s="13">
        <v>3.8610933365167002</v>
      </c>
      <c r="AL33" s="11">
        <v>273499</v>
      </c>
      <c r="AM33" s="11">
        <v>25348</v>
      </c>
      <c r="AN33" s="11">
        <v>66</v>
      </c>
      <c r="AO33" s="12">
        <v>12431.77272727273</v>
      </c>
      <c r="AP33" s="12">
        <v>1152.181818181818</v>
      </c>
      <c r="AQ33" s="13">
        <v>4.3162471140875294</v>
      </c>
      <c r="AR33" s="11">
        <v>327298</v>
      </c>
      <c r="AS33" s="11">
        <v>25327</v>
      </c>
      <c r="AT33" s="11">
        <v>71</v>
      </c>
      <c r="AU33" s="12">
        <v>13829.492957746481</v>
      </c>
      <c r="AV33" s="12">
        <v>1070.1549295774651</v>
      </c>
      <c r="AW33" s="13">
        <v>3.9270064200008532</v>
      </c>
      <c r="AX33" s="11">
        <v>290354</v>
      </c>
      <c r="AY33" s="11">
        <v>22479</v>
      </c>
      <c r="AZ33" s="11">
        <v>61</v>
      </c>
      <c r="BA33" s="12">
        <v>14279.70491803279</v>
      </c>
      <c r="BB33" s="12">
        <v>1105.524590163935</v>
      </c>
      <c r="BC33" s="13">
        <v>3.9332921495842741</v>
      </c>
      <c r="BD33" s="11">
        <v>267438</v>
      </c>
      <c r="BE33" s="11">
        <v>25100</v>
      </c>
      <c r="BF33" s="11">
        <v>65</v>
      </c>
      <c r="BG33" s="12">
        <v>12343.292307692311</v>
      </c>
      <c r="BH33" s="12">
        <v>1158.4615384615381</v>
      </c>
      <c r="BI33" s="13">
        <v>4.3252354420583199</v>
      </c>
      <c r="BJ33" s="11">
        <v>155400</v>
      </c>
      <c r="BK33" s="11">
        <v>11860</v>
      </c>
      <c r="BL33" s="11">
        <v>36</v>
      </c>
      <c r="BM33" s="12">
        <v>12950</v>
      </c>
      <c r="BN33" s="12">
        <v>988.33333333333337</v>
      </c>
      <c r="BO33" s="13">
        <v>3.9060584377739431</v>
      </c>
      <c r="BP33" s="11">
        <v>166130</v>
      </c>
      <c r="BQ33" s="11">
        <v>17965</v>
      </c>
      <c r="BR33" s="11">
        <v>45</v>
      </c>
      <c r="BS33" s="12">
        <v>11075.33333333333</v>
      </c>
      <c r="BT33" s="12">
        <v>1197.666666666667</v>
      </c>
      <c r="BU33" s="13">
        <v>4.6427147156353579</v>
      </c>
      <c r="BV33" s="11">
        <v>358190</v>
      </c>
      <c r="BW33" s="11">
        <v>30011</v>
      </c>
      <c r="BX33" s="11">
        <v>68</v>
      </c>
      <c r="BY33" s="12">
        <v>15802.5</v>
      </c>
      <c r="BZ33" s="12">
        <v>1324.0147058823529</v>
      </c>
      <c r="CA33" s="13">
        <v>4.084475145241325</v>
      </c>
      <c r="CB33" s="11">
        <v>285564</v>
      </c>
      <c r="CC33" s="11">
        <v>23701</v>
      </c>
      <c r="CD33" s="11">
        <v>58</v>
      </c>
      <c r="CE33" s="12">
        <v>14770.551724137929</v>
      </c>
      <c r="CF33" s="12">
        <v>1225.9137931034479</v>
      </c>
      <c r="CG33" s="13">
        <v>4.0727749204517423</v>
      </c>
      <c r="CJ33" s="11"/>
      <c r="CK33" s="12"/>
      <c r="CL33" s="12"/>
      <c r="CM33" s="13"/>
    </row>
    <row r="34" spans="1:91" x14ac:dyDescent="0.25">
      <c r="A34" s="7" t="s">
        <v>32</v>
      </c>
      <c r="B34" s="8">
        <v>220806.18181818182</v>
      </c>
      <c r="C34" s="8">
        <v>3558.090909090909</v>
      </c>
      <c r="D34" s="8">
        <v>655</v>
      </c>
      <c r="E34" s="9">
        <v>11124.586259541984</v>
      </c>
      <c r="F34" s="9">
        <v>179.26259541984734</v>
      </c>
      <c r="G34" s="10">
        <v>1.7890909090909091</v>
      </c>
      <c r="H34" s="8">
        <v>65328</v>
      </c>
      <c r="I34" s="8">
        <v>852</v>
      </c>
      <c r="J34" s="8">
        <v>8</v>
      </c>
      <c r="K34" s="9">
        <v>24498</v>
      </c>
      <c r="L34" s="9">
        <v>319.5</v>
      </c>
      <c r="M34" s="10">
        <v>1.6</v>
      </c>
      <c r="N34" s="8" t="str">
        <f t="shared" si="0"/>
        <v xml:space="preserve"> </v>
      </c>
      <c r="O34" s="8" t="str">
        <f t="shared" si="1"/>
        <v xml:space="preserve"> </v>
      </c>
      <c r="P34" s="8">
        <f t="shared" si="2"/>
        <v>0</v>
      </c>
      <c r="Q34" s="9" t="str">
        <f t="shared" si="3"/>
        <v xml:space="preserve"> </v>
      </c>
      <c r="R34" s="9" t="str">
        <f t="shared" si="4"/>
        <v xml:space="preserve"> </v>
      </c>
      <c r="S34" s="10" t="str">
        <f t="shared" si="5"/>
        <v xml:space="preserve"> </v>
      </c>
      <c r="T34" s="11"/>
      <c r="U34" s="11"/>
      <c r="V34" s="11"/>
      <c r="W34" s="12"/>
      <c r="X34" s="12"/>
      <c r="Y34" s="13"/>
      <c r="Z34" s="11"/>
      <c r="AA34" s="11"/>
      <c r="AB34" s="11"/>
      <c r="AC34" s="12"/>
      <c r="AD34" s="12"/>
      <c r="AE34" s="13"/>
      <c r="AF34" s="11"/>
      <c r="AG34" s="11"/>
      <c r="AH34" s="11"/>
      <c r="AI34" s="12"/>
      <c r="AJ34" s="12"/>
      <c r="AK34" s="13"/>
      <c r="AL34" s="11"/>
      <c r="AM34" s="11"/>
      <c r="AN34" s="11"/>
      <c r="AO34" s="12"/>
      <c r="AP34" s="12"/>
      <c r="AQ34" s="13"/>
      <c r="AR34" s="11"/>
      <c r="AS34" s="11"/>
      <c r="AT34" s="11"/>
      <c r="AU34" s="12"/>
      <c r="AV34" s="12"/>
      <c r="AW34" s="13"/>
      <c r="AX34" s="11"/>
      <c r="AY34" s="11"/>
      <c r="AZ34" s="11"/>
      <c r="BA34" s="12"/>
      <c r="BB34" s="12"/>
      <c r="BC34" s="13"/>
      <c r="BD34" s="11"/>
      <c r="BE34" s="11"/>
      <c r="BF34" s="11"/>
      <c r="BG34" s="12"/>
      <c r="BH34" s="12"/>
      <c r="BI34" s="13"/>
      <c r="BJ34" s="11"/>
      <c r="BK34" s="11"/>
      <c r="BL34" s="11"/>
      <c r="BM34" s="12"/>
      <c r="BN34" s="12"/>
      <c r="BO34" s="13"/>
      <c r="BP34" s="11"/>
      <c r="BQ34" s="11"/>
      <c r="BR34" s="11"/>
      <c r="BS34" s="12"/>
      <c r="BT34" s="12"/>
      <c r="BU34" s="13"/>
      <c r="BV34" s="11"/>
      <c r="BW34" s="11"/>
      <c r="BX34" s="11"/>
      <c r="BY34" s="12"/>
      <c r="BZ34" s="12"/>
      <c r="CA34" s="13"/>
      <c r="CB34" s="11"/>
      <c r="CC34" s="11"/>
      <c r="CD34" s="11"/>
      <c r="CE34" s="12"/>
      <c r="CF34" s="12"/>
      <c r="CG34" s="13"/>
      <c r="CJ34" s="11"/>
      <c r="CK34" s="12"/>
      <c r="CL34" s="12"/>
      <c r="CM34" s="13"/>
    </row>
    <row r="35" spans="1:91" x14ac:dyDescent="0.25">
      <c r="A35" s="7" t="s">
        <v>33</v>
      </c>
      <c r="B35" s="8">
        <v>197276.45454545456</v>
      </c>
      <c r="C35" s="8">
        <v>18801.81818181818</v>
      </c>
      <c r="D35" s="8">
        <v>581</v>
      </c>
      <c r="E35" s="9">
        <v>11205.030981067126</v>
      </c>
      <c r="F35" s="9">
        <v>1067.9173838209983</v>
      </c>
      <c r="G35" s="10">
        <v>4.2163636363636368</v>
      </c>
      <c r="H35" s="8">
        <v>242502.625</v>
      </c>
      <c r="I35" s="8">
        <v>23288.666666666668</v>
      </c>
      <c r="J35" s="8">
        <v>699</v>
      </c>
      <c r="K35" s="9">
        <v>12489.405579399143</v>
      </c>
      <c r="L35" s="9">
        <v>1199.4163090128754</v>
      </c>
      <c r="M35" s="10">
        <v>4.3772463718368106</v>
      </c>
      <c r="N35" s="8">
        <f t="shared" ref="N35:N62" si="6">IFERROR(AVERAGE(T35,Z35,AF35,AL35,AR35,AX35,BD35,BJ35,BP35,BV35,CB35,CH35)," ")</f>
        <v>290123.72727272729</v>
      </c>
      <c r="O35" s="8">
        <f t="shared" ref="O35:O62" si="7">IFERROR(AVERAGE(U35,AA35,AG35,AM35,AS35,AY35,BE35,BK35,BQ35,BW35,CC35,CI35)," ")</f>
        <v>26333.363636363636</v>
      </c>
      <c r="P35" s="8">
        <f t="shared" ref="P35:P62" si="8">IFERROR(SUM(V35,AB35,AH35,AN35,AT35,AZ35,BF35,BL35,BR35,BX35,CD35,CJ35)," ")</f>
        <v>684</v>
      </c>
      <c r="Q35" s="9">
        <f t="shared" ref="Q35:Q62" si="9">IFERROR(SUM(T35,Z35,AF35,AL35,AR35,AX35,BD35,BJ35,BP35,BV35,CB35,CH35)/P35*3," ")</f>
        <v>13997.197368421053</v>
      </c>
      <c r="R35" s="9">
        <f t="shared" ref="R35:R62" si="10">IFERROR(SUM(U35,AA35,AG35,AM35,AS35,AY35,BE35,BK35,BQ35,BW35,CC35,CI35)/P35*3," ")</f>
        <v>1270.469298245614</v>
      </c>
      <c r="S35" s="10">
        <f t="shared" ref="S35:S62" si="11">IFERROR(AVERAGE(Y35,AE35,AK35,AQ35,AW35,BC35,BI35,BO35,BU35,CA35,CG35,CM35)," ")</f>
        <v>4.2571860240728139</v>
      </c>
      <c r="T35" s="11">
        <v>279536</v>
      </c>
      <c r="U35" s="11">
        <v>19278</v>
      </c>
      <c r="V35" s="11">
        <v>58</v>
      </c>
      <c r="W35" s="12">
        <v>14458.758620689659</v>
      </c>
      <c r="X35" s="12">
        <v>997.13793103448268</v>
      </c>
      <c r="Y35" s="13">
        <v>3.706288586520488</v>
      </c>
      <c r="Z35" s="11">
        <v>269355</v>
      </c>
      <c r="AA35" s="11">
        <v>24264</v>
      </c>
      <c r="AB35" s="11">
        <v>69</v>
      </c>
      <c r="AC35" s="12">
        <v>11711.08695652174</v>
      </c>
      <c r="AD35" s="12">
        <v>1054.95652173913</v>
      </c>
      <c r="AE35" s="13">
        <v>4.2348273410878026</v>
      </c>
      <c r="AF35" s="11">
        <v>304490</v>
      </c>
      <c r="AG35" s="11">
        <v>26121</v>
      </c>
      <c r="AH35" s="11">
        <v>55</v>
      </c>
      <c r="AI35" s="12">
        <v>16608.54545454546</v>
      </c>
      <c r="AJ35" s="12">
        <v>1424.7818181818179</v>
      </c>
      <c r="AK35" s="13">
        <v>4.1362194075296026</v>
      </c>
      <c r="AL35" s="11">
        <v>246689</v>
      </c>
      <c r="AM35" s="11">
        <v>24397</v>
      </c>
      <c r="AN35" s="11">
        <v>64</v>
      </c>
      <c r="AO35" s="12">
        <v>11563.546875</v>
      </c>
      <c r="AP35" s="12">
        <v>1143.609375</v>
      </c>
      <c r="AQ35" s="13">
        <v>4.4418750538365162</v>
      </c>
      <c r="AR35" s="11">
        <v>316697</v>
      </c>
      <c r="AS35" s="11">
        <v>27287</v>
      </c>
      <c r="AT35" s="11">
        <v>66</v>
      </c>
      <c r="AU35" s="12">
        <v>14395.31818181818</v>
      </c>
      <c r="AV35" s="12">
        <v>1240.318181818182</v>
      </c>
      <c r="AW35" s="13">
        <v>4.1422356938703038</v>
      </c>
      <c r="AX35" s="11">
        <v>251897</v>
      </c>
      <c r="AY35" s="11">
        <v>27893</v>
      </c>
      <c r="AZ35" s="11">
        <v>63</v>
      </c>
      <c r="BA35" s="12">
        <v>11995.09523809524</v>
      </c>
      <c r="BB35" s="12">
        <v>1328.238095238095</v>
      </c>
      <c r="BC35" s="13">
        <v>4.6958372423201098</v>
      </c>
      <c r="BD35" s="11">
        <v>238196</v>
      </c>
      <c r="BE35" s="11">
        <v>20112</v>
      </c>
      <c r="BF35" s="11">
        <v>65</v>
      </c>
      <c r="BG35" s="12">
        <v>10993.66153846154</v>
      </c>
      <c r="BH35" s="12">
        <v>928.24615384615379</v>
      </c>
      <c r="BI35" s="13">
        <v>4.1134670111704361</v>
      </c>
      <c r="BJ35" s="11">
        <v>298555</v>
      </c>
      <c r="BK35" s="11">
        <v>26065</v>
      </c>
      <c r="BL35" s="11">
        <v>55</v>
      </c>
      <c r="BM35" s="12">
        <v>16284.81818181818</v>
      </c>
      <c r="BN35" s="12">
        <v>1421.727272727273</v>
      </c>
      <c r="BO35" s="13">
        <v>4.1704574704766557</v>
      </c>
      <c r="BP35" s="11">
        <v>257364</v>
      </c>
      <c r="BQ35" s="11">
        <v>29952</v>
      </c>
      <c r="BR35" s="11">
        <v>54</v>
      </c>
      <c r="BS35" s="12">
        <v>14298</v>
      </c>
      <c r="BT35" s="12">
        <v>1664</v>
      </c>
      <c r="BU35" s="13">
        <v>4.8163478701515361</v>
      </c>
      <c r="BV35" s="11">
        <v>380467</v>
      </c>
      <c r="BW35" s="11">
        <v>35546</v>
      </c>
      <c r="BX35" s="11">
        <v>72</v>
      </c>
      <c r="BY35" s="12">
        <v>15852.79166666667</v>
      </c>
      <c r="BZ35" s="12">
        <v>1481.083333333333</v>
      </c>
      <c r="CA35" s="13">
        <v>4.3138618812764964</v>
      </c>
      <c r="CB35" s="11">
        <v>348115</v>
      </c>
      <c r="CC35" s="11">
        <v>28752</v>
      </c>
      <c r="CD35" s="11">
        <v>63</v>
      </c>
      <c r="CE35" s="12">
        <v>16576.90476190476</v>
      </c>
      <c r="CF35" s="12">
        <v>1369.1428571428571</v>
      </c>
      <c r="CG35" s="13">
        <v>4.0576287065610064</v>
      </c>
      <c r="CJ35" s="11"/>
      <c r="CK35" s="12"/>
      <c r="CL35" s="12"/>
      <c r="CM35" s="13"/>
    </row>
    <row r="36" spans="1:91" x14ac:dyDescent="0.25">
      <c r="A36" s="7" t="s">
        <v>34</v>
      </c>
      <c r="B36" s="8">
        <v>128779.18181818182</v>
      </c>
      <c r="C36" s="8">
        <v>9051.454545454546</v>
      </c>
      <c r="D36" s="8">
        <v>348</v>
      </c>
      <c r="E36" s="9">
        <v>12211.818965517241</v>
      </c>
      <c r="F36" s="9">
        <v>858.32758620689651</v>
      </c>
      <c r="G36" s="10">
        <v>3.7854545454545456</v>
      </c>
      <c r="H36" s="8">
        <v>87201.090909090912</v>
      </c>
      <c r="I36" s="8">
        <v>6472.272727272727</v>
      </c>
      <c r="J36" s="8">
        <v>206</v>
      </c>
      <c r="K36" s="9">
        <v>13969.106796116504</v>
      </c>
      <c r="L36" s="9">
        <v>1036.8203883495146</v>
      </c>
      <c r="M36" s="10">
        <v>3.8534161172843708</v>
      </c>
      <c r="N36" s="8">
        <f t="shared" si="6"/>
        <v>65258.375</v>
      </c>
      <c r="O36" s="8">
        <f t="shared" si="7"/>
        <v>4155.875</v>
      </c>
      <c r="P36" s="8">
        <f t="shared" si="8"/>
        <v>91</v>
      </c>
      <c r="Q36" s="9">
        <f t="shared" si="9"/>
        <v>17211</v>
      </c>
      <c r="R36" s="9">
        <f t="shared" si="10"/>
        <v>1096.0549450549452</v>
      </c>
      <c r="S36" s="10">
        <f t="shared" si="11"/>
        <v>6.2591940637615542</v>
      </c>
      <c r="T36" s="11">
        <v>121136</v>
      </c>
      <c r="U36" s="11">
        <v>8198</v>
      </c>
      <c r="V36" s="11">
        <v>24</v>
      </c>
      <c r="W36" s="12">
        <v>15142</v>
      </c>
      <c r="X36" s="12">
        <v>1024.75</v>
      </c>
      <c r="Y36" s="13">
        <v>3.6731855960993709</v>
      </c>
      <c r="Z36" s="11">
        <v>13098</v>
      </c>
      <c r="AA36" s="11">
        <v>510</v>
      </c>
      <c r="AB36" s="11">
        <v>2</v>
      </c>
      <c r="AC36" s="12">
        <v>19647</v>
      </c>
      <c r="AD36" s="12">
        <v>765</v>
      </c>
      <c r="AE36" s="13">
        <v>2.8</v>
      </c>
      <c r="AF36" s="11"/>
      <c r="AG36" s="11"/>
      <c r="AH36" s="11"/>
      <c r="AI36" s="12"/>
      <c r="AJ36" s="12"/>
      <c r="AK36" s="13"/>
      <c r="AL36" s="11">
        <v>49766</v>
      </c>
      <c r="AM36" s="11">
        <v>4057</v>
      </c>
      <c r="AN36" s="11">
        <v>14</v>
      </c>
      <c r="AO36" s="12">
        <v>10664.142857142861</v>
      </c>
      <c r="AP36" s="12">
        <v>869.35714285714289</v>
      </c>
      <c r="AQ36" s="13">
        <v>4.0359633323525177</v>
      </c>
      <c r="AR36" s="11"/>
      <c r="AS36" s="11"/>
      <c r="AT36" s="11"/>
      <c r="AU36" s="12"/>
      <c r="AV36" s="12"/>
      <c r="AW36" s="13"/>
      <c r="AX36" s="11">
        <v>146917</v>
      </c>
      <c r="AY36" s="11">
        <v>10559</v>
      </c>
      <c r="AZ36" s="11">
        <v>34</v>
      </c>
      <c r="BA36" s="12">
        <v>12963.26470588235</v>
      </c>
      <c r="BB36" s="12">
        <v>931.67647058823536</v>
      </c>
      <c r="BC36" s="13">
        <v>3.7868361034152151</v>
      </c>
      <c r="BD36" s="11">
        <v>440</v>
      </c>
      <c r="BE36" s="11">
        <v>1107</v>
      </c>
      <c r="BF36" s="11">
        <v>1</v>
      </c>
      <c r="BG36" s="12">
        <v>1320</v>
      </c>
      <c r="BH36" s="12">
        <v>3321</v>
      </c>
      <c r="BI36" s="13">
        <v>26</v>
      </c>
      <c r="BJ36" s="11">
        <v>125680</v>
      </c>
      <c r="BK36" s="11">
        <v>4660</v>
      </c>
      <c r="BL36" s="11">
        <v>2</v>
      </c>
      <c r="BM36" s="12">
        <v>188520</v>
      </c>
      <c r="BN36" s="12">
        <v>6990</v>
      </c>
      <c r="BO36" s="13">
        <v>2.65</v>
      </c>
      <c r="BP36" s="11">
        <v>33688</v>
      </c>
      <c r="BQ36" s="11">
        <v>1641</v>
      </c>
      <c r="BR36" s="11">
        <v>6</v>
      </c>
      <c r="BS36" s="12">
        <v>16844</v>
      </c>
      <c r="BT36" s="12">
        <v>820.5</v>
      </c>
      <c r="BU36" s="13">
        <v>3.1274660182141552</v>
      </c>
      <c r="BV36" s="11">
        <v>31342</v>
      </c>
      <c r="BW36" s="11">
        <v>2515</v>
      </c>
      <c r="BX36" s="11">
        <v>8</v>
      </c>
      <c r="BY36" s="12">
        <v>11753.25</v>
      </c>
      <c r="BZ36" s="12">
        <v>943.125</v>
      </c>
      <c r="CA36" s="13">
        <v>4.0001014600111722</v>
      </c>
      <c r="CB36" s="11"/>
      <c r="CC36" s="11"/>
      <c r="CD36" s="11"/>
      <c r="CE36" s="12"/>
      <c r="CF36" s="12"/>
      <c r="CG36" s="13"/>
      <c r="CJ36" s="11"/>
      <c r="CK36" s="12"/>
      <c r="CL36" s="12"/>
      <c r="CM36" s="13"/>
    </row>
    <row r="37" spans="1:91" ht="12.75" customHeight="1" x14ac:dyDescent="0.25">
      <c r="A37" s="7" t="s">
        <v>35</v>
      </c>
      <c r="B37" s="8">
        <v>136801.36363636365</v>
      </c>
      <c r="C37" s="8">
        <v>13816.09090909091</v>
      </c>
      <c r="D37" s="8">
        <v>398</v>
      </c>
      <c r="E37" s="9">
        <v>11342.826633165829</v>
      </c>
      <c r="F37" s="9">
        <v>1145.5552763819096</v>
      </c>
      <c r="G37" s="10">
        <v>4.4245454545454548</v>
      </c>
      <c r="H37" s="8">
        <v>272027.33333333331</v>
      </c>
      <c r="I37" s="8">
        <v>61068.25</v>
      </c>
      <c r="J37" s="8">
        <v>717</v>
      </c>
      <c r="K37" s="9">
        <v>13658.276150627615</v>
      </c>
      <c r="L37" s="9">
        <v>3066.1882845188284</v>
      </c>
      <c r="M37" s="10">
        <v>6.5803730939822396</v>
      </c>
      <c r="N37" s="8">
        <f t="shared" si="6"/>
        <v>252787.33333333334</v>
      </c>
      <c r="O37" s="8">
        <f t="shared" si="7"/>
        <v>71738.222222222219</v>
      </c>
      <c r="P37" s="8">
        <f t="shared" si="8"/>
        <v>523</v>
      </c>
      <c r="Q37" s="9">
        <f t="shared" si="9"/>
        <v>13050.206500956025</v>
      </c>
      <c r="R37" s="9">
        <f t="shared" si="10"/>
        <v>3703.5028680688338</v>
      </c>
      <c r="S37" s="10">
        <f t="shared" si="11"/>
        <v>6.8446844814643253</v>
      </c>
      <c r="T37" s="11">
        <v>300561</v>
      </c>
      <c r="U37" s="11">
        <v>44258</v>
      </c>
      <c r="V37" s="11">
        <v>70</v>
      </c>
      <c r="W37" s="12">
        <v>12881.185714285721</v>
      </c>
      <c r="X37" s="12">
        <v>1896.7714285714289</v>
      </c>
      <c r="Y37" s="13">
        <v>5.3346491385460366</v>
      </c>
      <c r="Z37" s="11">
        <v>297776</v>
      </c>
      <c r="AA37" s="11">
        <v>83168</v>
      </c>
      <c r="AB37" s="11">
        <v>73</v>
      </c>
      <c r="AC37" s="12">
        <v>12237.369863013701</v>
      </c>
      <c r="AD37" s="12">
        <v>3417.8630136986299</v>
      </c>
      <c r="AE37" s="13">
        <v>7.3168261055211552</v>
      </c>
      <c r="AF37" s="11">
        <v>236831</v>
      </c>
      <c r="AG37" s="11">
        <v>80350</v>
      </c>
      <c r="AH37" s="11">
        <v>61</v>
      </c>
      <c r="AI37" s="12">
        <v>11647.426229508201</v>
      </c>
      <c r="AJ37" s="12">
        <v>3951.6393442622948</v>
      </c>
      <c r="AK37" s="13">
        <v>8.0590199762009682</v>
      </c>
      <c r="AL37" s="11">
        <v>341503</v>
      </c>
      <c r="AM37" s="11">
        <v>106122</v>
      </c>
      <c r="AN37" s="11">
        <v>79</v>
      </c>
      <c r="AO37" s="12">
        <v>12968.468354430381</v>
      </c>
      <c r="AP37" s="12">
        <v>4029.9493670886081</v>
      </c>
      <c r="AQ37" s="13">
        <v>7.7263655177384267</v>
      </c>
      <c r="AR37" s="11">
        <v>351099</v>
      </c>
      <c r="AS37" s="11">
        <v>90196</v>
      </c>
      <c r="AT37" s="11">
        <v>72</v>
      </c>
      <c r="AU37" s="12">
        <v>14629.125</v>
      </c>
      <c r="AV37" s="12">
        <v>3758.166666666667</v>
      </c>
      <c r="AW37" s="13">
        <v>7.0120668827624373</v>
      </c>
      <c r="AX37" s="11"/>
      <c r="AY37" s="11"/>
      <c r="AZ37" s="11"/>
      <c r="BA37" s="12"/>
      <c r="BB37" s="12"/>
      <c r="BC37" s="13"/>
      <c r="BD37" s="11">
        <v>32520</v>
      </c>
      <c r="BE37" s="11">
        <v>1206</v>
      </c>
      <c r="BF37" s="11">
        <v>2</v>
      </c>
      <c r="BG37" s="12">
        <v>48780</v>
      </c>
      <c r="BH37" s="12">
        <v>1809</v>
      </c>
      <c r="BI37" s="13">
        <v>2.65</v>
      </c>
      <c r="BJ37" s="11"/>
      <c r="BK37" s="11"/>
      <c r="BL37" s="11"/>
      <c r="BM37" s="12"/>
      <c r="BN37" s="12"/>
      <c r="BO37" s="13"/>
      <c r="BP37" s="11">
        <v>139803</v>
      </c>
      <c r="BQ37" s="11">
        <v>34859</v>
      </c>
      <c r="BR37" s="11">
        <v>30</v>
      </c>
      <c r="BS37" s="12">
        <v>13980.3</v>
      </c>
      <c r="BT37" s="12">
        <v>3485.9</v>
      </c>
      <c r="BU37" s="13">
        <v>6.9486301588533319</v>
      </c>
      <c r="BV37" s="11">
        <v>275440</v>
      </c>
      <c r="BW37" s="11">
        <v>106175</v>
      </c>
      <c r="BX37" s="11">
        <v>71</v>
      </c>
      <c r="BY37" s="12">
        <v>11638.30985915493</v>
      </c>
      <c r="BZ37" s="12">
        <v>4486.2676056338023</v>
      </c>
      <c r="CA37" s="13">
        <v>8.5918301431931834</v>
      </c>
      <c r="CB37" s="11">
        <v>299553</v>
      </c>
      <c r="CC37" s="11">
        <v>99310</v>
      </c>
      <c r="CD37" s="11">
        <v>65</v>
      </c>
      <c r="CE37" s="12">
        <v>13825.52307692308</v>
      </c>
      <c r="CF37" s="12">
        <v>4583.538461538461</v>
      </c>
      <c r="CG37" s="13">
        <v>7.9627724103633826</v>
      </c>
      <c r="CJ37" s="11"/>
      <c r="CK37" s="12"/>
      <c r="CL37" s="12"/>
      <c r="CM37" s="13"/>
    </row>
    <row r="38" spans="1:91" x14ac:dyDescent="0.25">
      <c r="A38" s="7" t="s">
        <v>36</v>
      </c>
      <c r="B38" s="8">
        <v>155946.27272727274</v>
      </c>
      <c r="C38" s="8">
        <v>43483.454545454544</v>
      </c>
      <c r="D38" s="8">
        <v>398</v>
      </c>
      <c r="E38" s="9">
        <v>12930.218592964824</v>
      </c>
      <c r="F38" s="9">
        <v>3605.4120603015081</v>
      </c>
      <c r="G38" s="10">
        <v>7.5936363636363637</v>
      </c>
      <c r="H38" s="8" t="s">
        <v>27</v>
      </c>
      <c r="I38" s="8" t="s">
        <v>27</v>
      </c>
      <c r="J38" s="8">
        <v>0</v>
      </c>
      <c r="K38" s="9" t="s">
        <v>27</v>
      </c>
      <c r="L38" s="9" t="s">
        <v>27</v>
      </c>
      <c r="M38" s="10"/>
      <c r="N38" s="8" t="str">
        <f t="shared" si="6"/>
        <v xml:space="preserve"> </v>
      </c>
      <c r="O38" s="8" t="str">
        <f t="shared" si="7"/>
        <v xml:space="preserve"> </v>
      </c>
      <c r="P38" s="8">
        <f t="shared" si="8"/>
        <v>0</v>
      </c>
      <c r="Q38" s="9" t="str">
        <f t="shared" si="9"/>
        <v xml:space="preserve"> </v>
      </c>
      <c r="R38" s="9" t="str">
        <f t="shared" si="10"/>
        <v xml:space="preserve"> </v>
      </c>
      <c r="S38" s="10" t="str">
        <f t="shared" si="11"/>
        <v xml:space="preserve"> </v>
      </c>
      <c r="T38" s="11"/>
      <c r="U38" s="11"/>
      <c r="V38" s="11"/>
      <c r="W38" s="12"/>
      <c r="X38" s="12"/>
      <c r="Y38" s="13"/>
      <c r="Z38" s="11"/>
      <c r="AA38" s="11"/>
      <c r="AB38" s="11"/>
      <c r="AC38" s="12"/>
      <c r="AD38" s="12"/>
      <c r="AE38" s="13"/>
      <c r="AF38" s="11"/>
      <c r="AG38" s="11"/>
      <c r="AH38" s="11"/>
      <c r="AI38" s="12"/>
      <c r="AJ38" s="12"/>
      <c r="AK38" s="13"/>
      <c r="AL38" s="11"/>
      <c r="AM38" s="11"/>
      <c r="AN38" s="11"/>
      <c r="AO38" s="12"/>
      <c r="AP38" s="12"/>
      <c r="AQ38" s="13"/>
      <c r="AR38" s="11"/>
      <c r="AS38" s="11"/>
      <c r="AT38" s="11"/>
      <c r="AU38" s="12"/>
      <c r="AV38" s="12"/>
      <c r="AW38" s="13"/>
      <c r="AX38" s="11"/>
      <c r="AY38" s="11"/>
      <c r="AZ38" s="11"/>
      <c r="BA38" s="12"/>
      <c r="BB38" s="12"/>
      <c r="BC38" s="13"/>
      <c r="BD38" s="11"/>
      <c r="BE38" s="11"/>
      <c r="BF38" s="11"/>
      <c r="BG38" s="12"/>
      <c r="BH38" s="12"/>
      <c r="BI38" s="13"/>
      <c r="BJ38" s="11"/>
      <c r="BK38" s="11"/>
      <c r="BL38" s="11"/>
      <c r="BM38" s="12"/>
      <c r="BN38" s="12"/>
      <c r="BO38" s="13"/>
      <c r="BP38" s="11"/>
      <c r="BQ38" s="11"/>
      <c r="BR38" s="11"/>
      <c r="BS38" s="12"/>
      <c r="BT38" s="12"/>
      <c r="BU38" s="13"/>
      <c r="BV38" s="11"/>
      <c r="BW38" s="11"/>
      <c r="BX38" s="11"/>
      <c r="BY38" s="12"/>
      <c r="BZ38" s="12"/>
      <c r="CA38" s="13"/>
      <c r="CB38" s="11"/>
      <c r="CC38" s="11"/>
      <c r="CD38" s="11"/>
      <c r="CE38" s="12"/>
      <c r="CF38" s="12"/>
      <c r="CG38" s="13"/>
      <c r="CJ38" s="11"/>
      <c r="CK38" s="12"/>
      <c r="CL38" s="12"/>
      <c r="CM38" s="13"/>
    </row>
    <row r="39" spans="1:91" x14ac:dyDescent="0.25">
      <c r="A39" s="7" t="s">
        <v>37</v>
      </c>
      <c r="B39" s="8">
        <v>107454</v>
      </c>
      <c r="C39" s="8">
        <v>82070</v>
      </c>
      <c r="D39" s="8">
        <v>561</v>
      </c>
      <c r="E39" s="9">
        <v>6320.8235294117649</v>
      </c>
      <c r="F39" s="9">
        <v>4827.6470588235297</v>
      </c>
      <c r="G39" s="10">
        <v>13.916363636363638</v>
      </c>
      <c r="H39" s="8">
        <v>111987.16666666667</v>
      </c>
      <c r="I39" s="8">
        <v>78260.5</v>
      </c>
      <c r="J39" s="8">
        <v>411</v>
      </c>
      <c r="K39" s="9">
        <v>9809.094890510949</v>
      </c>
      <c r="L39" s="9">
        <v>6854.9343065693429</v>
      </c>
      <c r="M39" s="10">
        <v>13.301947724238151</v>
      </c>
      <c r="N39" s="8">
        <f t="shared" si="6"/>
        <v>105132.09090909091</v>
      </c>
      <c r="O39" s="8">
        <f t="shared" si="7"/>
        <v>80926.818181818177</v>
      </c>
      <c r="P39" s="8">
        <f t="shared" si="8"/>
        <v>384</v>
      </c>
      <c r="Q39" s="9">
        <f t="shared" si="9"/>
        <v>9034.7890625</v>
      </c>
      <c r="R39" s="9">
        <f t="shared" si="10"/>
        <v>6954.6484375</v>
      </c>
      <c r="S39" s="10">
        <f t="shared" si="11"/>
        <v>13.668247404814279</v>
      </c>
      <c r="T39" s="11">
        <v>83807</v>
      </c>
      <c r="U39" s="11">
        <v>93462</v>
      </c>
      <c r="V39" s="11">
        <v>43</v>
      </c>
      <c r="W39" s="12">
        <v>5847</v>
      </c>
      <c r="X39" s="12">
        <v>6520.604651162791</v>
      </c>
      <c r="Y39" s="13">
        <v>16.713604646683979</v>
      </c>
      <c r="Z39" s="11">
        <v>121829</v>
      </c>
      <c r="AA39" s="11">
        <v>116115</v>
      </c>
      <c r="AB39" s="11">
        <v>48</v>
      </c>
      <c r="AC39" s="12">
        <v>7614.3125</v>
      </c>
      <c r="AD39" s="12">
        <v>7257.1875</v>
      </c>
      <c r="AE39" s="13">
        <v>15.54962846313124</v>
      </c>
      <c r="AF39" s="11">
        <v>153553</v>
      </c>
      <c r="AG39" s="11">
        <v>132852</v>
      </c>
      <c r="AH39" s="11">
        <v>51</v>
      </c>
      <c r="AI39" s="12">
        <v>9032.5294117647063</v>
      </c>
      <c r="AJ39" s="12">
        <v>7814.8235294117649</v>
      </c>
      <c r="AK39" s="13">
        <v>14.93796824058483</v>
      </c>
      <c r="AL39" s="11">
        <v>180897</v>
      </c>
      <c r="AM39" s="11">
        <v>139737</v>
      </c>
      <c r="AN39" s="11">
        <v>54</v>
      </c>
      <c r="AO39" s="12">
        <v>10049.83333333333</v>
      </c>
      <c r="AP39" s="12">
        <v>7763.1666666666661</v>
      </c>
      <c r="AQ39" s="13">
        <v>13.818804182049149</v>
      </c>
      <c r="AR39" s="11">
        <v>159366</v>
      </c>
      <c r="AS39" s="11">
        <v>120637</v>
      </c>
      <c r="AT39" s="11">
        <v>51</v>
      </c>
      <c r="AU39" s="12">
        <v>9374.4705882352937</v>
      </c>
      <c r="AV39" s="12">
        <v>7096.2941176470586</v>
      </c>
      <c r="AW39" s="13">
        <v>13.929739783638031</v>
      </c>
      <c r="AX39" s="11">
        <v>143628</v>
      </c>
      <c r="AY39" s="11">
        <v>91350</v>
      </c>
      <c r="AZ39" s="11">
        <v>45</v>
      </c>
      <c r="BA39" s="12">
        <v>9575.1999999999989</v>
      </c>
      <c r="BB39" s="12">
        <v>6090</v>
      </c>
      <c r="BC39" s="13">
        <v>12.913515716854089</v>
      </c>
      <c r="BD39" s="11">
        <v>105108</v>
      </c>
      <c r="BE39" s="11">
        <v>75774</v>
      </c>
      <c r="BF39" s="11">
        <v>34</v>
      </c>
      <c r="BG39" s="12">
        <v>9274.2352941176468</v>
      </c>
      <c r="BH39" s="12">
        <v>6685.9411764705874</v>
      </c>
      <c r="BI39" s="13">
        <v>13.52873905106013</v>
      </c>
      <c r="BJ39" s="11">
        <v>82300</v>
      </c>
      <c r="BK39" s="11">
        <v>27669</v>
      </c>
      <c r="BL39" s="11">
        <v>14</v>
      </c>
      <c r="BM39" s="12">
        <v>17635.71428571429</v>
      </c>
      <c r="BN39" s="12">
        <v>5929.0714285714284</v>
      </c>
      <c r="BO39" s="13">
        <v>8.2542121505327462</v>
      </c>
      <c r="BP39" s="11">
        <v>54870</v>
      </c>
      <c r="BQ39" s="11">
        <v>38087</v>
      </c>
      <c r="BR39" s="11">
        <v>17</v>
      </c>
      <c r="BS39" s="12">
        <v>9682.9411764705874</v>
      </c>
      <c r="BT39" s="12">
        <v>6721.2352941176468</v>
      </c>
      <c r="BU39" s="13">
        <v>13.2009747473824</v>
      </c>
      <c r="BV39" s="11">
        <v>39570</v>
      </c>
      <c r="BW39" s="11">
        <v>31959</v>
      </c>
      <c r="BX39" s="11">
        <v>18</v>
      </c>
      <c r="BY39" s="12">
        <v>6595</v>
      </c>
      <c r="BZ39" s="12">
        <v>5326.5</v>
      </c>
      <c r="CA39" s="13">
        <v>14.23416719709285</v>
      </c>
      <c r="CB39" s="11">
        <v>31525</v>
      </c>
      <c r="CC39" s="11">
        <v>22553</v>
      </c>
      <c r="CD39" s="11">
        <v>9</v>
      </c>
      <c r="CE39" s="12">
        <v>10508.33333333333</v>
      </c>
      <c r="CF39" s="12">
        <v>7517.6666666666661</v>
      </c>
      <c r="CG39" s="13">
        <v>13.269367273947619</v>
      </c>
      <c r="CJ39" s="11"/>
      <c r="CK39" s="12"/>
      <c r="CL39" s="12"/>
      <c r="CM39" s="13"/>
    </row>
    <row r="40" spans="1:91" x14ac:dyDescent="0.25">
      <c r="A40" s="7" t="s">
        <v>38</v>
      </c>
      <c r="B40" s="8">
        <v>134951.36363636365</v>
      </c>
      <c r="C40" s="8">
        <v>103846.81818181818</v>
      </c>
      <c r="D40" s="8">
        <v>721</v>
      </c>
      <c r="E40" s="9">
        <v>6176.6920943134537</v>
      </c>
      <c r="F40" s="9">
        <v>4753.0443828016641</v>
      </c>
      <c r="G40" s="10">
        <v>13.993636363636362</v>
      </c>
      <c r="H40" s="8">
        <v>119228.75</v>
      </c>
      <c r="I40" s="8">
        <v>88136.5</v>
      </c>
      <c r="J40" s="8">
        <v>476</v>
      </c>
      <c r="K40" s="9">
        <v>9017.3004201680669</v>
      </c>
      <c r="L40" s="9">
        <v>6665.7857142857147</v>
      </c>
      <c r="M40" s="10">
        <v>13.6528568954124</v>
      </c>
      <c r="N40" s="8">
        <f t="shared" si="6"/>
        <v>136385.81818181818</v>
      </c>
      <c r="O40" s="8">
        <f t="shared" si="7"/>
        <v>120850.90909090909</v>
      </c>
      <c r="P40" s="8">
        <f t="shared" si="8"/>
        <v>571</v>
      </c>
      <c r="Q40" s="9">
        <f t="shared" si="9"/>
        <v>7882.1926444833625</v>
      </c>
      <c r="R40" s="9">
        <f t="shared" si="10"/>
        <v>6984.3782837127847</v>
      </c>
      <c r="S40" s="10">
        <f t="shared" si="11"/>
        <v>14.923430174845043</v>
      </c>
      <c r="T40" s="11">
        <v>142761</v>
      </c>
      <c r="U40" s="11">
        <v>122361</v>
      </c>
      <c r="V40" s="11">
        <v>51</v>
      </c>
      <c r="W40" s="12">
        <v>8397.7058823529405</v>
      </c>
      <c r="X40" s="12">
        <v>7197.7058823529414</v>
      </c>
      <c r="Y40" s="13">
        <v>14.533207148322109</v>
      </c>
      <c r="Z40" s="11">
        <v>121965</v>
      </c>
      <c r="AA40" s="11">
        <v>130770</v>
      </c>
      <c r="AB40" s="11">
        <v>54</v>
      </c>
      <c r="AC40" s="12">
        <v>6775.8333333333339</v>
      </c>
      <c r="AD40" s="12">
        <v>7265</v>
      </c>
      <c r="AE40" s="13">
        <v>16.641649685143008</v>
      </c>
      <c r="AF40" s="11">
        <v>117853</v>
      </c>
      <c r="AG40" s="11">
        <v>128252</v>
      </c>
      <c r="AH40" s="11">
        <v>54</v>
      </c>
      <c r="AI40" s="12">
        <v>6547.3888888888887</v>
      </c>
      <c r="AJ40" s="12">
        <v>7125.1111111111113</v>
      </c>
      <c r="AK40" s="13">
        <v>16.558854408996059</v>
      </c>
      <c r="AL40" s="11">
        <v>126418</v>
      </c>
      <c r="AM40" s="11">
        <v>118655</v>
      </c>
      <c r="AN40" s="11">
        <v>57</v>
      </c>
      <c r="AO40" s="12">
        <v>6653.5789473684217</v>
      </c>
      <c r="AP40" s="12">
        <v>6245</v>
      </c>
      <c r="AQ40" s="13">
        <v>15.31641692674679</v>
      </c>
      <c r="AR40" s="11">
        <v>131151</v>
      </c>
      <c r="AS40" s="11">
        <v>102928</v>
      </c>
      <c r="AT40" s="11">
        <v>48</v>
      </c>
      <c r="AU40" s="12">
        <v>8196.9375</v>
      </c>
      <c r="AV40" s="12">
        <v>6433</v>
      </c>
      <c r="AW40" s="13">
        <v>13.90910351898304</v>
      </c>
      <c r="AX40" s="11">
        <v>93792</v>
      </c>
      <c r="AY40" s="11">
        <v>86174</v>
      </c>
      <c r="AZ40" s="11">
        <v>45</v>
      </c>
      <c r="BA40" s="12">
        <v>6252.8000000000011</v>
      </c>
      <c r="BB40" s="12">
        <v>5744.9333333333334</v>
      </c>
      <c r="BC40" s="13">
        <v>15.0011829220532</v>
      </c>
      <c r="BD40" s="11">
        <v>117705</v>
      </c>
      <c r="BE40" s="11">
        <v>93690</v>
      </c>
      <c r="BF40" s="11">
        <v>47</v>
      </c>
      <c r="BG40" s="12">
        <v>7513.0851063829787</v>
      </c>
      <c r="BH40" s="12">
        <v>5980.2127659574471</v>
      </c>
      <c r="BI40" s="13">
        <v>14.009864378440581</v>
      </c>
      <c r="BJ40" s="11">
        <v>140121</v>
      </c>
      <c r="BK40" s="11">
        <v>113983</v>
      </c>
      <c r="BL40" s="11">
        <v>44</v>
      </c>
      <c r="BM40" s="12">
        <v>9553.704545454546</v>
      </c>
      <c r="BN40" s="12">
        <v>7771.568181818182</v>
      </c>
      <c r="BO40" s="13">
        <v>14.39811588332214</v>
      </c>
      <c r="BP40" s="11">
        <v>176626</v>
      </c>
      <c r="BQ40" s="11">
        <v>144766</v>
      </c>
      <c r="BR40" s="11">
        <v>60</v>
      </c>
      <c r="BS40" s="12">
        <v>8831.3000000000011</v>
      </c>
      <c r="BT40" s="12">
        <v>7238.3000000000011</v>
      </c>
      <c r="BU40" s="13">
        <v>14.33709484197969</v>
      </c>
      <c r="BV40" s="11">
        <v>193765</v>
      </c>
      <c r="BW40" s="11">
        <v>156974</v>
      </c>
      <c r="BX40" s="11">
        <v>61</v>
      </c>
      <c r="BY40" s="12">
        <v>9529.4262295081971</v>
      </c>
      <c r="BZ40" s="12">
        <v>7720.0327868852464</v>
      </c>
      <c r="CA40" s="13">
        <v>14.20681854006086</v>
      </c>
      <c r="CB40" s="11">
        <v>138087</v>
      </c>
      <c r="CC40" s="11">
        <v>130807</v>
      </c>
      <c r="CD40" s="11">
        <v>50</v>
      </c>
      <c r="CE40" s="12">
        <v>8285.2199999999993</v>
      </c>
      <c r="CF40" s="12">
        <v>7848.42</v>
      </c>
      <c r="CG40" s="13">
        <v>15.245423669247989</v>
      </c>
      <c r="CJ40" s="11"/>
      <c r="CK40" s="12"/>
      <c r="CL40" s="12"/>
      <c r="CM40" s="13"/>
    </row>
    <row r="41" spans="1:91" x14ac:dyDescent="0.25">
      <c r="A41" s="7" t="s">
        <v>39</v>
      </c>
      <c r="B41" s="8">
        <v>241501.36363636365</v>
      </c>
      <c r="C41" s="8">
        <v>8371.818181818182</v>
      </c>
      <c r="D41" s="8">
        <v>609</v>
      </c>
      <c r="E41" s="9">
        <v>13086.280788177341</v>
      </c>
      <c r="F41" s="9">
        <v>453.64532019704438</v>
      </c>
      <c r="G41" s="10">
        <v>2.6490909090909089</v>
      </c>
      <c r="H41" s="8">
        <v>162991</v>
      </c>
      <c r="I41" s="8">
        <v>5463.5</v>
      </c>
      <c r="J41" s="8">
        <v>316</v>
      </c>
      <c r="K41" s="9">
        <v>15473.82911392405</v>
      </c>
      <c r="L41" s="9">
        <v>518.6867088607595</v>
      </c>
      <c r="M41" s="10">
        <v>2.582557260244553</v>
      </c>
      <c r="N41" s="8">
        <f t="shared" si="6"/>
        <v>163313.72727272726</v>
      </c>
      <c r="O41" s="8">
        <f t="shared" si="7"/>
        <v>5567</v>
      </c>
      <c r="P41" s="8">
        <f t="shared" si="8"/>
        <v>377</v>
      </c>
      <c r="Q41" s="9">
        <f t="shared" si="9"/>
        <v>14295.366047745356</v>
      </c>
      <c r="R41" s="9">
        <f t="shared" si="10"/>
        <v>487.29708222811678</v>
      </c>
      <c r="S41" s="10">
        <f t="shared" si="11"/>
        <v>2.610579502496341</v>
      </c>
      <c r="T41" s="11">
        <v>302419</v>
      </c>
      <c r="U41" s="11">
        <v>9535</v>
      </c>
      <c r="V41" s="11">
        <v>49</v>
      </c>
      <c r="W41" s="12">
        <v>18515.448979591831</v>
      </c>
      <c r="X41" s="12">
        <v>583.77551020408168</v>
      </c>
      <c r="Y41" s="13">
        <v>2.5072837501347118</v>
      </c>
      <c r="Z41" s="11">
        <v>184991</v>
      </c>
      <c r="AA41" s="11">
        <v>6614</v>
      </c>
      <c r="AB41" s="11">
        <v>42</v>
      </c>
      <c r="AC41" s="12">
        <v>13213.642857142861</v>
      </c>
      <c r="AD41" s="12">
        <v>472.42857142857139</v>
      </c>
      <c r="AE41" s="13">
        <v>2.6697056074692651</v>
      </c>
      <c r="AF41" s="11">
        <v>109450</v>
      </c>
      <c r="AG41" s="11">
        <v>3468</v>
      </c>
      <c r="AH41" s="11">
        <v>24</v>
      </c>
      <c r="AI41" s="12">
        <v>13681.25</v>
      </c>
      <c r="AJ41" s="12">
        <v>433.5</v>
      </c>
      <c r="AK41" s="13">
        <v>2.5046789107320109</v>
      </c>
      <c r="AL41" s="11">
        <v>276911</v>
      </c>
      <c r="AM41" s="11">
        <v>9975</v>
      </c>
      <c r="AN41" s="11">
        <v>54</v>
      </c>
      <c r="AO41" s="12">
        <v>15383.944444444451</v>
      </c>
      <c r="AP41" s="12">
        <v>554.16666666666674</v>
      </c>
      <c r="AQ41" s="13">
        <v>2.6710317322281409</v>
      </c>
      <c r="AR41" s="11">
        <v>243610</v>
      </c>
      <c r="AS41" s="11">
        <v>8080</v>
      </c>
      <c r="AT41" s="11">
        <v>48</v>
      </c>
      <c r="AU41" s="12">
        <v>15225.625</v>
      </c>
      <c r="AV41" s="12">
        <v>505</v>
      </c>
      <c r="AW41" s="13">
        <v>2.5620434790845521</v>
      </c>
      <c r="AX41" s="11">
        <v>107346</v>
      </c>
      <c r="AY41" s="11">
        <v>3457</v>
      </c>
      <c r="AZ41" s="11">
        <v>30</v>
      </c>
      <c r="BA41" s="12">
        <v>10734.6</v>
      </c>
      <c r="BB41" s="12">
        <v>345.7</v>
      </c>
      <c r="BC41" s="13">
        <v>2.5451941362084511</v>
      </c>
      <c r="BD41" s="11">
        <v>151896</v>
      </c>
      <c r="BE41" s="11">
        <v>4824</v>
      </c>
      <c r="BF41" s="11">
        <v>40</v>
      </c>
      <c r="BG41" s="12">
        <v>11392.2</v>
      </c>
      <c r="BH41" s="12">
        <v>361.8</v>
      </c>
      <c r="BI41" s="13">
        <v>2.5119039974112192</v>
      </c>
      <c r="BJ41" s="11">
        <v>54996</v>
      </c>
      <c r="BK41" s="11">
        <v>1938</v>
      </c>
      <c r="BL41" s="11">
        <v>16</v>
      </c>
      <c r="BM41" s="12">
        <v>10311.75</v>
      </c>
      <c r="BN41" s="12">
        <v>363.375</v>
      </c>
      <c r="BO41" s="13">
        <v>2.652742211252888</v>
      </c>
      <c r="BP41" s="11">
        <v>118871</v>
      </c>
      <c r="BQ41" s="11">
        <v>4503</v>
      </c>
      <c r="BR41" s="11">
        <v>22</v>
      </c>
      <c r="BS41" s="12">
        <v>16209.68181818182</v>
      </c>
      <c r="BT41" s="12">
        <v>614.0454545454545</v>
      </c>
      <c r="BU41" s="13">
        <v>2.7367596671276102</v>
      </c>
      <c r="BV41" s="11">
        <v>117829</v>
      </c>
      <c r="BW41" s="11">
        <v>4537</v>
      </c>
      <c r="BX41" s="11">
        <v>23</v>
      </c>
      <c r="BY41" s="12">
        <v>15369</v>
      </c>
      <c r="BZ41" s="12">
        <v>591.78260869565224</v>
      </c>
      <c r="CA41" s="13">
        <v>2.7728312978879139</v>
      </c>
      <c r="CB41" s="11">
        <v>128132</v>
      </c>
      <c r="CC41" s="11">
        <v>4306</v>
      </c>
      <c r="CD41" s="11">
        <v>29</v>
      </c>
      <c r="CE41" s="12">
        <v>13255.03448275862</v>
      </c>
      <c r="CF41" s="12">
        <v>445.44827586206901</v>
      </c>
      <c r="CG41" s="13">
        <v>2.582199737922982</v>
      </c>
      <c r="CJ41" s="11"/>
      <c r="CK41" s="12"/>
      <c r="CL41" s="12"/>
      <c r="CM41" s="13"/>
    </row>
    <row r="42" spans="1:91" x14ac:dyDescent="0.25">
      <c r="A42" s="7" t="s">
        <v>40</v>
      </c>
      <c r="B42" s="8">
        <v>126779.09090909091</v>
      </c>
      <c r="C42" s="8">
        <v>44299.454545454544</v>
      </c>
      <c r="D42" s="8">
        <v>423</v>
      </c>
      <c r="E42" s="9">
        <v>9890.567375886525</v>
      </c>
      <c r="F42" s="9">
        <v>3455.9858156028367</v>
      </c>
      <c r="G42" s="10">
        <v>10.013636363636364</v>
      </c>
      <c r="H42" s="8">
        <v>73485</v>
      </c>
      <c r="I42" s="8">
        <v>25801.5</v>
      </c>
      <c r="J42" s="8">
        <v>150</v>
      </c>
      <c r="K42" s="9">
        <v>14697</v>
      </c>
      <c r="L42" s="9">
        <v>5160.2999999999993</v>
      </c>
      <c r="M42" s="10">
        <v>10</v>
      </c>
      <c r="N42" s="8">
        <f t="shared" si="6"/>
        <v>243160.45454545456</v>
      </c>
      <c r="O42" s="8">
        <f t="shared" si="7"/>
        <v>85373.636363636368</v>
      </c>
      <c r="P42" s="8">
        <f t="shared" si="8"/>
        <v>399</v>
      </c>
      <c r="Q42" s="9">
        <f t="shared" si="9"/>
        <v>20111.015037593985</v>
      </c>
      <c r="R42" s="9">
        <f t="shared" si="10"/>
        <v>7060.9774436090229</v>
      </c>
      <c r="S42" s="10">
        <f t="shared" si="11"/>
        <v>9.9600089304451291</v>
      </c>
      <c r="T42" s="11">
        <v>153600</v>
      </c>
      <c r="U42" s="11">
        <v>54244</v>
      </c>
      <c r="V42" s="11">
        <v>24</v>
      </c>
      <c r="W42" s="12">
        <v>19200</v>
      </c>
      <c r="X42" s="12">
        <v>6780.5</v>
      </c>
      <c r="Y42" s="13">
        <v>10</v>
      </c>
      <c r="Z42" s="11">
        <v>184540</v>
      </c>
      <c r="AA42" s="11">
        <v>64219</v>
      </c>
      <c r="AB42" s="11">
        <v>31</v>
      </c>
      <c r="AC42" s="12">
        <v>17858.70967741936</v>
      </c>
      <c r="AD42" s="12">
        <v>6214.7419354838712</v>
      </c>
      <c r="AE42" s="13">
        <v>10</v>
      </c>
      <c r="AF42" s="11">
        <v>225000</v>
      </c>
      <c r="AG42" s="11">
        <v>78300</v>
      </c>
      <c r="AH42" s="11">
        <v>35</v>
      </c>
      <c r="AI42" s="12">
        <v>19285.71428571429</v>
      </c>
      <c r="AJ42" s="12">
        <v>6711.4285714285716</v>
      </c>
      <c r="AK42" s="13">
        <v>10</v>
      </c>
      <c r="AL42" s="11">
        <v>276000</v>
      </c>
      <c r="AM42" s="11">
        <v>87542</v>
      </c>
      <c r="AN42" s="11">
        <v>42</v>
      </c>
      <c r="AO42" s="12">
        <v>19714.28571428571</v>
      </c>
      <c r="AP42" s="12">
        <v>6253</v>
      </c>
      <c r="AQ42" s="13">
        <v>9.5600982348964152</v>
      </c>
      <c r="AR42" s="11">
        <v>226000</v>
      </c>
      <c r="AS42" s="11">
        <v>82028</v>
      </c>
      <c r="AT42" s="11">
        <v>36</v>
      </c>
      <c r="AU42" s="12">
        <v>18833.333333333328</v>
      </c>
      <c r="AV42" s="12">
        <v>6835.666666666667</v>
      </c>
      <c r="AW42" s="13">
        <v>10</v>
      </c>
      <c r="AX42" s="11">
        <v>186825</v>
      </c>
      <c r="AY42" s="11">
        <v>68520</v>
      </c>
      <c r="AZ42" s="11">
        <v>32</v>
      </c>
      <c r="BA42" s="12">
        <v>17514.84375</v>
      </c>
      <c r="BB42" s="12">
        <v>6423.75</v>
      </c>
      <c r="BC42" s="13">
        <v>10</v>
      </c>
      <c r="BD42" s="11">
        <v>285800</v>
      </c>
      <c r="BE42" s="11">
        <v>101668</v>
      </c>
      <c r="BF42" s="11">
        <v>43</v>
      </c>
      <c r="BG42" s="12">
        <v>19939.534883720931</v>
      </c>
      <c r="BH42" s="12">
        <v>7093.1162790697672</v>
      </c>
      <c r="BI42" s="13">
        <v>10</v>
      </c>
      <c r="BJ42" s="11">
        <v>321000</v>
      </c>
      <c r="BK42" s="11">
        <v>111708</v>
      </c>
      <c r="BL42" s="11">
        <v>32</v>
      </c>
      <c r="BM42" s="12">
        <v>30093.75</v>
      </c>
      <c r="BN42" s="12">
        <v>10472.625</v>
      </c>
      <c r="BO42" s="13">
        <v>10</v>
      </c>
      <c r="BP42" s="11">
        <v>345000</v>
      </c>
      <c r="BQ42" s="11">
        <v>122660</v>
      </c>
      <c r="BR42" s="11">
        <v>43</v>
      </c>
      <c r="BS42" s="12">
        <v>24069.767441860469</v>
      </c>
      <c r="BT42" s="12">
        <v>8557.6744186046508</v>
      </c>
      <c r="BU42" s="13">
        <v>10</v>
      </c>
      <c r="BV42" s="11">
        <v>177000</v>
      </c>
      <c r="BW42" s="11">
        <v>65909</v>
      </c>
      <c r="BX42" s="11">
        <v>34</v>
      </c>
      <c r="BY42" s="12">
        <v>15617.64705882353</v>
      </c>
      <c r="BZ42" s="12">
        <v>5815.5</v>
      </c>
      <c r="CA42" s="13">
        <v>10</v>
      </c>
      <c r="CB42" s="11">
        <v>294000</v>
      </c>
      <c r="CC42" s="11">
        <v>102312</v>
      </c>
      <c r="CD42" s="11">
        <v>47</v>
      </c>
      <c r="CE42" s="12">
        <v>18765.957446808508</v>
      </c>
      <c r="CF42" s="12">
        <v>6530.5531914893618</v>
      </c>
      <c r="CG42" s="13">
        <v>10</v>
      </c>
      <c r="CJ42" s="11"/>
      <c r="CK42" s="12"/>
      <c r="CL42" s="12"/>
      <c r="CM42" s="13"/>
    </row>
    <row r="43" spans="1:91" x14ac:dyDescent="0.25">
      <c r="A43" s="7" t="s">
        <v>41</v>
      </c>
      <c r="B43" s="8">
        <v>221579.88888888888</v>
      </c>
      <c r="C43" s="8">
        <v>137439.66666666666</v>
      </c>
      <c r="D43" s="8">
        <v>487</v>
      </c>
      <c r="E43" s="9">
        <v>12284.716632443531</v>
      </c>
      <c r="F43" s="9">
        <v>7619.8583162217656</v>
      </c>
      <c r="G43" s="10">
        <v>10.897777777777778</v>
      </c>
      <c r="H43" s="8">
        <v>156397.63636363635</v>
      </c>
      <c r="I43" s="8">
        <v>126670.27272727272</v>
      </c>
      <c r="J43" s="8">
        <v>481</v>
      </c>
      <c r="K43" s="9">
        <v>10729.983367983368</v>
      </c>
      <c r="L43" s="9">
        <v>8690.4760914760918</v>
      </c>
      <c r="M43" s="10">
        <v>12.25308676979</v>
      </c>
      <c r="N43" s="8">
        <f t="shared" si="6"/>
        <v>197144.45454545456</v>
      </c>
      <c r="O43" s="8">
        <f t="shared" si="7"/>
        <v>125114.36363636363</v>
      </c>
      <c r="P43" s="8">
        <f t="shared" si="8"/>
        <v>557</v>
      </c>
      <c r="Q43" s="9">
        <f t="shared" si="9"/>
        <v>11680.012567324955</v>
      </c>
      <c r="R43" s="9">
        <f t="shared" si="10"/>
        <v>7412.5206463195691</v>
      </c>
      <c r="S43" s="10">
        <f t="shared" si="11"/>
        <v>10.827586585024976</v>
      </c>
      <c r="T43" s="11">
        <v>197949</v>
      </c>
      <c r="U43" s="11">
        <v>127917</v>
      </c>
      <c r="V43" s="11">
        <v>52</v>
      </c>
      <c r="W43" s="12">
        <v>11420.134615384621</v>
      </c>
      <c r="X43" s="12">
        <v>7379.8269230769229</v>
      </c>
      <c r="Y43" s="13">
        <v>10.945697111897291</v>
      </c>
      <c r="Z43" s="11">
        <v>226189</v>
      </c>
      <c r="AA43" s="11">
        <v>129200</v>
      </c>
      <c r="AB43" s="11">
        <v>53</v>
      </c>
      <c r="AC43" s="12">
        <v>12803.150943396229</v>
      </c>
      <c r="AD43" s="12">
        <v>7313.2075471698117</v>
      </c>
      <c r="AE43" s="13">
        <v>10.29246449971086</v>
      </c>
      <c r="AF43" s="11">
        <v>254668</v>
      </c>
      <c r="AG43" s="11">
        <v>172519</v>
      </c>
      <c r="AH43" s="11">
        <v>63</v>
      </c>
      <c r="AI43" s="12">
        <v>12127.04761904762</v>
      </c>
      <c r="AJ43" s="12">
        <v>8215.1904761904771</v>
      </c>
      <c r="AK43" s="13">
        <v>11.200073745981991</v>
      </c>
      <c r="AL43" s="11">
        <v>277380</v>
      </c>
      <c r="AM43" s="11">
        <v>182542</v>
      </c>
      <c r="AN43" s="11">
        <v>65</v>
      </c>
      <c r="AO43" s="12">
        <v>12802.153846153849</v>
      </c>
      <c r="AP43" s="12">
        <v>8425.0153846153844</v>
      </c>
      <c r="AQ43" s="13">
        <v>11.041842536933141</v>
      </c>
      <c r="AR43" s="11">
        <v>278639</v>
      </c>
      <c r="AS43" s="11">
        <v>170934</v>
      </c>
      <c r="AT43" s="11">
        <v>71</v>
      </c>
      <c r="AU43" s="12">
        <v>11773.478873239441</v>
      </c>
      <c r="AV43" s="12">
        <v>7222.5633802816901</v>
      </c>
      <c r="AW43" s="13">
        <v>10.683574479972529</v>
      </c>
      <c r="AX43" s="11">
        <v>242912</v>
      </c>
      <c r="AY43" s="11">
        <v>155476</v>
      </c>
      <c r="AZ43" s="11">
        <v>62</v>
      </c>
      <c r="BA43" s="12">
        <v>11753.8064516129</v>
      </c>
      <c r="BB43" s="12">
        <v>7523.0322580645152</v>
      </c>
      <c r="BC43" s="13">
        <v>10.909461431201709</v>
      </c>
      <c r="BD43" s="11">
        <v>233026</v>
      </c>
      <c r="BE43" s="11">
        <v>166034</v>
      </c>
      <c r="BF43" s="11">
        <v>67</v>
      </c>
      <c r="BG43" s="12">
        <v>10434</v>
      </c>
      <c r="BH43" s="12">
        <v>7434.3582089552237</v>
      </c>
      <c r="BI43" s="13">
        <v>11.49448505141504</v>
      </c>
      <c r="BJ43" s="11">
        <v>162318</v>
      </c>
      <c r="BK43" s="11">
        <v>72110</v>
      </c>
      <c r="BL43" s="11">
        <v>35</v>
      </c>
      <c r="BM43" s="12">
        <v>13912.971428571431</v>
      </c>
      <c r="BN43" s="12">
        <v>6180.8571428571431</v>
      </c>
      <c r="BO43" s="13">
        <v>9.1886988642825518</v>
      </c>
      <c r="BP43" s="11">
        <v>37800</v>
      </c>
      <c r="BQ43" s="11">
        <v>24154</v>
      </c>
      <c r="BR43" s="11">
        <v>12</v>
      </c>
      <c r="BS43" s="12">
        <v>9450</v>
      </c>
      <c r="BT43" s="12">
        <v>6038.5</v>
      </c>
      <c r="BU43" s="13">
        <v>10.87649956820405</v>
      </c>
      <c r="BV43" s="11">
        <v>133013</v>
      </c>
      <c r="BW43" s="11">
        <v>88502</v>
      </c>
      <c r="BX43" s="11">
        <v>40</v>
      </c>
      <c r="BY43" s="12">
        <v>9975.9749999999985</v>
      </c>
      <c r="BZ43" s="12">
        <v>6637.6500000000005</v>
      </c>
      <c r="CA43" s="13">
        <v>11.100374758912031</v>
      </c>
      <c r="CB43" s="11">
        <v>124695</v>
      </c>
      <c r="CC43" s="11">
        <v>86870</v>
      </c>
      <c r="CD43" s="11">
        <v>37</v>
      </c>
      <c r="CE43" s="12">
        <v>10110.4054054054</v>
      </c>
      <c r="CF43" s="12">
        <v>7043.5135135135133</v>
      </c>
      <c r="CG43" s="13">
        <v>11.37028038676354</v>
      </c>
      <c r="CJ43" s="11"/>
      <c r="CK43" s="12"/>
      <c r="CL43" s="12"/>
      <c r="CM43" s="13"/>
    </row>
    <row r="44" spans="1:91" x14ac:dyDescent="0.25">
      <c r="A44" s="7" t="s">
        <v>42</v>
      </c>
      <c r="B44" s="8">
        <v>58449.222222222219</v>
      </c>
      <c r="C44" s="8">
        <v>257683.44444444444</v>
      </c>
      <c r="D44" s="8">
        <v>503</v>
      </c>
      <c r="E44" s="9">
        <v>3137.4333996023856</v>
      </c>
      <c r="F44" s="9">
        <v>13831.914512922467</v>
      </c>
      <c r="G44" s="10">
        <v>33.138888888888893</v>
      </c>
      <c r="H44" s="8">
        <v>54515.333333333336</v>
      </c>
      <c r="I44" s="8">
        <v>270182.83333333331</v>
      </c>
      <c r="J44" s="8">
        <v>545</v>
      </c>
      <c r="K44" s="9">
        <v>3601.0128440366975</v>
      </c>
      <c r="L44" s="9">
        <v>17846.939449541285</v>
      </c>
      <c r="M44" s="10">
        <v>34.744328743612293</v>
      </c>
      <c r="N44" s="8">
        <f t="shared" si="6"/>
        <v>53318.818181818184</v>
      </c>
      <c r="O44" s="8">
        <f t="shared" si="7"/>
        <v>236336.72727272726</v>
      </c>
      <c r="P44" s="8">
        <f t="shared" si="8"/>
        <v>435</v>
      </c>
      <c r="Q44" s="9">
        <f t="shared" si="9"/>
        <v>4044.875862068965</v>
      </c>
      <c r="R44" s="9">
        <f t="shared" si="10"/>
        <v>17928.993103448276</v>
      </c>
      <c r="S44" s="10">
        <f t="shared" si="11"/>
        <v>33.999710628306239</v>
      </c>
      <c r="T44" s="11">
        <v>53460</v>
      </c>
      <c r="U44" s="11">
        <v>238108</v>
      </c>
      <c r="V44" s="11">
        <v>38</v>
      </c>
      <c r="W44" s="12">
        <v>4220.5263157894733</v>
      </c>
      <c r="X44" s="12">
        <v>18798</v>
      </c>
      <c r="Y44" s="13">
        <v>32.750602511000018</v>
      </c>
      <c r="Z44" s="11">
        <v>69408</v>
      </c>
      <c r="AA44" s="11">
        <v>271888</v>
      </c>
      <c r="AB44" s="11">
        <v>49</v>
      </c>
      <c r="AC44" s="12">
        <v>4249.4693877551017</v>
      </c>
      <c r="AD44" s="12">
        <v>16646.204081632652</v>
      </c>
      <c r="AE44" s="13">
        <v>30.72561889757478</v>
      </c>
      <c r="AF44" s="11">
        <v>84998</v>
      </c>
      <c r="AG44" s="11">
        <v>359937</v>
      </c>
      <c r="AH44" s="11">
        <v>65</v>
      </c>
      <c r="AI44" s="12">
        <v>3922.9846153846152</v>
      </c>
      <c r="AJ44" s="12">
        <v>16612.47692307692</v>
      </c>
      <c r="AK44" s="13">
        <v>32.062700850158038</v>
      </c>
      <c r="AL44" s="11">
        <v>93197</v>
      </c>
      <c r="AM44" s="11">
        <v>381436</v>
      </c>
      <c r="AN44" s="11">
        <v>67</v>
      </c>
      <c r="AO44" s="12">
        <v>4173</v>
      </c>
      <c r="AP44" s="12">
        <v>17079.223880597008</v>
      </c>
      <c r="AQ44" s="13">
        <v>31.556640764477681</v>
      </c>
      <c r="AR44" s="11">
        <v>81193</v>
      </c>
      <c r="AS44" s="11">
        <v>337644</v>
      </c>
      <c r="AT44" s="11">
        <v>59</v>
      </c>
      <c r="AU44" s="12">
        <v>4128.4576271186434</v>
      </c>
      <c r="AV44" s="12">
        <v>17168.338983050849</v>
      </c>
      <c r="AW44" s="13">
        <v>31.830857862278751</v>
      </c>
      <c r="AX44" s="11">
        <v>61459</v>
      </c>
      <c r="AY44" s="11">
        <v>295204</v>
      </c>
      <c r="AZ44" s="11">
        <v>40</v>
      </c>
      <c r="BA44" s="12">
        <v>4609.4249999999993</v>
      </c>
      <c r="BB44" s="12">
        <v>22140.3</v>
      </c>
      <c r="BC44" s="13">
        <v>34.043785487005273</v>
      </c>
      <c r="BD44" s="11">
        <v>50528</v>
      </c>
      <c r="BE44" s="11">
        <v>239201</v>
      </c>
      <c r="BF44" s="11">
        <v>44</v>
      </c>
      <c r="BG44" s="12">
        <v>3445.090909090909</v>
      </c>
      <c r="BH44" s="12">
        <v>16309.15909090909</v>
      </c>
      <c r="BI44" s="13">
        <v>33.826960741939743</v>
      </c>
      <c r="BJ44" s="11">
        <v>8285</v>
      </c>
      <c r="BK44" s="11">
        <v>51725</v>
      </c>
      <c r="BL44" s="11">
        <v>9</v>
      </c>
      <c r="BM44" s="12">
        <v>2761.666666666667</v>
      </c>
      <c r="BN44" s="12">
        <v>17241.666666666672</v>
      </c>
      <c r="BO44" s="13">
        <v>39.089391942856842</v>
      </c>
      <c r="BP44" s="11">
        <v>8698</v>
      </c>
      <c r="BQ44" s="11">
        <v>51516</v>
      </c>
      <c r="BR44" s="11">
        <v>7</v>
      </c>
      <c r="BS44" s="12">
        <v>3727.7142857142858</v>
      </c>
      <c r="BT44" s="12">
        <v>22078.28571428571</v>
      </c>
      <c r="BU44" s="13">
        <v>37.784518114586682</v>
      </c>
      <c r="BV44" s="11">
        <v>29703</v>
      </c>
      <c r="BW44" s="11">
        <v>159692</v>
      </c>
      <c r="BX44" s="11">
        <v>22</v>
      </c>
      <c r="BY44" s="12">
        <v>4050.409090909091</v>
      </c>
      <c r="BZ44" s="12">
        <v>21776.18181818182</v>
      </c>
      <c r="CA44" s="13">
        <v>36.604652244436103</v>
      </c>
      <c r="CB44" s="11">
        <v>45578</v>
      </c>
      <c r="CC44" s="11">
        <v>213353</v>
      </c>
      <c r="CD44" s="11">
        <v>35</v>
      </c>
      <c r="CE44" s="12">
        <v>3906.6857142857139</v>
      </c>
      <c r="CF44" s="12">
        <v>18287.400000000001</v>
      </c>
      <c r="CG44" s="13">
        <v>33.721087495054753</v>
      </c>
      <c r="CJ44" s="11"/>
      <c r="CK44" s="12"/>
      <c r="CL44" s="12"/>
      <c r="CM44" s="13"/>
    </row>
    <row r="45" spans="1:91" x14ac:dyDescent="0.25">
      <c r="A45" s="7" t="s">
        <v>43</v>
      </c>
      <c r="B45" s="8">
        <v>212939.63636363635</v>
      </c>
      <c r="C45" s="8">
        <v>11771.545454545454</v>
      </c>
      <c r="D45" s="8">
        <v>598</v>
      </c>
      <c r="E45" s="9">
        <v>11750.84949832776</v>
      </c>
      <c r="F45" s="9">
        <v>649.60033444816054</v>
      </c>
      <c r="G45" s="10">
        <v>3.3372727272727274</v>
      </c>
      <c r="H45" s="8">
        <v>183591.5</v>
      </c>
      <c r="I45" s="8">
        <v>11474.666666666666</v>
      </c>
      <c r="J45" s="8">
        <v>550</v>
      </c>
      <c r="K45" s="9">
        <v>12016.898181818182</v>
      </c>
      <c r="L45" s="9">
        <v>751.06909090909085</v>
      </c>
      <c r="M45" s="10">
        <v>3.5319106532899678</v>
      </c>
      <c r="N45" s="8">
        <f t="shared" si="6"/>
        <v>210119.45454545456</v>
      </c>
      <c r="O45" s="8">
        <f t="shared" si="7"/>
        <v>12401.09090909091</v>
      </c>
      <c r="P45" s="8">
        <f t="shared" si="8"/>
        <v>529</v>
      </c>
      <c r="Q45" s="9">
        <f t="shared" si="9"/>
        <v>13107.640831758035</v>
      </c>
      <c r="R45" s="9">
        <f t="shared" si="10"/>
        <v>773.60302457466912</v>
      </c>
      <c r="S45" s="10">
        <f t="shared" si="11"/>
        <v>3.395249743516001</v>
      </c>
      <c r="T45" s="11">
        <v>323850</v>
      </c>
      <c r="U45" s="11">
        <v>13829</v>
      </c>
      <c r="V45" s="11">
        <v>63</v>
      </c>
      <c r="W45" s="12">
        <v>15421.428571428571</v>
      </c>
      <c r="X45" s="12">
        <v>658.52380952380952</v>
      </c>
      <c r="Y45" s="13">
        <v>2.9155974697883171</v>
      </c>
      <c r="Z45" s="11">
        <v>220027</v>
      </c>
      <c r="AA45" s="11">
        <v>14336</v>
      </c>
      <c r="AB45" s="11">
        <v>55</v>
      </c>
      <c r="AC45" s="12">
        <v>12001.47272727273</v>
      </c>
      <c r="AD45" s="12">
        <v>781.96363636363628</v>
      </c>
      <c r="AE45" s="13">
        <v>3.6055994034086871</v>
      </c>
      <c r="AF45" s="11">
        <v>305520</v>
      </c>
      <c r="AG45" s="11">
        <v>19032</v>
      </c>
      <c r="AH45" s="11">
        <v>57</v>
      </c>
      <c r="AI45" s="12">
        <v>16080</v>
      </c>
      <c r="AJ45" s="12">
        <v>1001.684210526316</v>
      </c>
      <c r="AK45" s="13">
        <v>3.5214517583310649</v>
      </c>
      <c r="AL45" s="11">
        <v>347174</v>
      </c>
      <c r="AM45" s="11">
        <v>25144</v>
      </c>
      <c r="AN45" s="11">
        <v>74</v>
      </c>
      <c r="AO45" s="12">
        <v>14074.62162162162</v>
      </c>
      <c r="AP45" s="12">
        <v>1019.351351351351</v>
      </c>
      <c r="AQ45" s="13">
        <v>3.800733466249842</v>
      </c>
      <c r="AR45" s="11">
        <v>253127</v>
      </c>
      <c r="AS45" s="11">
        <v>12710</v>
      </c>
      <c r="AT45" s="11">
        <v>54</v>
      </c>
      <c r="AU45" s="12">
        <v>14062.611111111109</v>
      </c>
      <c r="AV45" s="12">
        <v>706.11111111111109</v>
      </c>
      <c r="AW45" s="13">
        <v>3.1664844839614319</v>
      </c>
      <c r="AX45" s="11">
        <v>245050</v>
      </c>
      <c r="AY45" s="11">
        <v>16192</v>
      </c>
      <c r="AZ45" s="11">
        <v>53</v>
      </c>
      <c r="BA45" s="12">
        <v>13870.75471698113</v>
      </c>
      <c r="BB45" s="12">
        <v>916.52830188679241</v>
      </c>
      <c r="BC45" s="13">
        <v>3.6281923739047799</v>
      </c>
      <c r="BD45" s="11">
        <v>201275</v>
      </c>
      <c r="BE45" s="11">
        <v>10742</v>
      </c>
      <c r="BF45" s="11">
        <v>54</v>
      </c>
      <c r="BG45" s="12">
        <v>11181.944444444451</v>
      </c>
      <c r="BH45" s="12">
        <v>596.77777777777783</v>
      </c>
      <c r="BI45" s="13">
        <v>3.2581389522806798</v>
      </c>
      <c r="BJ45" s="11">
        <v>135957</v>
      </c>
      <c r="BK45" s="11">
        <v>8332</v>
      </c>
      <c r="BL45" s="11">
        <v>39</v>
      </c>
      <c r="BM45" s="12">
        <v>10458.23076923077</v>
      </c>
      <c r="BN45" s="12">
        <v>640.92307692307691</v>
      </c>
      <c r="BO45" s="13">
        <v>3.503798714833811</v>
      </c>
      <c r="BP45" s="11">
        <v>135635</v>
      </c>
      <c r="BQ45" s="11">
        <v>8939</v>
      </c>
      <c r="BR45" s="11">
        <v>39</v>
      </c>
      <c r="BS45" s="12">
        <v>10433.461538461541</v>
      </c>
      <c r="BT45" s="12">
        <v>687.61538461538464</v>
      </c>
      <c r="BU45" s="13">
        <v>3.626392088326901</v>
      </c>
      <c r="BV45" s="11">
        <v>54625</v>
      </c>
      <c r="BW45" s="11">
        <v>2732</v>
      </c>
      <c r="BX45" s="11">
        <v>15</v>
      </c>
      <c r="BY45" s="12">
        <v>10925</v>
      </c>
      <c r="BZ45" s="12">
        <v>546.4</v>
      </c>
      <c r="CA45" s="13">
        <v>3.1612630647827662</v>
      </c>
      <c r="CB45" s="11">
        <v>89074</v>
      </c>
      <c r="CC45" s="11">
        <v>4424</v>
      </c>
      <c r="CD45" s="11">
        <v>26</v>
      </c>
      <c r="CE45" s="12">
        <v>10277.76923076923</v>
      </c>
      <c r="CF45" s="12">
        <v>510.46153846153851</v>
      </c>
      <c r="CG45" s="13">
        <v>3.1600954028077268</v>
      </c>
      <c r="CJ45" s="11"/>
      <c r="CK45" s="12"/>
      <c r="CL45" s="12"/>
      <c r="CM45" s="13"/>
    </row>
    <row r="46" spans="1:91" x14ac:dyDescent="0.25">
      <c r="A46" s="7" t="s">
        <v>44</v>
      </c>
      <c r="B46" s="8">
        <v>215213.90909090909</v>
      </c>
      <c r="C46" s="8">
        <v>11581.181818181818</v>
      </c>
      <c r="D46" s="8">
        <v>620</v>
      </c>
      <c r="E46" s="9">
        <v>11454.933870967741</v>
      </c>
      <c r="F46" s="9">
        <v>616.41774193548383</v>
      </c>
      <c r="G46" s="10">
        <v>3.209090909090909</v>
      </c>
      <c r="H46" s="8">
        <v>149289.37286999999</v>
      </c>
      <c r="I46" s="8">
        <v>10088.416666666666</v>
      </c>
      <c r="J46" s="8">
        <v>485</v>
      </c>
      <c r="K46" s="9">
        <v>11081.273037773197</v>
      </c>
      <c r="L46" s="9">
        <v>748.83092783505151</v>
      </c>
      <c r="M46" s="10">
        <v>3.6739299384394641</v>
      </c>
      <c r="N46" s="8">
        <f t="shared" si="6"/>
        <v>170734.18181818182</v>
      </c>
      <c r="O46" s="8">
        <f t="shared" si="7"/>
        <v>9984.363636363636</v>
      </c>
      <c r="P46" s="8">
        <f t="shared" si="8"/>
        <v>518</v>
      </c>
      <c r="Q46" s="9">
        <f t="shared" si="9"/>
        <v>10876.888030888031</v>
      </c>
      <c r="R46" s="9">
        <f t="shared" si="10"/>
        <v>636.06949806949808</v>
      </c>
      <c r="S46" s="10">
        <f t="shared" si="11"/>
        <v>3.4084365468005942</v>
      </c>
      <c r="T46" s="11">
        <v>251379</v>
      </c>
      <c r="U46" s="11">
        <v>11659</v>
      </c>
      <c r="V46" s="11">
        <v>58</v>
      </c>
      <c r="W46" s="12">
        <v>13002.36206896552</v>
      </c>
      <c r="X46" s="12">
        <v>603.05172413793105</v>
      </c>
      <c r="Y46" s="13">
        <v>3.035399320406897</v>
      </c>
      <c r="Z46" s="11">
        <v>176518</v>
      </c>
      <c r="AA46" s="11">
        <v>11005</v>
      </c>
      <c r="AB46" s="11">
        <v>52</v>
      </c>
      <c r="AC46" s="12">
        <v>10183.73076923077</v>
      </c>
      <c r="AD46" s="12">
        <v>634.90384615384619</v>
      </c>
      <c r="AE46" s="13">
        <v>3.525236125163393</v>
      </c>
      <c r="AF46" s="11">
        <v>184595</v>
      </c>
      <c r="AG46" s="11">
        <v>9323</v>
      </c>
      <c r="AH46" s="11">
        <v>58</v>
      </c>
      <c r="AI46" s="12">
        <v>9548.0172413793098</v>
      </c>
      <c r="AJ46" s="12">
        <v>482.22413793103448</v>
      </c>
      <c r="AK46" s="13">
        <v>3.1704299861420431</v>
      </c>
      <c r="AL46" s="11">
        <v>242820</v>
      </c>
      <c r="AM46" s="11">
        <v>17032</v>
      </c>
      <c r="AN46" s="11">
        <v>67</v>
      </c>
      <c r="AO46" s="12">
        <v>10872.53731343284</v>
      </c>
      <c r="AP46" s="12">
        <v>762.62686567164178</v>
      </c>
      <c r="AQ46" s="13">
        <v>3.7429008290378012</v>
      </c>
      <c r="AR46" s="11">
        <v>176051</v>
      </c>
      <c r="AS46" s="11">
        <v>10169</v>
      </c>
      <c r="AT46" s="11">
        <v>42</v>
      </c>
      <c r="AU46" s="12">
        <v>12575.071428571429</v>
      </c>
      <c r="AV46" s="12">
        <v>726.35714285714289</v>
      </c>
      <c r="AW46" s="13">
        <v>3.397338375386779</v>
      </c>
      <c r="AX46" s="11">
        <v>207373</v>
      </c>
      <c r="AY46" s="11">
        <v>11913</v>
      </c>
      <c r="AZ46" s="11">
        <v>51</v>
      </c>
      <c r="BA46" s="12">
        <v>12198.411764705879</v>
      </c>
      <c r="BB46" s="12">
        <v>700.76470588235293</v>
      </c>
      <c r="BC46" s="13">
        <v>3.3955590449780551</v>
      </c>
      <c r="BD46" s="11">
        <v>192538</v>
      </c>
      <c r="BE46" s="11">
        <v>13095</v>
      </c>
      <c r="BF46" s="11">
        <v>60</v>
      </c>
      <c r="BG46" s="12">
        <v>9626.9</v>
      </c>
      <c r="BH46" s="12">
        <v>654.75</v>
      </c>
      <c r="BI46" s="13">
        <v>3.678706684756468</v>
      </c>
      <c r="BJ46" s="11">
        <v>100917</v>
      </c>
      <c r="BK46" s="11">
        <v>5936</v>
      </c>
      <c r="BL46" s="11">
        <v>31</v>
      </c>
      <c r="BM46" s="12">
        <v>9766.1612903225814</v>
      </c>
      <c r="BN46" s="12">
        <v>574.45161290322574</v>
      </c>
      <c r="BO46" s="13">
        <v>3.432265047952205</v>
      </c>
      <c r="BP46" s="11">
        <v>134129</v>
      </c>
      <c r="BQ46" s="11">
        <v>8447</v>
      </c>
      <c r="BR46" s="11">
        <v>46</v>
      </c>
      <c r="BS46" s="12">
        <v>8747.54347826087</v>
      </c>
      <c r="BT46" s="12">
        <v>550.89130434782601</v>
      </c>
      <c r="BU46" s="13">
        <v>3.5385022635051051</v>
      </c>
      <c r="BV46" s="11">
        <v>78174</v>
      </c>
      <c r="BW46" s="11">
        <v>4663</v>
      </c>
      <c r="BX46" s="11">
        <v>22</v>
      </c>
      <c r="BY46" s="12">
        <v>10660.09090909091</v>
      </c>
      <c r="BZ46" s="12">
        <v>635.86363636363637</v>
      </c>
      <c r="CA46" s="13">
        <v>3.4458786144297648</v>
      </c>
      <c r="CB46" s="11">
        <v>133582</v>
      </c>
      <c r="CC46" s="11">
        <v>6586</v>
      </c>
      <c r="CD46" s="11">
        <v>31</v>
      </c>
      <c r="CE46" s="12">
        <v>12927.29032258064</v>
      </c>
      <c r="CF46" s="12">
        <v>637.35483870967732</v>
      </c>
      <c r="CG46" s="13">
        <v>3.1305857230480298</v>
      </c>
      <c r="CJ46" s="11"/>
      <c r="CK46" s="12"/>
      <c r="CL46" s="12"/>
      <c r="CM46" s="13"/>
    </row>
    <row r="47" spans="1:91" x14ac:dyDescent="0.25">
      <c r="A47" s="7" t="s">
        <v>45</v>
      </c>
      <c r="B47" s="8">
        <v>160114.88888888888</v>
      </c>
      <c r="C47" s="8">
        <v>9259</v>
      </c>
      <c r="D47" s="8">
        <v>459</v>
      </c>
      <c r="E47" s="9">
        <v>9418.5228758169942</v>
      </c>
      <c r="F47" s="9">
        <v>544.64705882352951</v>
      </c>
      <c r="G47" s="10">
        <v>3.3611111111111116</v>
      </c>
      <c r="H47" s="8">
        <v>136208.70000000001</v>
      </c>
      <c r="I47" s="8">
        <v>9564.5</v>
      </c>
      <c r="J47" s="8">
        <v>384</v>
      </c>
      <c r="K47" s="9">
        <v>10641.3046875</v>
      </c>
      <c r="L47" s="9">
        <v>747.2265625</v>
      </c>
      <c r="M47" s="10">
        <v>3.7469161157926099</v>
      </c>
      <c r="N47" s="8">
        <f t="shared" si="6"/>
        <v>208392</v>
      </c>
      <c r="O47" s="8">
        <f t="shared" si="7"/>
        <v>12385.454545454546</v>
      </c>
      <c r="P47" s="8">
        <f t="shared" si="8"/>
        <v>525</v>
      </c>
      <c r="Q47" s="9">
        <f t="shared" si="9"/>
        <v>13098.925714285715</v>
      </c>
      <c r="R47" s="9">
        <f t="shared" si="10"/>
        <v>778.51428571428573</v>
      </c>
      <c r="S47" s="10">
        <f t="shared" si="11"/>
        <v>3.3835575975119001</v>
      </c>
      <c r="T47" s="11">
        <v>306785</v>
      </c>
      <c r="U47" s="11">
        <v>18460</v>
      </c>
      <c r="V47" s="11">
        <v>68</v>
      </c>
      <c r="W47" s="12">
        <v>13534.632352941169</v>
      </c>
      <c r="X47" s="12">
        <v>814.41176470588243</v>
      </c>
      <c r="Y47" s="13">
        <v>3.4627264434477532</v>
      </c>
      <c r="Z47" s="11">
        <v>231157</v>
      </c>
      <c r="AA47" s="11">
        <v>13763</v>
      </c>
      <c r="AB47" s="11">
        <v>59</v>
      </c>
      <c r="AC47" s="12">
        <v>11753.74576271186</v>
      </c>
      <c r="AD47" s="12">
        <v>699.81355932203394</v>
      </c>
      <c r="AE47" s="13">
        <v>3.4490776538848862</v>
      </c>
      <c r="AF47" s="11">
        <v>257586</v>
      </c>
      <c r="AG47" s="11">
        <v>16889</v>
      </c>
      <c r="AH47" s="11">
        <v>53</v>
      </c>
      <c r="AI47" s="12">
        <v>14580.33962264151</v>
      </c>
      <c r="AJ47" s="12">
        <v>955.98113207547169</v>
      </c>
      <c r="AK47" s="13">
        <v>3.6156212957930549</v>
      </c>
      <c r="AL47" s="11">
        <v>280293</v>
      </c>
      <c r="AM47" s="11">
        <v>18841</v>
      </c>
      <c r="AN47" s="11">
        <v>63</v>
      </c>
      <c r="AO47" s="12">
        <v>13347.285714285719</v>
      </c>
      <c r="AP47" s="12">
        <v>897.19047619047615</v>
      </c>
      <c r="AQ47" s="13">
        <v>3.662730168028864</v>
      </c>
      <c r="AR47" s="11">
        <v>245417</v>
      </c>
      <c r="AS47" s="11">
        <v>13945</v>
      </c>
      <c r="AT47" s="11">
        <v>56</v>
      </c>
      <c r="AU47" s="12">
        <v>13147.33928571429</v>
      </c>
      <c r="AV47" s="12">
        <v>747.05357142857144</v>
      </c>
      <c r="AW47" s="13">
        <v>3.369454907833525</v>
      </c>
      <c r="AX47" s="11">
        <v>278685</v>
      </c>
      <c r="AY47" s="11">
        <v>17002</v>
      </c>
      <c r="AZ47" s="11">
        <v>57</v>
      </c>
      <c r="BA47" s="12">
        <v>14667.63157894737</v>
      </c>
      <c r="BB47" s="12">
        <v>894.84210526315792</v>
      </c>
      <c r="BC47" s="13">
        <v>3.490720754356746</v>
      </c>
      <c r="BD47" s="11">
        <v>223791</v>
      </c>
      <c r="BE47" s="11">
        <v>13277</v>
      </c>
      <c r="BF47" s="11">
        <v>56</v>
      </c>
      <c r="BG47" s="12">
        <v>11988.803571428571</v>
      </c>
      <c r="BH47" s="12">
        <v>711.26785714285711</v>
      </c>
      <c r="BI47" s="13">
        <v>3.4396673518707561</v>
      </c>
      <c r="BJ47" s="11">
        <v>113551</v>
      </c>
      <c r="BK47" s="11">
        <v>5733</v>
      </c>
      <c r="BL47" s="11">
        <v>22</v>
      </c>
      <c r="BM47" s="12">
        <v>15484.22727272727</v>
      </c>
      <c r="BN47" s="12">
        <v>781.77272727272725</v>
      </c>
      <c r="BO47" s="13">
        <v>3.163807089581383</v>
      </c>
      <c r="BP47" s="11">
        <v>193434</v>
      </c>
      <c r="BQ47" s="11">
        <v>10637</v>
      </c>
      <c r="BR47" s="11">
        <v>48</v>
      </c>
      <c r="BS47" s="12">
        <v>12089.625</v>
      </c>
      <c r="BT47" s="12">
        <v>664.8125</v>
      </c>
      <c r="BU47" s="13">
        <v>3.3110563036534071</v>
      </c>
      <c r="BV47" s="11">
        <v>66091</v>
      </c>
      <c r="BW47" s="11">
        <v>3849</v>
      </c>
      <c r="BX47" s="11">
        <v>17</v>
      </c>
      <c r="BY47" s="12">
        <v>11663.11764705882</v>
      </c>
      <c r="BZ47" s="12">
        <v>679.23529411764707</v>
      </c>
      <c r="CA47" s="13">
        <v>3.40854475116052</v>
      </c>
      <c r="CB47" s="11">
        <v>95522</v>
      </c>
      <c r="CC47" s="11">
        <v>3844</v>
      </c>
      <c r="CD47" s="11">
        <v>26</v>
      </c>
      <c r="CE47" s="12">
        <v>11021.76923076923</v>
      </c>
      <c r="CF47" s="12">
        <v>443.53846153846149</v>
      </c>
      <c r="CG47" s="13">
        <v>2.8457268530200008</v>
      </c>
      <c r="CJ47" s="11"/>
      <c r="CK47" s="12"/>
      <c r="CL47" s="12"/>
      <c r="CM47" s="13"/>
    </row>
    <row r="48" spans="1:91" x14ac:dyDescent="0.25">
      <c r="A48" s="7" t="s">
        <v>46</v>
      </c>
      <c r="B48" s="8">
        <v>160811.42857142858</v>
      </c>
      <c r="C48" s="8">
        <v>2703.7142857142858</v>
      </c>
      <c r="D48" s="8">
        <v>321</v>
      </c>
      <c r="E48" s="9">
        <v>10520.373831775702</v>
      </c>
      <c r="F48" s="9">
        <v>176.87850467289721</v>
      </c>
      <c r="G48" s="10">
        <v>1.8199999999999998</v>
      </c>
      <c r="H48" s="8">
        <v>35630.5</v>
      </c>
      <c r="I48" s="8">
        <v>573</v>
      </c>
      <c r="J48" s="8">
        <v>17</v>
      </c>
      <c r="K48" s="9">
        <v>12575.470588235294</v>
      </c>
      <c r="L48" s="9">
        <v>202.23529411764704</v>
      </c>
      <c r="M48" s="10">
        <v>1.776431694391629</v>
      </c>
      <c r="N48" s="8">
        <f t="shared" si="6"/>
        <v>171856.5</v>
      </c>
      <c r="O48" s="8">
        <f t="shared" si="7"/>
        <v>29784.5</v>
      </c>
      <c r="P48" s="8">
        <f t="shared" si="8"/>
        <v>82</v>
      </c>
      <c r="Q48" s="9">
        <f t="shared" si="9"/>
        <v>12574.865853658535</v>
      </c>
      <c r="R48" s="9">
        <f t="shared" si="10"/>
        <v>2179.3536585365855</v>
      </c>
      <c r="S48" s="10">
        <f t="shared" si="11"/>
        <v>5.3803530180983188</v>
      </c>
      <c r="T48" s="11"/>
      <c r="U48" s="11"/>
      <c r="V48" s="11"/>
      <c r="W48" s="12"/>
      <c r="X48" s="12"/>
      <c r="Y48" s="13"/>
      <c r="Z48" s="11">
        <v>234365</v>
      </c>
      <c r="AA48" s="11">
        <v>48189</v>
      </c>
      <c r="AB48" s="11">
        <v>51</v>
      </c>
      <c r="AC48" s="12">
        <v>13786.176470588231</v>
      </c>
      <c r="AD48" s="12">
        <v>2834.6470588235288</v>
      </c>
      <c r="AE48" s="13">
        <v>6.2731084118856328</v>
      </c>
      <c r="AF48" s="11"/>
      <c r="AG48" s="11"/>
      <c r="AH48" s="11"/>
      <c r="AI48" s="12"/>
      <c r="AJ48" s="12"/>
      <c r="AK48" s="13"/>
      <c r="AL48" s="11"/>
      <c r="AM48" s="11"/>
      <c r="AN48" s="11"/>
      <c r="AO48" s="12"/>
      <c r="AP48" s="12"/>
      <c r="AQ48" s="13"/>
      <c r="AR48" s="11">
        <v>109348</v>
      </c>
      <c r="AS48" s="11">
        <v>11380</v>
      </c>
      <c r="AT48" s="11">
        <v>31</v>
      </c>
      <c r="AU48" s="12">
        <v>10582.06451612903</v>
      </c>
      <c r="AV48" s="12">
        <v>1101.2903225806449</v>
      </c>
      <c r="AW48" s="13">
        <v>4.4875976243110047</v>
      </c>
      <c r="AX48" s="11"/>
      <c r="AY48" s="11"/>
      <c r="AZ48" s="11"/>
      <c r="BA48" s="12"/>
      <c r="BB48" s="12"/>
      <c r="BC48" s="13"/>
      <c r="BD48" s="11"/>
      <c r="BE48" s="11"/>
      <c r="BF48" s="11"/>
      <c r="BG48" s="12"/>
      <c r="BH48" s="12"/>
      <c r="BI48" s="13"/>
      <c r="BJ48" s="11"/>
      <c r="BK48" s="11"/>
      <c r="BL48" s="11"/>
      <c r="BM48" s="12"/>
      <c r="BN48" s="12"/>
      <c r="BO48" s="13"/>
      <c r="BP48" s="11"/>
      <c r="BQ48" s="11"/>
      <c r="BR48" s="11"/>
      <c r="BS48" s="12"/>
      <c r="BT48" s="12"/>
      <c r="BU48" s="13"/>
      <c r="BV48" s="11"/>
      <c r="BW48" s="11"/>
      <c r="BX48" s="11"/>
      <c r="BY48" s="12"/>
      <c r="BZ48" s="12"/>
      <c r="CA48" s="13"/>
      <c r="CB48" s="11"/>
      <c r="CC48" s="11"/>
      <c r="CD48" s="11"/>
      <c r="CE48" s="12"/>
      <c r="CF48" s="12"/>
      <c r="CG48" s="13"/>
      <c r="CJ48" s="11"/>
      <c r="CK48" s="12"/>
      <c r="CL48" s="12"/>
      <c r="CM48" s="13"/>
    </row>
    <row r="49" spans="1:91" x14ac:dyDescent="0.25">
      <c r="A49" s="7" t="s">
        <v>47</v>
      </c>
      <c r="B49" s="8">
        <v>141921</v>
      </c>
      <c r="C49" s="8">
        <v>2097.3333333333335</v>
      </c>
      <c r="D49" s="8">
        <v>255</v>
      </c>
      <c r="E49" s="9">
        <v>10017.952941176471</v>
      </c>
      <c r="F49" s="9">
        <v>148.04705882352943</v>
      </c>
      <c r="G49" s="10">
        <v>1.7033333333333334</v>
      </c>
      <c r="H49" s="8">
        <v>29898</v>
      </c>
      <c r="I49" s="8">
        <v>390.5</v>
      </c>
      <c r="J49" s="8">
        <v>11</v>
      </c>
      <c r="K49" s="9">
        <v>16308</v>
      </c>
      <c r="L49" s="9">
        <v>213</v>
      </c>
      <c r="M49" s="10">
        <v>1.6</v>
      </c>
      <c r="N49" s="8">
        <f t="shared" si="6"/>
        <v>10211</v>
      </c>
      <c r="O49" s="8">
        <f t="shared" si="7"/>
        <v>1081</v>
      </c>
      <c r="P49" s="8">
        <f t="shared" si="8"/>
        <v>3</v>
      </c>
      <c r="Q49" s="9">
        <f t="shared" si="9"/>
        <v>10211</v>
      </c>
      <c r="R49" s="9">
        <f t="shared" si="10"/>
        <v>1081</v>
      </c>
      <c r="S49" s="10">
        <f t="shared" si="11"/>
        <v>5.1444617769822214</v>
      </c>
      <c r="T49" s="11"/>
      <c r="U49" s="11"/>
      <c r="V49" s="11"/>
      <c r="W49" s="12"/>
      <c r="X49" s="12"/>
      <c r="Y49" s="13"/>
      <c r="Z49" s="11"/>
      <c r="AA49" s="11"/>
      <c r="AB49" s="11"/>
      <c r="AC49" s="12"/>
      <c r="AD49" s="12"/>
      <c r="AE49" s="13"/>
      <c r="AF49" s="11"/>
      <c r="AG49" s="11"/>
      <c r="AH49" s="11"/>
      <c r="AI49" s="12"/>
      <c r="AJ49" s="12"/>
      <c r="AK49" s="13"/>
      <c r="AL49" s="11"/>
      <c r="AM49" s="11"/>
      <c r="AN49" s="11"/>
      <c r="AO49" s="12"/>
      <c r="AP49" s="12"/>
      <c r="AQ49" s="13"/>
      <c r="AR49" s="11">
        <v>10211</v>
      </c>
      <c r="AS49" s="11">
        <v>1081</v>
      </c>
      <c r="AT49" s="11">
        <v>3</v>
      </c>
      <c r="AU49" s="12">
        <v>10211</v>
      </c>
      <c r="AV49" s="12">
        <v>1081</v>
      </c>
      <c r="AW49" s="13">
        <v>5.1444617769822214</v>
      </c>
      <c r="AX49" s="11"/>
      <c r="AY49" s="11"/>
      <c r="AZ49" s="11"/>
      <c r="BA49" s="12"/>
      <c r="BB49" s="12"/>
      <c r="BC49" s="13"/>
      <c r="BD49" s="11"/>
      <c r="BE49" s="11"/>
      <c r="BF49" s="11"/>
      <c r="BG49" s="12"/>
      <c r="BH49" s="12"/>
      <c r="BI49" s="13"/>
      <c r="BJ49" s="11"/>
      <c r="BK49" s="11"/>
      <c r="BL49" s="11"/>
      <c r="BM49" s="12"/>
      <c r="BN49" s="12"/>
      <c r="BO49" s="13"/>
      <c r="BP49" s="11"/>
      <c r="BQ49" s="11"/>
      <c r="BR49" s="11"/>
      <c r="BS49" s="12"/>
      <c r="BT49" s="12"/>
      <c r="BU49" s="13"/>
      <c r="BV49" s="11"/>
      <c r="BW49" s="11"/>
      <c r="BX49" s="11"/>
      <c r="BY49" s="12"/>
      <c r="BZ49" s="12"/>
      <c r="CA49" s="13"/>
      <c r="CB49" s="11"/>
      <c r="CC49" s="11"/>
      <c r="CD49" s="11"/>
      <c r="CE49" s="12"/>
      <c r="CF49" s="12"/>
      <c r="CG49" s="13"/>
      <c r="CJ49" s="11"/>
      <c r="CK49" s="12"/>
      <c r="CL49" s="12"/>
      <c r="CM49" s="13"/>
    </row>
    <row r="50" spans="1:91" x14ac:dyDescent="0.25">
      <c r="A50" s="7" t="s">
        <v>48</v>
      </c>
      <c r="B50" s="8">
        <v>170107.45454545456</v>
      </c>
      <c r="C50" s="8">
        <v>23950.090909090908</v>
      </c>
      <c r="D50" s="8">
        <v>484</v>
      </c>
      <c r="E50" s="9">
        <v>11598.235537190083</v>
      </c>
      <c r="F50" s="9">
        <v>1632.9607438016528</v>
      </c>
      <c r="G50" s="10">
        <v>5.2509090909090901</v>
      </c>
      <c r="H50" s="8">
        <v>99980.272727272721</v>
      </c>
      <c r="I50" s="8">
        <v>16583</v>
      </c>
      <c r="J50" s="8">
        <v>255</v>
      </c>
      <c r="K50" s="9">
        <v>12938.623529411765</v>
      </c>
      <c r="L50" s="9">
        <v>2146.035294117647</v>
      </c>
      <c r="M50" s="10">
        <v>5.6493127741712597</v>
      </c>
      <c r="N50" s="8">
        <f t="shared" si="6"/>
        <v>121920.3</v>
      </c>
      <c r="O50" s="8">
        <f t="shared" si="7"/>
        <v>24106</v>
      </c>
      <c r="P50" s="8">
        <f t="shared" si="8"/>
        <v>354</v>
      </c>
      <c r="Q50" s="9">
        <f t="shared" si="9"/>
        <v>10332.228813559323</v>
      </c>
      <c r="R50" s="9">
        <f t="shared" si="10"/>
        <v>2042.8813559322034</v>
      </c>
      <c r="S50" s="10">
        <f t="shared" si="11"/>
        <v>6.9082931604544298</v>
      </c>
      <c r="T50" s="11">
        <v>42720</v>
      </c>
      <c r="U50" s="11">
        <v>8045</v>
      </c>
      <c r="V50" s="11">
        <v>8</v>
      </c>
      <c r="W50" s="12">
        <v>16020</v>
      </c>
      <c r="X50" s="12">
        <v>3016.875</v>
      </c>
      <c r="Y50" s="13">
        <v>5.9981810503619641</v>
      </c>
      <c r="Z50" s="11"/>
      <c r="AA50" s="11"/>
      <c r="AB50" s="11"/>
      <c r="AC50" s="12"/>
      <c r="AD50" s="12"/>
      <c r="AE50" s="13"/>
      <c r="AF50" s="11">
        <v>163094</v>
      </c>
      <c r="AG50" s="11">
        <v>27201</v>
      </c>
      <c r="AH50" s="11">
        <v>38</v>
      </c>
      <c r="AI50" s="12">
        <v>12875.84210526316</v>
      </c>
      <c r="AJ50" s="12">
        <v>2147.447368421052</v>
      </c>
      <c r="AK50" s="13">
        <v>5.6474338966607922</v>
      </c>
      <c r="AL50" s="11">
        <v>218717</v>
      </c>
      <c r="AM50" s="11">
        <v>31789</v>
      </c>
      <c r="AN50" s="11">
        <v>41</v>
      </c>
      <c r="AO50" s="12">
        <v>16003.682926829269</v>
      </c>
      <c r="AP50" s="12">
        <v>2326.024390243902</v>
      </c>
      <c r="AQ50" s="13">
        <v>5.2930027336246042</v>
      </c>
      <c r="AR50" s="11">
        <v>31242</v>
      </c>
      <c r="AS50" s="11">
        <v>37420</v>
      </c>
      <c r="AT50" s="11">
        <v>19</v>
      </c>
      <c r="AU50" s="12">
        <v>4932.9473684210516</v>
      </c>
      <c r="AV50" s="12">
        <v>5908.4210526315783</v>
      </c>
      <c r="AW50" s="13">
        <v>17.05378693474551</v>
      </c>
      <c r="AX50" s="11">
        <v>146285</v>
      </c>
      <c r="AY50" s="11">
        <v>19263</v>
      </c>
      <c r="AZ50" s="11">
        <v>45</v>
      </c>
      <c r="BA50" s="12">
        <v>9752.3333333333339</v>
      </c>
      <c r="BB50" s="12">
        <v>1284.2</v>
      </c>
      <c r="BC50" s="13">
        <v>5.0256358389773528</v>
      </c>
      <c r="BD50" s="11">
        <v>148207</v>
      </c>
      <c r="BE50" s="11">
        <v>33186</v>
      </c>
      <c r="BF50" s="11">
        <v>49</v>
      </c>
      <c r="BG50" s="12">
        <v>9073.8979591836742</v>
      </c>
      <c r="BH50" s="12">
        <v>2031.795918367347</v>
      </c>
      <c r="BI50" s="13">
        <v>6.7517577202968733</v>
      </c>
      <c r="BJ50" s="11">
        <v>102513</v>
      </c>
      <c r="BK50" s="11">
        <v>21436</v>
      </c>
      <c r="BL50" s="11">
        <v>32</v>
      </c>
      <c r="BM50" s="12">
        <v>9610.59375</v>
      </c>
      <c r="BN50" s="12">
        <v>2009.625</v>
      </c>
      <c r="BO50" s="13">
        <v>6.3242354768590996</v>
      </c>
      <c r="BP50" s="11">
        <v>157520</v>
      </c>
      <c r="BQ50" s="11">
        <v>28566</v>
      </c>
      <c r="BR50" s="11">
        <v>54</v>
      </c>
      <c r="BS50" s="12">
        <v>8751.1111111111113</v>
      </c>
      <c r="BT50" s="12">
        <v>1587</v>
      </c>
      <c r="BU50" s="13">
        <v>5.9464165453513118</v>
      </c>
      <c r="BV50" s="11">
        <v>86315</v>
      </c>
      <c r="BW50" s="11">
        <v>11537</v>
      </c>
      <c r="BX50" s="11">
        <v>28</v>
      </c>
      <c r="BY50" s="12">
        <v>9248.0357142857138</v>
      </c>
      <c r="BZ50" s="12">
        <v>1236.1071428571429</v>
      </c>
      <c r="CA50" s="13">
        <v>5.0748756037521234</v>
      </c>
      <c r="CB50" s="11">
        <v>122590</v>
      </c>
      <c r="CC50" s="11">
        <v>22617</v>
      </c>
      <c r="CD50" s="11">
        <v>40</v>
      </c>
      <c r="CE50" s="12">
        <v>9194.25</v>
      </c>
      <c r="CF50" s="12">
        <v>1696.2750000000001</v>
      </c>
      <c r="CG50" s="13">
        <v>5.9676058039146707</v>
      </c>
      <c r="CJ50" s="11"/>
      <c r="CK50" s="12"/>
      <c r="CL50" s="12"/>
      <c r="CM50" s="13"/>
    </row>
    <row r="51" spans="1:91" x14ac:dyDescent="0.25">
      <c r="A51" s="7" t="s">
        <v>49</v>
      </c>
      <c r="B51" s="8" t="s">
        <v>27</v>
      </c>
      <c r="C51" s="8" t="s">
        <v>27</v>
      </c>
      <c r="D51" s="8"/>
      <c r="E51" s="9" t="s">
        <v>27</v>
      </c>
      <c r="F51" s="9" t="s">
        <v>27</v>
      </c>
      <c r="G51" s="10" t="s">
        <v>27</v>
      </c>
      <c r="H51" s="8">
        <v>124200</v>
      </c>
      <c r="I51" s="8">
        <v>8746</v>
      </c>
      <c r="J51" s="8">
        <v>19</v>
      </c>
      <c r="K51" s="9">
        <v>39221.052631578947</v>
      </c>
      <c r="L51" s="9">
        <v>2761.8947368421054</v>
      </c>
      <c r="M51" s="10">
        <v>3.8023638719213539</v>
      </c>
      <c r="N51" s="8">
        <f t="shared" si="6"/>
        <v>126668</v>
      </c>
      <c r="O51" s="8">
        <f t="shared" si="7"/>
        <v>10453.666666666666</v>
      </c>
      <c r="P51" s="8">
        <f t="shared" si="8"/>
        <v>36</v>
      </c>
      <c r="Q51" s="9">
        <f t="shared" si="9"/>
        <v>31667</v>
      </c>
      <c r="R51" s="9">
        <f t="shared" si="10"/>
        <v>2613.416666666667</v>
      </c>
      <c r="S51" s="10">
        <f t="shared" si="11"/>
        <v>4.6489930607417618</v>
      </c>
      <c r="T51" s="11">
        <v>264600</v>
      </c>
      <c r="U51" s="11">
        <v>16674</v>
      </c>
      <c r="V51" s="11">
        <v>14</v>
      </c>
      <c r="W51" s="12">
        <v>56700</v>
      </c>
      <c r="X51" s="12">
        <v>3573</v>
      </c>
      <c r="Y51" s="13">
        <v>3.6</v>
      </c>
      <c r="Z51" s="11">
        <v>112904</v>
      </c>
      <c r="AA51" s="11">
        <v>14387</v>
      </c>
      <c r="AB51" s="11">
        <v>21</v>
      </c>
      <c r="AC51" s="12">
        <v>16129.142857142861</v>
      </c>
      <c r="AD51" s="12">
        <v>2055.2857142857142</v>
      </c>
      <c r="AE51" s="13">
        <v>5.3469791822252839</v>
      </c>
      <c r="AF51" s="11">
        <v>2500</v>
      </c>
      <c r="AG51" s="11">
        <v>300</v>
      </c>
      <c r="AH51" s="11">
        <v>1</v>
      </c>
      <c r="AI51" s="12">
        <v>7500</v>
      </c>
      <c r="AJ51" s="12">
        <v>900</v>
      </c>
      <c r="AK51" s="13">
        <v>5</v>
      </c>
      <c r="AL51" s="11"/>
      <c r="AM51" s="11"/>
      <c r="AN51" s="11"/>
      <c r="AO51" s="12"/>
      <c r="AP51" s="12"/>
      <c r="AQ51" s="13"/>
      <c r="AR51" s="11"/>
      <c r="AS51" s="11"/>
      <c r="AT51" s="11"/>
      <c r="AU51" s="12"/>
      <c r="AV51" s="12"/>
      <c r="AW51" s="13"/>
      <c r="AX51" s="11"/>
      <c r="AY51" s="11"/>
      <c r="AZ51" s="11"/>
      <c r="BA51" s="12"/>
      <c r="BB51" s="12"/>
      <c r="BC51" s="13"/>
      <c r="BD51" s="11"/>
      <c r="BE51" s="11"/>
      <c r="BF51" s="11"/>
      <c r="BG51" s="12"/>
      <c r="BH51" s="12"/>
      <c r="BI51" s="13"/>
      <c r="BJ51" s="11"/>
      <c r="BK51" s="11"/>
      <c r="BL51" s="11"/>
      <c r="BM51" s="12"/>
      <c r="BN51" s="12"/>
      <c r="BO51" s="13"/>
      <c r="BP51" s="11"/>
      <c r="BQ51" s="11"/>
      <c r="BR51" s="11"/>
      <c r="BS51" s="12"/>
      <c r="BT51" s="12"/>
      <c r="BU51" s="13"/>
      <c r="BV51" s="11"/>
      <c r="BW51" s="11"/>
      <c r="BX51" s="11"/>
      <c r="BY51" s="12"/>
      <c r="BZ51" s="12"/>
      <c r="CA51" s="13"/>
      <c r="CB51" s="11"/>
      <c r="CC51" s="11"/>
      <c r="CD51" s="11"/>
      <c r="CE51" s="12"/>
      <c r="CF51" s="12"/>
      <c r="CG51" s="13"/>
      <c r="CJ51" s="11"/>
      <c r="CK51" s="12"/>
      <c r="CL51" s="12"/>
      <c r="CM51" s="13"/>
    </row>
    <row r="52" spans="1:91" x14ac:dyDescent="0.25">
      <c r="A52" s="7" t="s">
        <v>50</v>
      </c>
      <c r="B52" s="8">
        <v>19178.363636363636</v>
      </c>
      <c r="C52" s="8">
        <v>26087.272727272728</v>
      </c>
      <c r="D52" s="8">
        <v>331</v>
      </c>
      <c r="E52" s="9">
        <v>1912.0422960725075</v>
      </c>
      <c r="F52" s="9">
        <v>2600.8459214501509</v>
      </c>
      <c r="G52" s="10">
        <v>19.026363636363637</v>
      </c>
      <c r="H52" s="8">
        <v>9613.0833333333339</v>
      </c>
      <c r="I52" s="8">
        <v>18982.666666666668</v>
      </c>
      <c r="J52" s="8">
        <v>101</v>
      </c>
      <c r="K52" s="9">
        <v>3426.4455445544554</v>
      </c>
      <c r="L52" s="9">
        <v>6766.0990099009896</v>
      </c>
      <c r="M52" s="10">
        <v>21.755159446892272</v>
      </c>
      <c r="N52" s="8">
        <f t="shared" si="6"/>
        <v>26672.3</v>
      </c>
      <c r="O52" s="8">
        <f t="shared" si="7"/>
        <v>39109.699999999997</v>
      </c>
      <c r="P52" s="8">
        <f t="shared" si="8"/>
        <v>174</v>
      </c>
      <c r="Q52" s="9">
        <f t="shared" si="9"/>
        <v>4598.6724137931033</v>
      </c>
      <c r="R52" s="9">
        <f t="shared" si="10"/>
        <v>6743.0517241379312</v>
      </c>
      <c r="S52" s="10">
        <f t="shared" si="11"/>
        <v>18.920824475001645</v>
      </c>
      <c r="T52" s="11">
        <v>28700</v>
      </c>
      <c r="U52" s="11">
        <v>37946</v>
      </c>
      <c r="V52" s="11">
        <v>16</v>
      </c>
      <c r="W52" s="12">
        <v>5381.25</v>
      </c>
      <c r="X52" s="12">
        <v>7114.875</v>
      </c>
      <c r="Y52" s="13">
        <v>17.52996439151957</v>
      </c>
      <c r="Z52" s="11">
        <v>23195</v>
      </c>
      <c r="AA52" s="11">
        <v>39835</v>
      </c>
      <c r="AB52" s="11">
        <v>19</v>
      </c>
      <c r="AC52" s="12">
        <v>3662.3684210526321</v>
      </c>
      <c r="AD52" s="12">
        <v>6289.7368421052633</v>
      </c>
      <c r="AE52" s="13">
        <v>20.421121493713429</v>
      </c>
      <c r="AF52" s="11">
        <v>12809</v>
      </c>
      <c r="AG52" s="11">
        <v>19857</v>
      </c>
      <c r="AH52" s="11">
        <v>8</v>
      </c>
      <c r="AI52" s="12">
        <v>4803.375</v>
      </c>
      <c r="AJ52" s="12">
        <v>7446.375</v>
      </c>
      <c r="AK52" s="13">
        <v>19.267417160608439</v>
      </c>
      <c r="AL52" s="11">
        <v>25621</v>
      </c>
      <c r="AM52" s="11">
        <v>44887</v>
      </c>
      <c r="AN52" s="11">
        <v>19</v>
      </c>
      <c r="AO52" s="12">
        <v>4045.4210526315792</v>
      </c>
      <c r="AP52" s="12">
        <v>7087.4210526315783</v>
      </c>
      <c r="AQ52" s="13">
        <v>20.594806999825369</v>
      </c>
      <c r="AR52" s="11"/>
      <c r="AS52" s="11"/>
      <c r="AT52" s="11"/>
      <c r="AU52" s="12"/>
      <c r="AV52" s="12"/>
      <c r="AW52" s="13"/>
      <c r="AX52" s="11">
        <v>26049</v>
      </c>
      <c r="AY52" s="11">
        <v>27006</v>
      </c>
      <c r="AZ52" s="11">
        <v>13</v>
      </c>
      <c r="BA52" s="12">
        <v>6011.3076923076924</v>
      </c>
      <c r="BB52" s="12">
        <v>6232.1538461538457</v>
      </c>
      <c r="BC52" s="13">
        <v>15.915345433799731</v>
      </c>
      <c r="BD52" s="11">
        <v>26104</v>
      </c>
      <c r="BE52" s="11">
        <v>35597</v>
      </c>
      <c r="BF52" s="11">
        <v>14</v>
      </c>
      <c r="BG52" s="12">
        <v>5593.7142857142862</v>
      </c>
      <c r="BH52" s="12">
        <v>7627.9285714285716</v>
      </c>
      <c r="BI52" s="13">
        <v>18.073329093371679</v>
      </c>
      <c r="BJ52" s="11">
        <v>45349</v>
      </c>
      <c r="BK52" s="11">
        <v>49375</v>
      </c>
      <c r="BL52" s="11">
        <v>22</v>
      </c>
      <c r="BM52" s="12">
        <v>6183.954545454546</v>
      </c>
      <c r="BN52" s="12">
        <v>6732.954545454546</v>
      </c>
      <c r="BO52" s="13">
        <v>16.275579814890708</v>
      </c>
      <c r="BP52" s="11">
        <v>29235</v>
      </c>
      <c r="BQ52" s="11">
        <v>51289</v>
      </c>
      <c r="BR52" s="11">
        <v>24</v>
      </c>
      <c r="BS52" s="12">
        <v>3654.375</v>
      </c>
      <c r="BT52" s="12">
        <v>6411.125</v>
      </c>
      <c r="BU52" s="13">
        <v>20.61017101181621</v>
      </c>
      <c r="BV52" s="11">
        <v>27981</v>
      </c>
      <c r="BW52" s="11">
        <v>51599</v>
      </c>
      <c r="BX52" s="11">
        <v>24</v>
      </c>
      <c r="BY52" s="12">
        <v>3497.625</v>
      </c>
      <c r="BZ52" s="12">
        <v>6449.875</v>
      </c>
      <c r="CA52" s="13">
        <v>21.1374033803753</v>
      </c>
      <c r="CB52" s="11">
        <v>21680</v>
      </c>
      <c r="CC52" s="11">
        <v>33706</v>
      </c>
      <c r="CD52" s="11">
        <v>15</v>
      </c>
      <c r="CE52" s="12">
        <v>4336</v>
      </c>
      <c r="CF52" s="12">
        <v>6741.2</v>
      </c>
      <c r="CG52" s="13">
        <v>19.383105970095979</v>
      </c>
      <c r="CJ52" s="11"/>
      <c r="CK52" s="12"/>
      <c r="CL52" s="12"/>
      <c r="CM52" s="13"/>
    </row>
    <row r="53" spans="1:91" x14ac:dyDescent="0.25">
      <c r="A53" s="7" t="s">
        <v>51</v>
      </c>
      <c r="B53" s="8"/>
      <c r="C53" s="8"/>
      <c r="D53" s="8"/>
      <c r="E53" s="9"/>
      <c r="F53" s="9"/>
      <c r="G53" s="10"/>
      <c r="H53" s="8">
        <v>22574.5</v>
      </c>
      <c r="I53" s="8">
        <v>783.25</v>
      </c>
      <c r="J53" s="8">
        <v>15</v>
      </c>
      <c r="K53" s="9">
        <v>18059.599999999999</v>
      </c>
      <c r="L53" s="9">
        <v>626.6</v>
      </c>
      <c r="M53" s="10">
        <v>2.564912660559858</v>
      </c>
      <c r="N53" s="8">
        <f t="shared" si="6"/>
        <v>252182.44444444444</v>
      </c>
      <c r="O53" s="8">
        <f t="shared" si="7"/>
        <v>8818.1111111111113</v>
      </c>
      <c r="P53" s="8">
        <f t="shared" si="8"/>
        <v>316</v>
      </c>
      <c r="Q53" s="9">
        <f t="shared" si="9"/>
        <v>21547.234177215192</v>
      </c>
      <c r="R53" s="9">
        <f t="shared" si="10"/>
        <v>753.44620253164567</v>
      </c>
      <c r="S53" s="10">
        <f t="shared" si="11"/>
        <v>2.5230266968695361</v>
      </c>
      <c r="T53" s="11"/>
      <c r="U53" s="11"/>
      <c r="V53" s="11"/>
      <c r="W53" s="12"/>
      <c r="X53" s="12"/>
      <c r="Y53" s="13"/>
      <c r="Z53" s="11">
        <v>65040</v>
      </c>
      <c r="AA53" s="11">
        <v>2412</v>
      </c>
      <c r="AB53" s="11">
        <v>8</v>
      </c>
      <c r="AC53" s="12">
        <v>24390</v>
      </c>
      <c r="AD53" s="12">
        <v>904.5</v>
      </c>
      <c r="AE53" s="13">
        <v>2.65</v>
      </c>
      <c r="AF53" s="11">
        <v>100562</v>
      </c>
      <c r="AG53" s="11">
        <v>3752</v>
      </c>
      <c r="AH53" s="11">
        <v>16</v>
      </c>
      <c r="AI53" s="12">
        <v>18855.375</v>
      </c>
      <c r="AJ53" s="12">
        <v>703.5</v>
      </c>
      <c r="AK53" s="13">
        <v>2.6599661726004511</v>
      </c>
      <c r="AL53" s="11"/>
      <c r="AM53" s="11"/>
      <c r="AN53" s="11"/>
      <c r="AO53" s="12"/>
      <c r="AP53" s="12"/>
      <c r="AQ53" s="13"/>
      <c r="AR53" s="11">
        <v>335235</v>
      </c>
      <c r="AS53" s="11">
        <v>12416</v>
      </c>
      <c r="AT53" s="11">
        <v>44</v>
      </c>
      <c r="AU53" s="12">
        <v>22856.93181818182</v>
      </c>
      <c r="AV53" s="12">
        <v>846.5454545454545</v>
      </c>
      <c r="AW53" s="13">
        <v>2.65</v>
      </c>
      <c r="AX53" s="11">
        <v>255425</v>
      </c>
      <c r="AY53" s="11">
        <v>9450</v>
      </c>
      <c r="AZ53" s="11">
        <v>35</v>
      </c>
      <c r="BA53" s="12">
        <v>21893.571428571431</v>
      </c>
      <c r="BB53" s="12">
        <v>810</v>
      </c>
      <c r="BC53" s="13">
        <v>2.65</v>
      </c>
      <c r="BD53" s="11">
        <v>422445</v>
      </c>
      <c r="BE53" s="11">
        <v>15660</v>
      </c>
      <c r="BF53" s="11">
        <v>55</v>
      </c>
      <c r="BG53" s="12">
        <v>23042.45454545454</v>
      </c>
      <c r="BH53" s="12">
        <v>854.18181818181824</v>
      </c>
      <c r="BI53" s="13">
        <v>2.65</v>
      </c>
      <c r="BJ53" s="11">
        <v>454195</v>
      </c>
      <c r="BK53" s="11">
        <v>16822</v>
      </c>
      <c r="BL53" s="11">
        <v>59</v>
      </c>
      <c r="BM53" s="12">
        <v>23094.661016949151</v>
      </c>
      <c r="BN53" s="12">
        <v>855.35593220338978</v>
      </c>
      <c r="BO53" s="13">
        <v>2.65</v>
      </c>
      <c r="BP53" s="11">
        <v>313691</v>
      </c>
      <c r="BQ53" s="11">
        <v>11184</v>
      </c>
      <c r="BR53" s="11">
        <v>47</v>
      </c>
      <c r="BS53" s="12">
        <v>20022.829787234041</v>
      </c>
      <c r="BT53" s="12">
        <v>713.87234042553189</v>
      </c>
      <c r="BU53" s="13">
        <v>2.5998828526841971</v>
      </c>
      <c r="BV53" s="11">
        <v>256908</v>
      </c>
      <c r="BW53" s="11">
        <v>6162</v>
      </c>
      <c r="BX53" s="11">
        <v>31</v>
      </c>
      <c r="BY53" s="12">
        <v>24862.06451612903</v>
      </c>
      <c r="BZ53" s="12">
        <v>596.32258064516134</v>
      </c>
      <c r="CA53" s="13">
        <v>2.13</v>
      </c>
      <c r="CB53" s="11">
        <v>66141</v>
      </c>
      <c r="CC53" s="11">
        <v>1505</v>
      </c>
      <c r="CD53" s="11">
        <v>21</v>
      </c>
      <c r="CE53" s="12">
        <v>9448.7142857142862</v>
      </c>
      <c r="CF53" s="12">
        <v>215</v>
      </c>
      <c r="CG53" s="13">
        <v>2.067391246541177</v>
      </c>
      <c r="CJ53" s="11"/>
      <c r="CK53" s="12"/>
      <c r="CL53" s="12"/>
      <c r="CM53" s="13"/>
    </row>
    <row r="54" spans="1:91" x14ac:dyDescent="0.25">
      <c r="A54" s="7" t="s">
        <v>52</v>
      </c>
      <c r="B54" s="8"/>
      <c r="C54" s="8"/>
      <c r="D54" s="8"/>
      <c r="E54" s="9"/>
      <c r="F54" s="9"/>
      <c r="G54" s="10"/>
      <c r="H54" s="8">
        <v>21680</v>
      </c>
      <c r="I54" s="8">
        <v>804</v>
      </c>
      <c r="J54" s="8">
        <v>3</v>
      </c>
      <c r="K54" s="9">
        <v>21680</v>
      </c>
      <c r="L54" s="9">
        <v>804</v>
      </c>
      <c r="M54" s="10">
        <v>2.65</v>
      </c>
      <c r="N54" s="8">
        <f t="shared" si="6"/>
        <v>225840.55555555556</v>
      </c>
      <c r="O54" s="8">
        <f t="shared" si="7"/>
        <v>8374.8888888888887</v>
      </c>
      <c r="P54" s="8">
        <f t="shared" si="8"/>
        <v>280</v>
      </c>
      <c r="Q54" s="9">
        <f t="shared" si="9"/>
        <v>21777.482142857145</v>
      </c>
      <c r="R54" s="9">
        <f t="shared" si="10"/>
        <v>807.57857142857142</v>
      </c>
      <c r="S54" s="10">
        <f t="shared" si="11"/>
        <v>2.6758922947377686</v>
      </c>
      <c r="T54" s="11"/>
      <c r="U54" s="11"/>
      <c r="V54" s="11"/>
      <c r="W54" s="12"/>
      <c r="X54" s="12"/>
      <c r="Y54" s="13"/>
      <c r="Z54" s="11">
        <v>43360</v>
      </c>
      <c r="AA54" s="11">
        <v>1608</v>
      </c>
      <c r="AB54" s="11">
        <v>7</v>
      </c>
      <c r="AC54" s="12">
        <v>18582.857142857141</v>
      </c>
      <c r="AD54" s="12">
        <v>689.14285714285711</v>
      </c>
      <c r="AE54" s="13">
        <v>2.65</v>
      </c>
      <c r="AF54" s="11">
        <v>99986</v>
      </c>
      <c r="AG54" s="11">
        <v>4781</v>
      </c>
      <c r="AH54" s="11">
        <v>15</v>
      </c>
      <c r="AI54" s="12">
        <v>19997.2</v>
      </c>
      <c r="AJ54" s="12">
        <v>956.2</v>
      </c>
      <c r="AK54" s="13">
        <v>2.9837960763871858</v>
      </c>
      <c r="AL54" s="11"/>
      <c r="AM54" s="11"/>
      <c r="AN54" s="11"/>
      <c r="AO54" s="12"/>
      <c r="AP54" s="12"/>
      <c r="AQ54" s="13"/>
      <c r="AR54" s="11">
        <v>329955</v>
      </c>
      <c r="AS54" s="11">
        <v>12223</v>
      </c>
      <c r="AT54" s="11">
        <v>40</v>
      </c>
      <c r="AU54" s="12">
        <v>24746.625</v>
      </c>
      <c r="AV54" s="12">
        <v>916.72499999999991</v>
      </c>
      <c r="AW54" s="13">
        <v>2.65</v>
      </c>
      <c r="AX54" s="11">
        <v>123422</v>
      </c>
      <c r="AY54" s="11">
        <v>4565</v>
      </c>
      <c r="AZ54" s="11">
        <v>16</v>
      </c>
      <c r="BA54" s="12">
        <v>23141.625</v>
      </c>
      <c r="BB54" s="12">
        <v>855.9375</v>
      </c>
      <c r="BC54" s="13">
        <v>2.65</v>
      </c>
      <c r="BD54" s="11">
        <v>400555</v>
      </c>
      <c r="BE54" s="11">
        <v>14844</v>
      </c>
      <c r="BF54" s="11">
        <v>53</v>
      </c>
      <c r="BG54" s="12">
        <v>22672.92452830189</v>
      </c>
      <c r="BH54" s="12">
        <v>840.2264150943397</v>
      </c>
      <c r="BI54" s="13">
        <v>2.65</v>
      </c>
      <c r="BJ54" s="11">
        <v>416395</v>
      </c>
      <c r="BK54" s="11">
        <v>15423</v>
      </c>
      <c r="BL54" s="11">
        <v>55</v>
      </c>
      <c r="BM54" s="12">
        <v>22712.45454545454</v>
      </c>
      <c r="BN54" s="12">
        <v>841.25454545454545</v>
      </c>
      <c r="BO54" s="13">
        <v>2.65</v>
      </c>
      <c r="BP54" s="11">
        <v>258445</v>
      </c>
      <c r="BQ54" s="11">
        <v>9691</v>
      </c>
      <c r="BR54" s="11">
        <v>40</v>
      </c>
      <c r="BS54" s="12">
        <v>19383.375</v>
      </c>
      <c r="BT54" s="12">
        <v>726.82500000000005</v>
      </c>
      <c r="BU54" s="13">
        <v>2.6487323379175041</v>
      </c>
      <c r="BV54" s="11">
        <v>225185</v>
      </c>
      <c r="BW54" s="11">
        <v>6806</v>
      </c>
      <c r="BX54" s="11">
        <v>33</v>
      </c>
      <c r="BY54" s="12">
        <v>20471.36363636364</v>
      </c>
      <c r="BZ54" s="12">
        <v>618.72727272727275</v>
      </c>
      <c r="CA54" s="13">
        <v>2.3937951291738639</v>
      </c>
      <c r="CB54" s="11">
        <v>135262</v>
      </c>
      <c r="CC54" s="11">
        <v>5433</v>
      </c>
      <c r="CD54" s="11">
        <v>21</v>
      </c>
      <c r="CE54" s="12">
        <v>19323.142857142859</v>
      </c>
      <c r="CF54" s="12">
        <v>776.14285714285711</v>
      </c>
      <c r="CG54" s="13">
        <v>2.8067071091613629</v>
      </c>
      <c r="CJ54" s="11"/>
      <c r="CK54" s="12"/>
      <c r="CL54" s="12"/>
      <c r="CM54" s="13"/>
    </row>
    <row r="55" spans="1:91" x14ac:dyDescent="0.25">
      <c r="A55" s="7" t="s">
        <v>53</v>
      </c>
      <c r="B55" s="8"/>
      <c r="C55" s="8"/>
      <c r="D55" s="8"/>
      <c r="E55" s="9"/>
      <c r="F55" s="9"/>
      <c r="G55" s="10"/>
      <c r="H55" s="8">
        <v>103503.14285714286</v>
      </c>
      <c r="I55" s="8">
        <v>1794.5714285714287</v>
      </c>
      <c r="J55" s="8">
        <v>120</v>
      </c>
      <c r="K55" s="9">
        <v>18113.05</v>
      </c>
      <c r="L55" s="9">
        <v>314.05</v>
      </c>
      <c r="M55" s="10">
        <v>1.8548290255852711</v>
      </c>
      <c r="N55" s="8">
        <f t="shared" si="6"/>
        <v>229355.81818181818</v>
      </c>
      <c r="O55" s="8">
        <f t="shared" si="7"/>
        <v>4687.090909090909</v>
      </c>
      <c r="P55" s="8">
        <f t="shared" si="8"/>
        <v>458</v>
      </c>
      <c r="Q55" s="9">
        <f t="shared" si="9"/>
        <v>16525.637554585155</v>
      </c>
      <c r="R55" s="9">
        <f t="shared" si="10"/>
        <v>337.71615720524017</v>
      </c>
      <c r="S55" s="10">
        <f t="shared" si="11"/>
        <v>2.0422479294337981</v>
      </c>
      <c r="T55" s="11">
        <v>201375</v>
      </c>
      <c r="U55" s="11">
        <v>4388</v>
      </c>
      <c r="V55" s="11">
        <v>40</v>
      </c>
      <c r="W55" s="12">
        <v>15103.125</v>
      </c>
      <c r="X55" s="12">
        <v>329.1</v>
      </c>
      <c r="Y55" s="13">
        <v>2.0825111399569249</v>
      </c>
      <c r="Z55" s="11">
        <v>224283</v>
      </c>
      <c r="AA55" s="11">
        <v>4241</v>
      </c>
      <c r="AB55" s="11">
        <v>38</v>
      </c>
      <c r="AC55" s="12">
        <v>17706.55263157895</v>
      </c>
      <c r="AD55" s="12">
        <v>334.81578947368422</v>
      </c>
      <c r="AE55" s="13">
        <v>1.9471711560235609</v>
      </c>
      <c r="AF55" s="11">
        <v>190939</v>
      </c>
      <c r="AG55" s="11">
        <v>4645</v>
      </c>
      <c r="AH55" s="11">
        <v>35</v>
      </c>
      <c r="AI55" s="12">
        <v>16366.2</v>
      </c>
      <c r="AJ55" s="12">
        <v>398.14285714285722</v>
      </c>
      <c r="AK55" s="13">
        <v>2.2010448574327262</v>
      </c>
      <c r="AL55" s="11">
        <v>361427</v>
      </c>
      <c r="AM55" s="11">
        <v>5849</v>
      </c>
      <c r="AN55" s="11">
        <v>53</v>
      </c>
      <c r="AO55" s="12">
        <v>20458.132075471702</v>
      </c>
      <c r="AP55" s="12">
        <v>331.07547169811318</v>
      </c>
      <c r="AQ55" s="13">
        <v>1.7921884702285129</v>
      </c>
      <c r="AR55" s="11">
        <v>267243</v>
      </c>
      <c r="AS55" s="11">
        <v>4836</v>
      </c>
      <c r="AT55" s="11">
        <v>44</v>
      </c>
      <c r="AU55" s="12">
        <v>18221.11363636364</v>
      </c>
      <c r="AV55" s="12">
        <v>329.72727272727269</v>
      </c>
      <c r="AW55" s="13">
        <v>1.901904157723874</v>
      </c>
      <c r="AX55" s="11">
        <v>110008</v>
      </c>
      <c r="AY55" s="11">
        <v>2958</v>
      </c>
      <c r="AZ55" s="11">
        <v>30</v>
      </c>
      <c r="BA55" s="12">
        <v>11000.8</v>
      </c>
      <c r="BB55" s="12">
        <v>295.8</v>
      </c>
      <c r="BC55" s="13">
        <v>2.307450126105997</v>
      </c>
      <c r="BD55" s="11">
        <v>189793</v>
      </c>
      <c r="BE55" s="11">
        <v>4161</v>
      </c>
      <c r="BF55" s="11">
        <v>39</v>
      </c>
      <c r="BG55" s="12">
        <v>14599.461538461541</v>
      </c>
      <c r="BH55" s="12">
        <v>320.07692307692309</v>
      </c>
      <c r="BI55" s="13">
        <v>2.0831366815907271</v>
      </c>
      <c r="BJ55" s="11">
        <v>196172</v>
      </c>
      <c r="BK55" s="11">
        <v>4237</v>
      </c>
      <c r="BL55" s="11">
        <v>32</v>
      </c>
      <c r="BM55" s="12">
        <v>18391.125</v>
      </c>
      <c r="BN55" s="12">
        <v>397.21875</v>
      </c>
      <c r="BO55" s="13">
        <v>2.0712376192191568</v>
      </c>
      <c r="BP55" s="11">
        <v>245294</v>
      </c>
      <c r="BQ55" s="11">
        <v>4788</v>
      </c>
      <c r="BR55" s="11">
        <v>56</v>
      </c>
      <c r="BS55" s="12">
        <v>13140.75</v>
      </c>
      <c r="BT55" s="12">
        <v>256.5</v>
      </c>
      <c r="BU55" s="13">
        <v>1.9578570002753299</v>
      </c>
      <c r="BV55" s="11">
        <v>267672</v>
      </c>
      <c r="BW55" s="11">
        <v>5585</v>
      </c>
      <c r="BX55" s="11">
        <v>49</v>
      </c>
      <c r="BY55" s="12">
        <v>16388.081632653058</v>
      </c>
      <c r="BZ55" s="12">
        <v>341.9387755102041</v>
      </c>
      <c r="CA55" s="13">
        <v>2.0386466744283802</v>
      </c>
      <c r="CB55" s="11">
        <v>268708</v>
      </c>
      <c r="CC55" s="11">
        <v>5870</v>
      </c>
      <c r="CD55" s="11">
        <v>42</v>
      </c>
      <c r="CE55" s="12">
        <v>19193.428571428569</v>
      </c>
      <c r="CF55" s="12">
        <v>419.28571428571428</v>
      </c>
      <c r="CG55" s="13">
        <v>2.081579340786587</v>
      </c>
      <c r="CJ55" s="11"/>
      <c r="CK55" s="12"/>
      <c r="CL55" s="12"/>
      <c r="CM55" s="13"/>
    </row>
    <row r="56" spans="1:91" x14ac:dyDescent="0.25">
      <c r="A56" s="7" t="s">
        <v>54</v>
      </c>
      <c r="B56" s="8"/>
      <c r="C56" s="8"/>
      <c r="D56" s="8"/>
      <c r="E56" s="9"/>
      <c r="F56" s="9"/>
      <c r="G56" s="10"/>
      <c r="H56" s="8">
        <v>136155.44444444444</v>
      </c>
      <c r="I56" s="8">
        <v>2197.5555555555557</v>
      </c>
      <c r="J56" s="8">
        <v>215</v>
      </c>
      <c r="K56" s="9">
        <v>17098.590697674419</v>
      </c>
      <c r="L56" s="9">
        <v>275.97209302325581</v>
      </c>
      <c r="M56" s="10">
        <v>1.7889638464614579</v>
      </c>
      <c r="N56" s="8">
        <f t="shared" si="6"/>
        <v>238865.54545454544</v>
      </c>
      <c r="O56" s="8">
        <f t="shared" si="7"/>
        <v>4510.909090909091</v>
      </c>
      <c r="P56" s="8">
        <f t="shared" si="8"/>
        <v>459</v>
      </c>
      <c r="Q56" s="9">
        <f t="shared" si="9"/>
        <v>17173.339869281048</v>
      </c>
      <c r="R56" s="9">
        <f t="shared" si="10"/>
        <v>324.31372549019608</v>
      </c>
      <c r="S56" s="10">
        <f t="shared" si="11"/>
        <v>1.9416890925451895</v>
      </c>
      <c r="T56" s="11">
        <v>211721</v>
      </c>
      <c r="U56" s="11">
        <v>4054</v>
      </c>
      <c r="V56" s="11">
        <v>37</v>
      </c>
      <c r="W56" s="12">
        <v>17166.56756756757</v>
      </c>
      <c r="X56" s="12">
        <v>328.70270270270271</v>
      </c>
      <c r="Y56" s="13">
        <v>1.9453382994665329</v>
      </c>
      <c r="Z56" s="11">
        <v>254540</v>
      </c>
      <c r="AA56" s="11">
        <v>4251</v>
      </c>
      <c r="AB56" s="11">
        <v>43</v>
      </c>
      <c r="AC56" s="12">
        <v>17758.60465116279</v>
      </c>
      <c r="AD56" s="12">
        <v>296.58139534883719</v>
      </c>
      <c r="AE56" s="13">
        <v>1.8264984992862781</v>
      </c>
      <c r="AF56" s="11">
        <v>220791</v>
      </c>
      <c r="AG56" s="11">
        <v>4063</v>
      </c>
      <c r="AH56" s="11">
        <v>47</v>
      </c>
      <c r="AI56" s="12">
        <v>14093.04255319149</v>
      </c>
      <c r="AJ56" s="12">
        <v>259.34042553191489</v>
      </c>
      <c r="AK56" s="13">
        <v>1.9109322289146631</v>
      </c>
      <c r="AL56" s="11">
        <v>306154</v>
      </c>
      <c r="AM56" s="11">
        <v>4844</v>
      </c>
      <c r="AN56" s="11">
        <v>42</v>
      </c>
      <c r="AO56" s="12">
        <v>21868.142857142859</v>
      </c>
      <c r="AP56" s="12">
        <v>346</v>
      </c>
      <c r="AQ56" s="13">
        <v>1.774925001224128</v>
      </c>
      <c r="AR56" s="11">
        <v>208891</v>
      </c>
      <c r="AS56" s="11">
        <v>4423</v>
      </c>
      <c r="AT56" s="11">
        <v>38</v>
      </c>
      <c r="AU56" s="12">
        <v>16491.39473684211</v>
      </c>
      <c r="AV56" s="12">
        <v>349.18421052631578</v>
      </c>
      <c r="AW56" s="13">
        <v>2.0574229478224231</v>
      </c>
      <c r="AX56" s="11">
        <v>129270</v>
      </c>
      <c r="AY56" s="11">
        <v>2403</v>
      </c>
      <c r="AZ56" s="11">
        <v>31</v>
      </c>
      <c r="BA56" s="12">
        <v>12510</v>
      </c>
      <c r="BB56" s="12">
        <v>232.54838709677421</v>
      </c>
      <c r="BC56" s="13">
        <v>1.914366411743746</v>
      </c>
      <c r="BD56" s="11">
        <v>247651</v>
      </c>
      <c r="BE56" s="11">
        <v>5028</v>
      </c>
      <c r="BF56" s="11">
        <v>53</v>
      </c>
      <c r="BG56" s="12">
        <v>14017.981132075471</v>
      </c>
      <c r="BH56" s="12">
        <v>284.60377358490558</v>
      </c>
      <c r="BI56" s="13">
        <v>2.00725091213913</v>
      </c>
      <c r="BJ56" s="11">
        <v>188648</v>
      </c>
      <c r="BK56" s="11">
        <v>3645</v>
      </c>
      <c r="BL56" s="11">
        <v>29</v>
      </c>
      <c r="BM56" s="12">
        <v>19515.310344827591</v>
      </c>
      <c r="BN56" s="12">
        <v>377.06896551724139</v>
      </c>
      <c r="BO56" s="13">
        <v>1.965258827920225</v>
      </c>
      <c r="BP56" s="11">
        <v>250238</v>
      </c>
      <c r="BQ56" s="11">
        <v>4925</v>
      </c>
      <c r="BR56" s="11">
        <v>48</v>
      </c>
      <c r="BS56" s="12">
        <v>15639.875</v>
      </c>
      <c r="BT56" s="12">
        <v>307.8125</v>
      </c>
      <c r="BU56" s="13">
        <v>1.983716518324564</v>
      </c>
      <c r="BV56" s="11">
        <v>327607</v>
      </c>
      <c r="BW56" s="11">
        <v>5844</v>
      </c>
      <c r="BX56" s="11">
        <v>46</v>
      </c>
      <c r="BY56" s="12">
        <v>21365.67391304348</v>
      </c>
      <c r="BZ56" s="12">
        <v>381.13043478260869</v>
      </c>
      <c r="CA56" s="13">
        <v>1.887618547792554</v>
      </c>
      <c r="CB56" s="11">
        <v>282010</v>
      </c>
      <c r="CC56" s="11">
        <v>6140</v>
      </c>
      <c r="CD56" s="11">
        <v>45</v>
      </c>
      <c r="CE56" s="12">
        <v>18800.666666666661</v>
      </c>
      <c r="CF56" s="12">
        <v>409.33333333333343</v>
      </c>
      <c r="CG56" s="13">
        <v>2.085251823362841</v>
      </c>
      <c r="CJ56" s="11"/>
      <c r="CK56" s="12"/>
      <c r="CL56" s="12"/>
      <c r="CM56" s="13"/>
    </row>
    <row r="57" spans="1:91" x14ac:dyDescent="0.25">
      <c r="A57" s="7" t="s">
        <v>55</v>
      </c>
      <c r="B57" s="8"/>
      <c r="C57" s="8"/>
      <c r="D57" s="8"/>
      <c r="E57" s="9"/>
      <c r="F57" s="9"/>
      <c r="G57" s="10"/>
      <c r="H57" s="8">
        <v>243612.5</v>
      </c>
      <c r="I57" s="8">
        <v>15446.5</v>
      </c>
      <c r="J57" s="8">
        <v>71</v>
      </c>
      <c r="K57" s="9">
        <v>41173.943661971833</v>
      </c>
      <c r="L57" s="9">
        <v>2610.6760563380285</v>
      </c>
      <c r="M57" s="10">
        <v>3.6078824962187479</v>
      </c>
      <c r="N57" s="8">
        <f t="shared" si="6"/>
        <v>273862.63636363635</v>
      </c>
      <c r="O57" s="8">
        <f t="shared" si="7"/>
        <v>15963.545454545454</v>
      </c>
      <c r="P57" s="8">
        <f t="shared" si="8"/>
        <v>522</v>
      </c>
      <c r="Q57" s="9">
        <f t="shared" si="9"/>
        <v>17313.155172413793</v>
      </c>
      <c r="R57" s="9">
        <f t="shared" si="10"/>
        <v>1009.1896551724137</v>
      </c>
      <c r="S57" s="10">
        <f t="shared" si="11"/>
        <v>3.4146682150346894</v>
      </c>
      <c r="T57" s="11">
        <v>260375</v>
      </c>
      <c r="U57" s="11">
        <v>15655</v>
      </c>
      <c r="V57" s="11">
        <v>38</v>
      </c>
      <c r="W57" s="12">
        <v>20555.92105263158</v>
      </c>
      <c r="X57" s="12">
        <v>1235.921052631579</v>
      </c>
      <c r="Y57" s="13">
        <v>3.4866108514677592</v>
      </c>
      <c r="Z57" s="11">
        <v>370983</v>
      </c>
      <c r="AA57" s="11">
        <v>19352</v>
      </c>
      <c r="AB57" s="11">
        <v>49</v>
      </c>
      <c r="AC57" s="12">
        <v>22713.244897959179</v>
      </c>
      <c r="AD57" s="12">
        <v>1184.8163265306121</v>
      </c>
      <c r="AE57" s="13">
        <v>3.240777843593996</v>
      </c>
      <c r="AF57" s="11">
        <v>215324</v>
      </c>
      <c r="AG57" s="11">
        <v>10765</v>
      </c>
      <c r="AH57" s="11">
        <v>22</v>
      </c>
      <c r="AI57" s="12">
        <v>29362.36363636364</v>
      </c>
      <c r="AJ57" s="12">
        <v>1467.954545454545</v>
      </c>
      <c r="AK57" s="13">
        <v>3.1982491573273228</v>
      </c>
      <c r="AL57" s="11">
        <v>244738</v>
      </c>
      <c r="AM57" s="11">
        <v>12427</v>
      </c>
      <c r="AN57" s="11">
        <v>49</v>
      </c>
      <c r="AO57" s="12">
        <v>14983.959183673471</v>
      </c>
      <c r="AP57" s="12">
        <v>760.83673469387759</v>
      </c>
      <c r="AQ57" s="13">
        <v>3.1937218902423332</v>
      </c>
      <c r="AR57" s="11">
        <v>295255</v>
      </c>
      <c r="AS57" s="11">
        <v>17447</v>
      </c>
      <c r="AT57" s="11">
        <v>38</v>
      </c>
      <c r="AU57" s="12">
        <v>23309.60526315789</v>
      </c>
      <c r="AV57" s="12">
        <v>1377.394736842105</v>
      </c>
      <c r="AW57" s="13">
        <v>3.434321252887695</v>
      </c>
      <c r="AX57" s="11">
        <v>316076</v>
      </c>
      <c r="AY57" s="11">
        <v>20007</v>
      </c>
      <c r="AZ57" s="11">
        <v>52</v>
      </c>
      <c r="BA57" s="12">
        <v>18235.15384615384</v>
      </c>
      <c r="BB57" s="12">
        <v>1154.25</v>
      </c>
      <c r="BC57" s="13">
        <v>3.5597964158562112</v>
      </c>
      <c r="BD57" s="11">
        <v>209276</v>
      </c>
      <c r="BE57" s="11">
        <v>13687</v>
      </c>
      <c r="BF57" s="11">
        <v>45</v>
      </c>
      <c r="BG57" s="12">
        <v>13951.73333333333</v>
      </c>
      <c r="BH57" s="12">
        <v>912.4666666666667</v>
      </c>
      <c r="BI57" s="13">
        <v>3.6105727977253781</v>
      </c>
      <c r="BJ57" s="11">
        <v>188400</v>
      </c>
      <c r="BK57" s="11">
        <v>13015</v>
      </c>
      <c r="BL57" s="11">
        <v>47</v>
      </c>
      <c r="BM57" s="12">
        <v>12025.53191489362</v>
      </c>
      <c r="BN57" s="12">
        <v>830.74468085106378</v>
      </c>
      <c r="BO57" s="13">
        <v>3.5554203461912071</v>
      </c>
      <c r="BP57" s="11">
        <v>330761</v>
      </c>
      <c r="BQ57" s="11">
        <v>19473</v>
      </c>
      <c r="BR57" s="11">
        <v>63</v>
      </c>
      <c r="BS57" s="12">
        <v>15750.523809523809</v>
      </c>
      <c r="BT57" s="12">
        <v>927.28571428571422</v>
      </c>
      <c r="BU57" s="13">
        <v>3.4227163564425909</v>
      </c>
      <c r="BV57" s="11">
        <v>326988</v>
      </c>
      <c r="BW57" s="11">
        <v>15480</v>
      </c>
      <c r="BX57" s="11">
        <v>64</v>
      </c>
      <c r="BY57" s="12">
        <v>15327.5625</v>
      </c>
      <c r="BZ57" s="12">
        <v>725.625</v>
      </c>
      <c r="CA57" s="13">
        <v>3.0686700970664629</v>
      </c>
      <c r="CB57" s="11">
        <v>254313</v>
      </c>
      <c r="CC57" s="11">
        <v>18291</v>
      </c>
      <c r="CD57" s="11">
        <v>55</v>
      </c>
      <c r="CE57" s="12">
        <v>13871.618181818179</v>
      </c>
      <c r="CF57" s="12">
        <v>997.69090909090914</v>
      </c>
      <c r="CG57" s="13">
        <v>3.790493356580626</v>
      </c>
      <c r="CJ57" s="11"/>
      <c r="CK57" s="12"/>
      <c r="CL57" s="12"/>
      <c r="CM57" s="13"/>
    </row>
    <row r="58" spans="1:91" x14ac:dyDescent="0.25">
      <c r="A58" s="7" t="s">
        <v>56</v>
      </c>
      <c r="B58" s="8"/>
      <c r="C58" s="8"/>
      <c r="D58" s="8"/>
      <c r="E58" s="9"/>
      <c r="F58" s="9"/>
      <c r="G58" s="10"/>
      <c r="H58" s="8">
        <v>137954.75</v>
      </c>
      <c r="I58" s="8">
        <v>8496.25</v>
      </c>
      <c r="J58" s="8">
        <v>36</v>
      </c>
      <c r="K58" s="9">
        <v>45984.916666666664</v>
      </c>
      <c r="L58" s="9">
        <v>2832.0833333333335</v>
      </c>
      <c r="M58" s="10">
        <v>3.556461458315999</v>
      </c>
      <c r="N58" s="8">
        <f t="shared" si="6"/>
        <v>266238.90909090912</v>
      </c>
      <c r="O58" s="8">
        <f t="shared" si="7"/>
        <v>16935.090909090908</v>
      </c>
      <c r="P58" s="8">
        <f t="shared" si="8"/>
        <v>514</v>
      </c>
      <c r="Q58" s="9">
        <f t="shared" si="9"/>
        <v>17093.159533073929</v>
      </c>
      <c r="R58" s="9">
        <f t="shared" si="10"/>
        <v>1087.2723735408561</v>
      </c>
      <c r="S58" s="10">
        <f t="shared" si="11"/>
        <v>3.5700076218073318</v>
      </c>
      <c r="T58" s="11">
        <v>267318</v>
      </c>
      <c r="U58" s="11">
        <v>17947</v>
      </c>
      <c r="V58" s="11">
        <v>27</v>
      </c>
      <c r="W58" s="12">
        <v>29702</v>
      </c>
      <c r="X58" s="12">
        <v>1994.1111111111111</v>
      </c>
      <c r="Y58" s="13">
        <v>3.7051974696672461</v>
      </c>
      <c r="Z58" s="11">
        <v>279033</v>
      </c>
      <c r="AA58" s="11">
        <v>18595</v>
      </c>
      <c r="AB58" s="11">
        <v>50</v>
      </c>
      <c r="AC58" s="12">
        <v>16741.98</v>
      </c>
      <c r="AD58" s="12">
        <v>1115.7</v>
      </c>
      <c r="AE58" s="13">
        <v>3.6471080806477501</v>
      </c>
      <c r="AF58" s="11">
        <v>329610</v>
      </c>
      <c r="AG58" s="11">
        <v>15764</v>
      </c>
      <c r="AH58" s="11">
        <v>29</v>
      </c>
      <c r="AI58" s="12">
        <v>34097.586206896551</v>
      </c>
      <c r="AJ58" s="12">
        <v>1630.7586206896549</v>
      </c>
      <c r="AK58" s="13">
        <v>3.1286674409901738</v>
      </c>
      <c r="AL58" s="11">
        <v>249418</v>
      </c>
      <c r="AM58" s="11">
        <v>11054</v>
      </c>
      <c r="AN58" s="11">
        <v>42</v>
      </c>
      <c r="AO58" s="12">
        <v>17815.571428571431</v>
      </c>
      <c r="AP58" s="12">
        <v>789.57142857142867</v>
      </c>
      <c r="AQ58" s="13">
        <v>2.969549478577199</v>
      </c>
      <c r="AR58" s="11">
        <v>227512</v>
      </c>
      <c r="AS58" s="11">
        <v>16137</v>
      </c>
      <c r="AT58" s="11">
        <v>36</v>
      </c>
      <c r="AU58" s="12">
        <v>18959.333333333328</v>
      </c>
      <c r="AV58" s="12">
        <v>1344.75</v>
      </c>
      <c r="AW58" s="13">
        <v>3.76414112317293</v>
      </c>
      <c r="AX58" s="11">
        <v>402581</v>
      </c>
      <c r="AY58" s="11">
        <v>27890</v>
      </c>
      <c r="AZ58" s="11">
        <v>49</v>
      </c>
      <c r="BA58" s="12">
        <v>24647.81632653061</v>
      </c>
      <c r="BB58" s="12">
        <v>1707.5510204081629</v>
      </c>
      <c r="BC58" s="13">
        <v>3.7143375893552051</v>
      </c>
      <c r="BD58" s="11">
        <v>254228</v>
      </c>
      <c r="BE58" s="11">
        <v>18312</v>
      </c>
      <c r="BF58" s="11">
        <v>44</v>
      </c>
      <c r="BG58" s="12">
        <v>17333.727272727268</v>
      </c>
      <c r="BH58" s="12">
        <v>1248.545454545455</v>
      </c>
      <c r="BI58" s="13">
        <v>3.7893642971604402</v>
      </c>
      <c r="BJ58" s="11">
        <v>194374</v>
      </c>
      <c r="BK58" s="11">
        <v>13683</v>
      </c>
      <c r="BL58" s="11">
        <v>53</v>
      </c>
      <c r="BM58" s="12">
        <v>11002.301886792449</v>
      </c>
      <c r="BN58" s="12">
        <v>774.50943396226421</v>
      </c>
      <c r="BO58" s="13">
        <v>3.7523404708156409</v>
      </c>
      <c r="BP58" s="11">
        <v>238546</v>
      </c>
      <c r="BQ58" s="11">
        <v>13921</v>
      </c>
      <c r="BR58" s="11">
        <v>59</v>
      </c>
      <c r="BS58" s="12">
        <v>12129.45762711864</v>
      </c>
      <c r="BT58" s="12">
        <v>707.84745762711862</v>
      </c>
      <c r="BU58" s="13">
        <v>3.408967949176946</v>
      </c>
      <c r="BV58" s="11">
        <v>264357</v>
      </c>
      <c r="BW58" s="11">
        <v>15368</v>
      </c>
      <c r="BX58" s="11">
        <v>60</v>
      </c>
      <c r="BY58" s="12">
        <v>13217.85</v>
      </c>
      <c r="BZ58" s="12">
        <v>768.4</v>
      </c>
      <c r="CA58" s="13">
        <v>3.4091056326061642</v>
      </c>
      <c r="CB58" s="11">
        <v>221651</v>
      </c>
      <c r="CC58" s="11">
        <v>17615</v>
      </c>
      <c r="CD58" s="11">
        <v>65</v>
      </c>
      <c r="CE58" s="12">
        <v>10230.04615384615</v>
      </c>
      <c r="CF58" s="12">
        <v>813</v>
      </c>
      <c r="CG58" s="13">
        <v>3.9813043077109578</v>
      </c>
      <c r="CJ58" s="11"/>
      <c r="CK58" s="12"/>
      <c r="CL58" s="12"/>
      <c r="CM58" s="13"/>
    </row>
    <row r="59" spans="1:91" x14ac:dyDescent="0.25">
      <c r="A59" s="7" t="s">
        <v>57</v>
      </c>
      <c r="B59" s="8"/>
      <c r="C59" s="8"/>
      <c r="D59" s="8"/>
      <c r="E59" s="9"/>
      <c r="F59" s="9"/>
      <c r="G59" s="10"/>
      <c r="H59" s="8">
        <v>75089</v>
      </c>
      <c r="I59" s="8">
        <v>24726.400000000001</v>
      </c>
      <c r="J59" s="8">
        <v>90</v>
      </c>
      <c r="K59" s="9">
        <v>12514.833333333334</v>
      </c>
      <c r="L59" s="9">
        <v>4121.0666666666666</v>
      </c>
      <c r="M59" s="10">
        <v>7.7998823780064308</v>
      </c>
      <c r="N59" s="8">
        <f t="shared" si="6"/>
        <v>112212.45454545454</v>
      </c>
      <c r="O59" s="8">
        <f t="shared" si="7"/>
        <v>24742</v>
      </c>
      <c r="P59" s="8">
        <f t="shared" si="8"/>
        <v>287</v>
      </c>
      <c r="Q59" s="9">
        <f t="shared" si="9"/>
        <v>12902.477351916375</v>
      </c>
      <c r="R59" s="9">
        <f t="shared" si="10"/>
        <v>2844.8989547038327</v>
      </c>
      <c r="S59" s="10">
        <f t="shared" si="11"/>
        <v>6.2852819929887662</v>
      </c>
      <c r="T59" s="11">
        <v>85293</v>
      </c>
      <c r="U59" s="11">
        <v>26988</v>
      </c>
      <c r="V59" s="11">
        <v>23</v>
      </c>
      <c r="W59" s="12">
        <v>11125.17391304348</v>
      </c>
      <c r="X59" s="12">
        <v>3520.173913043478</v>
      </c>
      <c r="Y59" s="13">
        <v>7.6131287833795689</v>
      </c>
      <c r="Z59" s="11">
        <v>25507</v>
      </c>
      <c r="AA59" s="11">
        <v>6766</v>
      </c>
      <c r="AB59" s="11">
        <v>10</v>
      </c>
      <c r="AC59" s="12">
        <v>7652.0999999999995</v>
      </c>
      <c r="AD59" s="12">
        <v>2029.8</v>
      </c>
      <c r="AE59" s="13">
        <v>6.8231065218634566</v>
      </c>
      <c r="AF59" s="11">
        <v>186696</v>
      </c>
      <c r="AG59" s="11">
        <v>48354</v>
      </c>
      <c r="AH59" s="11">
        <v>39</v>
      </c>
      <c r="AI59" s="12">
        <v>14361.23076923077</v>
      </c>
      <c r="AJ59" s="12">
        <v>3719.538461538461</v>
      </c>
      <c r="AK59" s="13">
        <v>7.0320960893432787</v>
      </c>
      <c r="AL59" s="11">
        <v>289328</v>
      </c>
      <c r="AM59" s="11">
        <v>69622</v>
      </c>
      <c r="AN59" s="11">
        <v>54</v>
      </c>
      <c r="AO59" s="12">
        <v>16073.777777777779</v>
      </c>
      <c r="AP59" s="12">
        <v>3867.8888888888891</v>
      </c>
      <c r="AQ59" s="13">
        <v>6.6947036725853941</v>
      </c>
      <c r="AR59" s="11">
        <v>122325</v>
      </c>
      <c r="AS59" s="11">
        <v>21894</v>
      </c>
      <c r="AT59" s="11">
        <v>26</v>
      </c>
      <c r="AU59" s="12">
        <v>14114.42307692308</v>
      </c>
      <c r="AV59" s="12">
        <v>2526.23076923077</v>
      </c>
      <c r="AW59" s="13">
        <v>5.7639291437638853</v>
      </c>
      <c r="AX59" s="11">
        <v>157160</v>
      </c>
      <c r="AY59" s="11">
        <v>21811</v>
      </c>
      <c r="AZ59" s="11">
        <v>50</v>
      </c>
      <c r="BA59" s="12">
        <v>9429.5999999999985</v>
      </c>
      <c r="BB59" s="12">
        <v>1308.6600000000001</v>
      </c>
      <c r="BC59" s="13">
        <v>5.0323035966697933</v>
      </c>
      <c r="BD59" s="11">
        <v>100129</v>
      </c>
      <c r="BE59" s="11">
        <v>24368</v>
      </c>
      <c r="BF59" s="11">
        <v>23</v>
      </c>
      <c r="BG59" s="12">
        <v>13060.30434782609</v>
      </c>
      <c r="BH59" s="12">
        <v>3178.434782608696</v>
      </c>
      <c r="BI59" s="13">
        <v>6.6697299451455967</v>
      </c>
      <c r="BJ59" s="11">
        <v>92540</v>
      </c>
      <c r="BK59" s="11">
        <v>23810</v>
      </c>
      <c r="BL59" s="11">
        <v>23</v>
      </c>
      <c r="BM59" s="12">
        <v>12070.4347826087</v>
      </c>
      <c r="BN59" s="12">
        <v>3105.652173913043</v>
      </c>
      <c r="BO59" s="13">
        <v>6.765765733664364</v>
      </c>
      <c r="BP59" s="11">
        <v>102080</v>
      </c>
      <c r="BQ59" s="11">
        <v>14042</v>
      </c>
      <c r="BR59" s="11">
        <v>17</v>
      </c>
      <c r="BS59" s="12">
        <v>18014.117647058829</v>
      </c>
      <c r="BT59" s="12">
        <v>2478</v>
      </c>
      <c r="BU59" s="13">
        <v>4.9871046091339553</v>
      </c>
      <c r="BV59" s="11">
        <v>39268</v>
      </c>
      <c r="BW59" s="11">
        <v>9572</v>
      </c>
      <c r="BX59" s="11">
        <v>12</v>
      </c>
      <c r="BY59" s="12">
        <v>9817</v>
      </c>
      <c r="BZ59" s="12">
        <v>2393</v>
      </c>
      <c r="CA59" s="13">
        <v>6.642646035907525</v>
      </c>
      <c r="CB59" s="11">
        <v>34011</v>
      </c>
      <c r="CC59" s="11">
        <v>4935</v>
      </c>
      <c r="CD59" s="11">
        <v>10</v>
      </c>
      <c r="CE59" s="12">
        <v>10203.299999999999</v>
      </c>
      <c r="CF59" s="12">
        <v>1480.5</v>
      </c>
      <c r="CG59" s="13">
        <v>5.1135877914196124</v>
      </c>
      <c r="CJ59" s="11"/>
      <c r="CK59" s="12"/>
      <c r="CL59" s="12"/>
      <c r="CM59" s="13"/>
    </row>
    <row r="60" spans="1:91" x14ac:dyDescent="0.25">
      <c r="A60" s="7" t="s">
        <v>58</v>
      </c>
      <c r="B60" s="8"/>
      <c r="C60" s="8"/>
      <c r="D60" s="8"/>
      <c r="E60" s="9"/>
      <c r="F60" s="9"/>
      <c r="G60" s="10"/>
      <c r="H60" s="8">
        <v>42900</v>
      </c>
      <c r="I60" s="8">
        <v>1590.5</v>
      </c>
      <c r="J60" s="8">
        <v>12</v>
      </c>
      <c r="K60" s="9">
        <v>21450</v>
      </c>
      <c r="L60" s="9">
        <v>795.25</v>
      </c>
      <c r="M60" s="10">
        <v>2.65</v>
      </c>
      <c r="N60" s="8">
        <f t="shared" si="6"/>
        <v>354343.18181818182</v>
      </c>
      <c r="O60" s="8">
        <f t="shared" si="7"/>
        <v>13176.454545454546</v>
      </c>
      <c r="P60" s="8">
        <f t="shared" si="8"/>
        <v>436</v>
      </c>
      <c r="Q60" s="9">
        <f t="shared" si="9"/>
        <v>26819.552752293581</v>
      </c>
      <c r="R60" s="9">
        <f t="shared" si="10"/>
        <v>997.30045871559628</v>
      </c>
      <c r="S60" s="10">
        <f t="shared" si="11"/>
        <v>2.6552381646461081</v>
      </c>
      <c r="T60" s="11">
        <v>250720</v>
      </c>
      <c r="U60" s="11">
        <v>9297</v>
      </c>
      <c r="V60" s="11">
        <v>23</v>
      </c>
      <c r="W60" s="12">
        <v>32702.608695652179</v>
      </c>
      <c r="X60" s="12">
        <v>1212.652173913043</v>
      </c>
      <c r="Y60" s="13">
        <v>2.65</v>
      </c>
      <c r="Z60" s="11">
        <v>241730</v>
      </c>
      <c r="AA60" s="11">
        <v>8964</v>
      </c>
      <c r="AB60" s="11">
        <v>25</v>
      </c>
      <c r="AC60" s="12">
        <v>29007.599999999999</v>
      </c>
      <c r="AD60" s="12">
        <v>1075.68</v>
      </c>
      <c r="AE60" s="13">
        <v>2.65</v>
      </c>
      <c r="AF60" s="11">
        <v>432680</v>
      </c>
      <c r="AG60" s="11">
        <v>16045</v>
      </c>
      <c r="AH60" s="11">
        <v>45</v>
      </c>
      <c r="AI60" s="12">
        <v>28845.333333333339</v>
      </c>
      <c r="AJ60" s="12">
        <v>1069.666666666667</v>
      </c>
      <c r="AK60" s="13">
        <v>2.65</v>
      </c>
      <c r="AL60" s="11">
        <v>616585</v>
      </c>
      <c r="AM60" s="11">
        <v>22840</v>
      </c>
      <c r="AN60" s="11">
        <v>59</v>
      </c>
      <c r="AO60" s="12">
        <v>31351.77966101695</v>
      </c>
      <c r="AP60" s="12">
        <v>1161.35593220339</v>
      </c>
      <c r="AQ60" s="13">
        <v>2.65</v>
      </c>
      <c r="AR60" s="11">
        <v>319780</v>
      </c>
      <c r="AS60" s="11">
        <v>11859</v>
      </c>
      <c r="AT60" s="11">
        <v>31</v>
      </c>
      <c r="AU60" s="12">
        <v>30946.451612903231</v>
      </c>
      <c r="AV60" s="12">
        <v>1147.6451612903229</v>
      </c>
      <c r="AW60" s="13">
        <v>2.65</v>
      </c>
      <c r="AX60" s="11">
        <v>254740</v>
      </c>
      <c r="AY60" s="11">
        <v>9447</v>
      </c>
      <c r="AZ60" s="11">
        <v>28</v>
      </c>
      <c r="BA60" s="12">
        <v>27293.571428571431</v>
      </c>
      <c r="BB60" s="12">
        <v>1012.178571428572</v>
      </c>
      <c r="BC60" s="13">
        <v>2.65</v>
      </c>
      <c r="BD60" s="11">
        <v>390220</v>
      </c>
      <c r="BE60" s="11">
        <v>14471</v>
      </c>
      <c r="BF60" s="11">
        <v>48</v>
      </c>
      <c r="BG60" s="12">
        <v>24388.75</v>
      </c>
      <c r="BH60" s="12">
        <v>904.4375</v>
      </c>
      <c r="BI60" s="13">
        <v>2.65</v>
      </c>
      <c r="BJ60" s="11">
        <v>363140</v>
      </c>
      <c r="BK60" s="11">
        <v>13467</v>
      </c>
      <c r="BL60" s="11">
        <v>45</v>
      </c>
      <c r="BM60" s="12">
        <v>24209.333333333328</v>
      </c>
      <c r="BN60" s="12">
        <v>897.8</v>
      </c>
      <c r="BO60" s="13">
        <v>2.65</v>
      </c>
      <c r="BP60" s="11">
        <v>401080</v>
      </c>
      <c r="BQ60" s="11">
        <v>14874</v>
      </c>
      <c r="BR60" s="11">
        <v>49</v>
      </c>
      <c r="BS60" s="12">
        <v>24555.918367346942</v>
      </c>
      <c r="BT60" s="12">
        <v>910.65306122448976</v>
      </c>
      <c r="BU60" s="13">
        <v>2.65</v>
      </c>
      <c r="BV60" s="11">
        <v>325300</v>
      </c>
      <c r="BW60" s="11">
        <v>12485</v>
      </c>
      <c r="BX60" s="11">
        <v>41</v>
      </c>
      <c r="BY60" s="12">
        <v>23802.439024390249</v>
      </c>
      <c r="BZ60" s="12">
        <v>913.53658536585363</v>
      </c>
      <c r="CA60" s="13">
        <v>2.7076198111071932</v>
      </c>
      <c r="CB60" s="11">
        <v>301800</v>
      </c>
      <c r="CC60" s="11">
        <v>11192</v>
      </c>
      <c r="CD60" s="11">
        <v>42</v>
      </c>
      <c r="CE60" s="12">
        <v>21557.142857142859</v>
      </c>
      <c r="CF60" s="12">
        <v>799.42857142857144</v>
      </c>
      <c r="CG60" s="13">
        <v>2.65</v>
      </c>
      <c r="CJ60" s="11"/>
      <c r="CK60" s="12"/>
      <c r="CL60" s="12"/>
      <c r="CM60" s="13"/>
    </row>
    <row r="61" spans="1:91" x14ac:dyDescent="0.25">
      <c r="A61" s="7" t="s">
        <v>59</v>
      </c>
      <c r="B61" s="8"/>
      <c r="C61" s="8"/>
      <c r="D61" s="8"/>
      <c r="E61" s="9"/>
      <c r="F61" s="9"/>
      <c r="G61" s="10"/>
      <c r="H61" s="8">
        <v>50620</v>
      </c>
      <c r="I61" s="8">
        <v>3637</v>
      </c>
      <c r="J61" s="8">
        <v>10</v>
      </c>
      <c r="K61" s="9">
        <v>15186</v>
      </c>
      <c r="L61" s="9">
        <v>1091.0999999999999</v>
      </c>
      <c r="M61" s="10">
        <v>3.7022641955760438</v>
      </c>
      <c r="N61" s="8">
        <f t="shared" si="6"/>
        <v>353377.18181818182</v>
      </c>
      <c r="O61" s="8">
        <f t="shared" si="7"/>
        <v>13855.454545454546</v>
      </c>
      <c r="P61" s="8">
        <f t="shared" si="8"/>
        <v>433</v>
      </c>
      <c r="Q61" s="9">
        <f t="shared" si="9"/>
        <v>26931.748267898383</v>
      </c>
      <c r="R61" s="9">
        <f t="shared" si="10"/>
        <v>1055.958429561201</v>
      </c>
      <c r="S61" s="10">
        <f t="shared" si="11"/>
        <v>2.7465509715916792</v>
      </c>
      <c r="T61" s="11">
        <v>228620</v>
      </c>
      <c r="U61" s="11">
        <v>8457</v>
      </c>
      <c r="V61" s="11">
        <v>28</v>
      </c>
      <c r="W61" s="12">
        <v>24495</v>
      </c>
      <c r="X61" s="12">
        <v>906.10714285714289</v>
      </c>
      <c r="Y61" s="13">
        <v>2.65</v>
      </c>
      <c r="Z61" s="11">
        <v>168845</v>
      </c>
      <c r="AA61" s="11">
        <v>6260</v>
      </c>
      <c r="AB61" s="11">
        <v>24</v>
      </c>
      <c r="AC61" s="12">
        <v>21105.625</v>
      </c>
      <c r="AD61" s="12">
        <v>782.5</v>
      </c>
      <c r="AE61" s="13">
        <v>2.65</v>
      </c>
      <c r="AF61" s="11">
        <v>444440</v>
      </c>
      <c r="AG61" s="11">
        <v>16482</v>
      </c>
      <c r="AH61" s="11">
        <v>45</v>
      </c>
      <c r="AI61" s="12">
        <v>29629.333333333339</v>
      </c>
      <c r="AJ61" s="12">
        <v>1098.8</v>
      </c>
      <c r="AK61" s="13">
        <v>2.65</v>
      </c>
      <c r="AL61" s="11">
        <v>621935</v>
      </c>
      <c r="AM61" s="11">
        <v>23037</v>
      </c>
      <c r="AN61" s="11">
        <v>65</v>
      </c>
      <c r="AO61" s="12">
        <v>28704.692307692309</v>
      </c>
      <c r="AP61" s="12">
        <v>1063.2461538461539</v>
      </c>
      <c r="AQ61" s="13">
        <v>2.65</v>
      </c>
      <c r="AR61" s="11">
        <v>379400</v>
      </c>
      <c r="AS61" s="11">
        <v>14070</v>
      </c>
      <c r="AT61" s="11">
        <v>27</v>
      </c>
      <c r="AU61" s="12">
        <v>42155.555555555547</v>
      </c>
      <c r="AV61" s="12">
        <v>1563.333333333333</v>
      </c>
      <c r="AW61" s="13">
        <v>2.65</v>
      </c>
      <c r="AX61" s="11">
        <v>213730</v>
      </c>
      <c r="AY61" s="11">
        <v>7926</v>
      </c>
      <c r="AZ61" s="11">
        <v>22</v>
      </c>
      <c r="BA61" s="12">
        <v>29145</v>
      </c>
      <c r="BB61" s="12">
        <v>1080.818181818182</v>
      </c>
      <c r="BC61" s="13">
        <v>2.65</v>
      </c>
      <c r="BD61" s="11">
        <v>368560</v>
      </c>
      <c r="BE61" s="11">
        <v>13668</v>
      </c>
      <c r="BF61" s="11">
        <v>44</v>
      </c>
      <c r="BG61" s="12">
        <v>25129.090909090912</v>
      </c>
      <c r="BH61" s="12">
        <v>931.90909090909088</v>
      </c>
      <c r="BI61" s="13">
        <v>2.65</v>
      </c>
      <c r="BJ61" s="11">
        <v>401080</v>
      </c>
      <c r="BK61" s="11">
        <v>14874</v>
      </c>
      <c r="BL61" s="11">
        <v>47</v>
      </c>
      <c r="BM61" s="12">
        <v>25600.851063829788</v>
      </c>
      <c r="BN61" s="12">
        <v>949.404255319149</v>
      </c>
      <c r="BO61" s="13">
        <v>2.65</v>
      </c>
      <c r="BP61" s="11">
        <v>403411</v>
      </c>
      <c r="BQ61" s="11">
        <v>15448</v>
      </c>
      <c r="BR61" s="11">
        <v>49</v>
      </c>
      <c r="BS61" s="12">
        <v>24698.632653061231</v>
      </c>
      <c r="BT61" s="12">
        <v>945.79591836734699</v>
      </c>
      <c r="BU61" s="13">
        <v>2.6943888380947318</v>
      </c>
      <c r="BV61" s="11">
        <v>269908</v>
      </c>
      <c r="BW61" s="11">
        <v>17828</v>
      </c>
      <c r="BX61" s="11">
        <v>37</v>
      </c>
      <c r="BY61" s="12">
        <v>21884.43243243243</v>
      </c>
      <c r="BZ61" s="12">
        <v>1445.5135135135131</v>
      </c>
      <c r="CA61" s="13">
        <v>3.6676718494137388</v>
      </c>
      <c r="CB61" s="11">
        <v>387220</v>
      </c>
      <c r="CC61" s="11">
        <v>14360</v>
      </c>
      <c r="CD61" s="11">
        <v>45</v>
      </c>
      <c r="CE61" s="12">
        <v>25814.666666666661</v>
      </c>
      <c r="CF61" s="12">
        <v>957.33333333333326</v>
      </c>
      <c r="CG61" s="13">
        <v>2.65</v>
      </c>
      <c r="CJ61" s="11"/>
      <c r="CK61" s="12"/>
      <c r="CL61" s="12"/>
      <c r="CM61" s="13"/>
    </row>
    <row r="62" spans="1:91" x14ac:dyDescent="0.25">
      <c r="A62" s="7" t="s">
        <v>60</v>
      </c>
      <c r="B62" s="8"/>
      <c r="C62" s="8"/>
      <c r="D62" s="8"/>
      <c r="E62" s="9"/>
      <c r="F62" s="9"/>
      <c r="G62" s="10"/>
      <c r="H62" s="8">
        <v>30506.5</v>
      </c>
      <c r="I62" s="8">
        <v>73566.375</v>
      </c>
      <c r="J62" s="8">
        <v>150</v>
      </c>
      <c r="K62" s="9">
        <v>4881.04</v>
      </c>
      <c r="L62" s="9">
        <v>11770.619999999999</v>
      </c>
      <c r="M62" s="10">
        <v>24.64303276313813</v>
      </c>
      <c r="N62" s="8">
        <f t="shared" si="6"/>
        <v>57101.36363636364</v>
      </c>
      <c r="O62" s="8">
        <f t="shared" si="7"/>
        <v>118263.72727272728</v>
      </c>
      <c r="P62" s="8">
        <f t="shared" si="8"/>
        <v>383</v>
      </c>
      <c r="Q62" s="9">
        <f t="shared" si="9"/>
        <v>4919.9608355091386</v>
      </c>
      <c r="R62" s="9">
        <f t="shared" si="10"/>
        <v>10189.825065274152</v>
      </c>
      <c r="S62" s="10">
        <f t="shared" si="11"/>
        <v>22.897638234625706</v>
      </c>
      <c r="T62" s="11">
        <v>63946</v>
      </c>
      <c r="U62" s="11">
        <v>137807</v>
      </c>
      <c r="V62" s="11">
        <v>43</v>
      </c>
      <c r="W62" s="12">
        <v>4461.3488372093016</v>
      </c>
      <c r="X62" s="12">
        <v>9614.4418604651164</v>
      </c>
      <c r="Y62" s="13">
        <v>23.100275481066461</v>
      </c>
      <c r="Z62" s="11">
        <v>73165</v>
      </c>
      <c r="AA62" s="11">
        <v>151287</v>
      </c>
      <c r="AB62" s="11">
        <v>50</v>
      </c>
      <c r="AC62" s="12">
        <v>4389.8999999999996</v>
      </c>
      <c r="AD62" s="12">
        <v>9077.2199999999993</v>
      </c>
      <c r="AE62" s="13">
        <v>22.507791056392641</v>
      </c>
      <c r="AF62" s="11">
        <v>79636</v>
      </c>
      <c r="AG62" s="11">
        <v>149916</v>
      </c>
      <c r="AH62" s="11">
        <v>51</v>
      </c>
      <c r="AI62" s="12">
        <v>4684.4705882352937</v>
      </c>
      <c r="AJ62" s="12">
        <v>8818.5882352941171</v>
      </c>
      <c r="AK62" s="13">
        <v>21.791774066080741</v>
      </c>
      <c r="AL62" s="11">
        <v>120154</v>
      </c>
      <c r="AM62" s="11">
        <v>243998</v>
      </c>
      <c r="AN62" s="11">
        <v>67</v>
      </c>
      <c r="AO62" s="12">
        <v>5380.0298507462676</v>
      </c>
      <c r="AP62" s="12">
        <v>10925.283582089551</v>
      </c>
      <c r="AQ62" s="13">
        <v>22.636692849786851</v>
      </c>
      <c r="AR62" s="11">
        <v>44220</v>
      </c>
      <c r="AS62" s="11">
        <v>86888</v>
      </c>
      <c r="AT62" s="11">
        <v>29</v>
      </c>
      <c r="AU62" s="12">
        <v>4574.4827586206893</v>
      </c>
      <c r="AV62" s="12">
        <v>8988.4137931034493</v>
      </c>
      <c r="AW62" s="13">
        <v>22.28370210414564</v>
      </c>
      <c r="AX62" s="11">
        <v>55303</v>
      </c>
      <c r="AY62" s="11">
        <v>126884</v>
      </c>
      <c r="AZ62" s="11">
        <v>33</v>
      </c>
      <c r="BA62" s="12">
        <v>5027.545454545454</v>
      </c>
      <c r="BB62" s="12">
        <v>11534.90909090909</v>
      </c>
      <c r="BC62" s="13">
        <v>23.894162719392959</v>
      </c>
      <c r="BD62" s="11">
        <v>31620</v>
      </c>
      <c r="BE62" s="11">
        <v>73311</v>
      </c>
      <c r="BF62" s="11">
        <v>20</v>
      </c>
      <c r="BG62" s="12">
        <v>4743</v>
      </c>
      <c r="BH62" s="12">
        <v>10996.65</v>
      </c>
      <c r="BI62" s="13">
        <v>23.849821298378309</v>
      </c>
      <c r="BJ62" s="11">
        <v>54121</v>
      </c>
      <c r="BK62" s="11">
        <v>106551</v>
      </c>
      <c r="BL62" s="11">
        <v>27</v>
      </c>
      <c r="BM62" s="12">
        <v>6013.4444444444443</v>
      </c>
      <c r="BN62" s="12">
        <v>11839</v>
      </c>
      <c r="BO62" s="13">
        <v>22.470046374100981</v>
      </c>
      <c r="BP62" s="11">
        <v>49248</v>
      </c>
      <c r="BQ62" s="11">
        <v>105768</v>
      </c>
      <c r="BR62" s="11">
        <v>31</v>
      </c>
      <c r="BS62" s="12">
        <v>4765.9354838709678</v>
      </c>
      <c r="BT62" s="12">
        <v>10235.61290322581</v>
      </c>
      <c r="BU62" s="13">
        <v>23.083887158119289</v>
      </c>
      <c r="BV62" s="11">
        <v>25982</v>
      </c>
      <c r="BW62" s="11">
        <v>61083</v>
      </c>
      <c r="BX62" s="11">
        <v>16</v>
      </c>
      <c r="BY62" s="12">
        <v>4871.625</v>
      </c>
      <c r="BZ62" s="12">
        <v>11453.0625</v>
      </c>
      <c r="CA62" s="13">
        <v>24.52284248838745</v>
      </c>
      <c r="CB62" s="11">
        <v>30720</v>
      </c>
      <c r="CC62" s="11">
        <v>57408</v>
      </c>
      <c r="CD62" s="11">
        <v>16</v>
      </c>
      <c r="CE62" s="12">
        <v>5760</v>
      </c>
      <c r="CF62" s="12">
        <v>10764</v>
      </c>
      <c r="CG62" s="13">
        <v>21.73302498503142</v>
      </c>
      <c r="CJ62" s="11"/>
      <c r="CK62" s="12"/>
      <c r="CL62" s="12"/>
      <c r="CM62" s="13"/>
    </row>
    <row r="63" spans="1:91" s="15" customFormat="1" x14ac:dyDescent="0.25">
      <c r="A63" s="2" t="s">
        <v>61</v>
      </c>
      <c r="B63" s="14">
        <v>9360318.5779220741</v>
      </c>
      <c r="C63" s="14">
        <v>2004328.1266955263</v>
      </c>
      <c r="D63" s="14"/>
      <c r="E63" s="14"/>
      <c r="F63" s="14"/>
      <c r="G63" s="14"/>
      <c r="H63" s="14">
        <f>SUM(H3:H62)</f>
        <v>13938312.638514318</v>
      </c>
      <c r="I63" s="14">
        <f t="shared" ref="I63" si="12">SUM(I3:I62)</f>
        <v>2181438.8197330446</v>
      </c>
      <c r="J63" s="14"/>
      <c r="K63" s="14"/>
      <c r="L63" s="14"/>
      <c r="M63" s="14"/>
      <c r="N63" s="14">
        <f>SUM(N3:N62)</f>
        <v>10964259.251565656</v>
      </c>
      <c r="O63" s="14">
        <f t="shared" ref="O63" si="13">SUM(O3:O62)</f>
        <v>2331261.6204545451</v>
      </c>
      <c r="P63" s="14"/>
      <c r="Q63" s="14"/>
      <c r="R63" s="14"/>
      <c r="S63" s="14"/>
      <c r="T63" s="14">
        <f>SUM(T3:T62)</f>
        <v>10236970.32</v>
      </c>
      <c r="U63" s="14">
        <f>SUM(U3:U62)</f>
        <v>2018827</v>
      </c>
      <c r="V63" s="14"/>
      <c r="W63" s="14"/>
      <c r="X63" s="14"/>
      <c r="Y63" s="14"/>
      <c r="Z63" s="14">
        <f>SUM(Z3:Z62)</f>
        <v>9811330</v>
      </c>
      <c r="AA63" s="14">
        <f>SUM(AA3:AA62)</f>
        <v>2201168</v>
      </c>
      <c r="AB63" s="14"/>
      <c r="AC63" s="14"/>
      <c r="AD63" s="14"/>
      <c r="AE63" s="14"/>
      <c r="AF63" s="14">
        <f>SUM(AF3:AF62)</f>
        <v>10658529</v>
      </c>
      <c r="AG63" s="14">
        <f>SUM(AG3:AG62)</f>
        <v>2424060</v>
      </c>
      <c r="AH63" s="14"/>
      <c r="AI63" s="14"/>
      <c r="AJ63" s="14"/>
      <c r="AK63" s="14"/>
      <c r="AL63" s="14">
        <f>SUM(AL3:AL62)</f>
        <v>12911121</v>
      </c>
      <c r="AM63" s="14">
        <f>SUM(AM3:AM62)</f>
        <v>2937099</v>
      </c>
      <c r="AN63" s="14"/>
      <c r="AO63" s="14"/>
      <c r="AP63" s="14"/>
      <c r="AQ63" s="14"/>
      <c r="AR63" s="14">
        <f>SUM(AR3:AR62)</f>
        <v>11959947</v>
      </c>
      <c r="AS63" s="14">
        <f>SUM(AS3:AS62)</f>
        <v>2600896</v>
      </c>
      <c r="AT63" s="14"/>
      <c r="AU63" s="14"/>
      <c r="AV63" s="14"/>
      <c r="AW63" s="14"/>
      <c r="AX63" s="14">
        <f>SUM(AX3:AX62)</f>
        <v>9428687</v>
      </c>
      <c r="AY63" s="14">
        <f>SUM(AY3:AY62)</f>
        <v>2201674</v>
      </c>
      <c r="AZ63" s="14"/>
      <c r="BA63" s="14"/>
      <c r="BB63" s="14"/>
      <c r="BC63" s="14"/>
      <c r="BD63" s="14">
        <f>SUM(BD3:BD62)</f>
        <v>10489324</v>
      </c>
      <c r="BE63" s="14">
        <f>SUM(BE3:BE62)</f>
        <v>2218585</v>
      </c>
      <c r="BF63" s="14"/>
      <c r="BG63" s="14"/>
      <c r="BH63" s="14"/>
      <c r="BI63" s="14"/>
      <c r="BJ63" s="14">
        <f>SUM(BJ3:BJ62)</f>
        <v>9774864</v>
      </c>
      <c r="BK63" s="14">
        <f>SUM(BK3:BK62)</f>
        <v>1982803</v>
      </c>
      <c r="BL63" s="14"/>
      <c r="BM63" s="14"/>
      <c r="BN63" s="14"/>
      <c r="BO63" s="14"/>
      <c r="BP63" s="14">
        <f>SUM(BP3:BP62)</f>
        <v>10193865</v>
      </c>
      <c r="BQ63" s="14">
        <f>SUM(BQ3:BQ62)</f>
        <v>1892427</v>
      </c>
      <c r="BR63" s="14"/>
      <c r="BS63" s="14"/>
      <c r="BT63" s="14"/>
      <c r="BU63" s="14"/>
      <c r="BV63" s="14">
        <f>SUM(BV3:BV62)</f>
        <v>10306330</v>
      </c>
      <c r="BW63" s="14">
        <f>SUM(BW3:BW62)</f>
        <v>2077391</v>
      </c>
      <c r="BX63" s="14"/>
      <c r="BY63" s="14"/>
      <c r="BZ63" s="14"/>
      <c r="CA63" s="14"/>
      <c r="CB63" s="14">
        <f>SUM(CB3:CB62)</f>
        <v>10194320</v>
      </c>
      <c r="CC63" s="14">
        <f>SUM(CC3:CC62)</f>
        <v>2187304</v>
      </c>
      <c r="CD63" s="14"/>
      <c r="CE63" s="14"/>
      <c r="CF63" s="14"/>
      <c r="CG63" s="14"/>
      <c r="CH63" s="14">
        <f>SUM(CH3:CH62)</f>
        <v>0</v>
      </c>
      <c r="CI63" s="14">
        <f>SUM(CI3:CI62)</f>
        <v>0</v>
      </c>
      <c r="CJ63" s="14"/>
      <c r="CK63" s="14"/>
      <c r="CL63" s="14"/>
      <c r="CM63" s="14"/>
    </row>
    <row r="64" spans="1:91" x14ac:dyDescent="0.25"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1"/>
      <c r="O64" s="11"/>
      <c r="P64" s="11"/>
      <c r="Q64" s="11"/>
      <c r="R64" s="17"/>
      <c r="S64" s="18"/>
    </row>
    <row r="65" spans="1:94" x14ac:dyDescent="0.25">
      <c r="A65" s="1"/>
      <c r="B65" s="26" t="s">
        <v>131</v>
      </c>
      <c r="C65" s="26"/>
      <c r="D65" s="26"/>
      <c r="E65" s="26"/>
      <c r="F65" s="26"/>
      <c r="G65" s="26"/>
      <c r="H65" s="26" t="s">
        <v>138</v>
      </c>
      <c r="I65" s="26"/>
      <c r="J65" s="26"/>
      <c r="K65" s="26"/>
      <c r="L65" s="26"/>
      <c r="M65" s="26"/>
      <c r="N65" s="26" t="s">
        <v>151</v>
      </c>
      <c r="O65" s="26"/>
      <c r="P65" s="26"/>
      <c r="Q65" s="26"/>
      <c r="R65" s="26"/>
      <c r="S65" s="26"/>
      <c r="T65" s="26" t="s">
        <v>139</v>
      </c>
      <c r="U65" s="26"/>
      <c r="V65" s="26"/>
      <c r="W65" s="26"/>
      <c r="X65" s="26"/>
      <c r="Y65" s="26"/>
      <c r="Z65" s="26" t="s">
        <v>140</v>
      </c>
      <c r="AA65" s="26"/>
      <c r="AB65" s="26"/>
      <c r="AC65" s="26"/>
      <c r="AD65" s="26"/>
      <c r="AE65" s="26"/>
      <c r="AF65" s="26" t="s">
        <v>141</v>
      </c>
      <c r="AG65" s="26"/>
      <c r="AH65" s="26"/>
      <c r="AI65" s="26"/>
      <c r="AJ65" s="26"/>
      <c r="AK65" s="26"/>
      <c r="AL65" s="26" t="s">
        <v>142</v>
      </c>
      <c r="AM65" s="26"/>
      <c r="AN65" s="26"/>
      <c r="AO65" s="26"/>
      <c r="AP65" s="26"/>
      <c r="AQ65" s="26"/>
      <c r="AR65" s="26" t="s">
        <v>143</v>
      </c>
      <c r="AS65" s="26"/>
      <c r="AT65" s="26"/>
      <c r="AU65" s="26"/>
      <c r="AV65" s="26"/>
      <c r="AW65" s="26"/>
      <c r="AX65" s="26" t="s">
        <v>144</v>
      </c>
      <c r="AY65" s="26"/>
      <c r="AZ65" s="26"/>
      <c r="BA65" s="26"/>
      <c r="BB65" s="26"/>
      <c r="BC65" s="26"/>
      <c r="BD65" s="26" t="s">
        <v>145</v>
      </c>
      <c r="BE65" s="26"/>
      <c r="BF65" s="26"/>
      <c r="BG65" s="26"/>
      <c r="BH65" s="26"/>
      <c r="BI65" s="26"/>
      <c r="BJ65" s="26" t="s">
        <v>146</v>
      </c>
      <c r="BK65" s="26"/>
      <c r="BL65" s="26"/>
      <c r="BM65" s="26"/>
      <c r="BN65" s="26"/>
      <c r="BO65" s="26"/>
      <c r="BP65" s="26" t="s">
        <v>147</v>
      </c>
      <c r="BQ65" s="26"/>
      <c r="BR65" s="26"/>
      <c r="BS65" s="26"/>
      <c r="BT65" s="26"/>
      <c r="BU65" s="26"/>
      <c r="BV65" s="26" t="s">
        <v>148</v>
      </c>
      <c r="BW65" s="26"/>
      <c r="BX65" s="26"/>
      <c r="BY65" s="26"/>
      <c r="BZ65" s="26"/>
      <c r="CA65" s="26"/>
      <c r="CB65" s="26" t="s">
        <v>149</v>
      </c>
      <c r="CC65" s="26"/>
      <c r="CD65" s="26"/>
      <c r="CE65" s="26"/>
      <c r="CF65" s="26"/>
      <c r="CG65" s="26"/>
      <c r="CH65" s="26" t="s">
        <v>150</v>
      </c>
      <c r="CI65" s="26"/>
      <c r="CJ65" s="26"/>
      <c r="CK65" s="26"/>
      <c r="CL65" s="26"/>
      <c r="CM65" s="26"/>
    </row>
    <row r="66" spans="1:94" s="6" customFormat="1" ht="75" x14ac:dyDescent="0.25">
      <c r="A66" s="4"/>
      <c r="B66" s="5" t="s">
        <v>133</v>
      </c>
      <c r="C66" s="5" t="s">
        <v>134</v>
      </c>
      <c r="D66" s="5" t="s">
        <v>135</v>
      </c>
      <c r="E66" s="5" t="s">
        <v>136</v>
      </c>
      <c r="F66" s="5" t="s">
        <v>137</v>
      </c>
      <c r="G66" s="5" t="s">
        <v>132</v>
      </c>
      <c r="H66" s="5" t="s">
        <v>133</v>
      </c>
      <c r="I66" s="5" t="s">
        <v>134</v>
      </c>
      <c r="J66" s="5" t="s">
        <v>135</v>
      </c>
      <c r="K66" s="5" t="s">
        <v>136</v>
      </c>
      <c r="L66" s="5" t="s">
        <v>137</v>
      </c>
      <c r="M66" s="5" t="s">
        <v>132</v>
      </c>
      <c r="N66" s="5" t="s">
        <v>133</v>
      </c>
      <c r="O66" s="5" t="s">
        <v>134</v>
      </c>
      <c r="P66" s="5" t="s">
        <v>135</v>
      </c>
      <c r="Q66" s="5" t="s">
        <v>136</v>
      </c>
      <c r="R66" s="5" t="s">
        <v>137</v>
      </c>
      <c r="S66" s="5" t="s">
        <v>132</v>
      </c>
      <c r="T66" s="5" t="s">
        <v>133</v>
      </c>
      <c r="U66" s="5" t="s">
        <v>134</v>
      </c>
      <c r="V66" s="5" t="s">
        <v>135</v>
      </c>
      <c r="W66" s="5" t="s">
        <v>136</v>
      </c>
      <c r="X66" s="5" t="s">
        <v>137</v>
      </c>
      <c r="Y66" s="5" t="s">
        <v>132</v>
      </c>
      <c r="Z66" s="5" t="s">
        <v>133</v>
      </c>
      <c r="AA66" s="5" t="s">
        <v>134</v>
      </c>
      <c r="AB66" s="5" t="s">
        <v>135</v>
      </c>
      <c r="AC66" s="5" t="s">
        <v>136</v>
      </c>
      <c r="AD66" s="5" t="s">
        <v>137</v>
      </c>
      <c r="AE66" s="5" t="s">
        <v>132</v>
      </c>
      <c r="AF66" s="5" t="s">
        <v>133</v>
      </c>
      <c r="AG66" s="5" t="s">
        <v>134</v>
      </c>
      <c r="AH66" s="5" t="s">
        <v>135</v>
      </c>
      <c r="AI66" s="5" t="s">
        <v>136</v>
      </c>
      <c r="AJ66" s="5" t="s">
        <v>137</v>
      </c>
      <c r="AK66" s="5" t="s">
        <v>132</v>
      </c>
      <c r="AL66" s="5" t="s">
        <v>133</v>
      </c>
      <c r="AM66" s="5" t="s">
        <v>134</v>
      </c>
      <c r="AN66" s="5" t="s">
        <v>135</v>
      </c>
      <c r="AO66" s="5" t="s">
        <v>136</v>
      </c>
      <c r="AP66" s="5" t="s">
        <v>137</v>
      </c>
      <c r="AQ66" s="5" t="s">
        <v>132</v>
      </c>
      <c r="AR66" s="5" t="s">
        <v>133</v>
      </c>
      <c r="AS66" s="5" t="s">
        <v>134</v>
      </c>
      <c r="AT66" s="5" t="s">
        <v>135</v>
      </c>
      <c r="AU66" s="5" t="s">
        <v>136</v>
      </c>
      <c r="AV66" s="5" t="s">
        <v>137</v>
      </c>
      <c r="AW66" s="5" t="s">
        <v>132</v>
      </c>
      <c r="AX66" s="5" t="s">
        <v>133</v>
      </c>
      <c r="AY66" s="5" t="s">
        <v>134</v>
      </c>
      <c r="AZ66" s="5" t="s">
        <v>135</v>
      </c>
      <c r="BA66" s="5" t="s">
        <v>136</v>
      </c>
      <c r="BB66" s="5" t="s">
        <v>137</v>
      </c>
      <c r="BC66" s="5" t="s">
        <v>132</v>
      </c>
      <c r="BD66" s="5" t="s">
        <v>133</v>
      </c>
      <c r="BE66" s="5" t="s">
        <v>134</v>
      </c>
      <c r="BF66" s="5" t="s">
        <v>135</v>
      </c>
      <c r="BG66" s="5" t="s">
        <v>136</v>
      </c>
      <c r="BH66" s="5" t="s">
        <v>137</v>
      </c>
      <c r="BI66" s="5" t="s">
        <v>132</v>
      </c>
      <c r="BJ66" s="5" t="s">
        <v>133</v>
      </c>
      <c r="BK66" s="5" t="s">
        <v>134</v>
      </c>
      <c r="BL66" s="5" t="s">
        <v>135</v>
      </c>
      <c r="BM66" s="5" t="s">
        <v>136</v>
      </c>
      <c r="BN66" s="5" t="s">
        <v>137</v>
      </c>
      <c r="BO66" s="5" t="s">
        <v>132</v>
      </c>
      <c r="BP66" s="5" t="s">
        <v>133</v>
      </c>
      <c r="BQ66" s="5" t="s">
        <v>134</v>
      </c>
      <c r="BR66" s="5" t="s">
        <v>135</v>
      </c>
      <c r="BS66" s="5" t="s">
        <v>136</v>
      </c>
      <c r="BT66" s="5" t="s">
        <v>137</v>
      </c>
      <c r="BU66" s="5" t="s">
        <v>132</v>
      </c>
      <c r="BV66" s="5" t="s">
        <v>133</v>
      </c>
      <c r="BW66" s="5" t="s">
        <v>134</v>
      </c>
      <c r="BX66" s="5" t="s">
        <v>135</v>
      </c>
      <c r="BY66" s="5" t="s">
        <v>136</v>
      </c>
      <c r="BZ66" s="5" t="s">
        <v>137</v>
      </c>
      <c r="CA66" s="5" t="s">
        <v>132</v>
      </c>
      <c r="CB66" s="5" t="s">
        <v>133</v>
      </c>
      <c r="CC66" s="5" t="s">
        <v>134</v>
      </c>
      <c r="CD66" s="5" t="s">
        <v>135</v>
      </c>
      <c r="CE66" s="5" t="s">
        <v>136</v>
      </c>
      <c r="CF66" s="5" t="s">
        <v>137</v>
      </c>
      <c r="CG66" s="5" t="s">
        <v>132</v>
      </c>
      <c r="CH66" s="5" t="s">
        <v>133</v>
      </c>
      <c r="CI66" s="5" t="s">
        <v>134</v>
      </c>
      <c r="CJ66" s="5" t="s">
        <v>135</v>
      </c>
      <c r="CK66" s="5" t="s">
        <v>136</v>
      </c>
      <c r="CL66" s="5" t="s">
        <v>137</v>
      </c>
      <c r="CM66" s="5" t="s">
        <v>132</v>
      </c>
    </row>
    <row r="67" spans="1:94" x14ac:dyDescent="0.25">
      <c r="A67" s="19" t="s">
        <v>62</v>
      </c>
      <c r="B67" s="8">
        <v>475006.1</v>
      </c>
      <c r="C67" s="8">
        <v>60102</v>
      </c>
      <c r="D67" s="8">
        <v>290</v>
      </c>
      <c r="E67" s="9">
        <v>49138.562068965519</v>
      </c>
      <c r="F67" s="9">
        <v>6217.4482758620688</v>
      </c>
      <c r="G67" s="10">
        <v>4.5629999999999997</v>
      </c>
      <c r="H67" s="8">
        <v>185502.66666666666</v>
      </c>
      <c r="I67" s="8">
        <v>25814.833333333332</v>
      </c>
      <c r="J67" s="8">
        <v>165</v>
      </c>
      <c r="K67" s="9">
        <v>40473.309090909097</v>
      </c>
      <c r="L67" s="9">
        <v>5632.3272727272724</v>
      </c>
      <c r="M67" s="10">
        <v>4.750847451217548</v>
      </c>
      <c r="N67" s="8">
        <f t="shared" ref="N67:N98" si="14">IFERROR(AVERAGE(T67,Z67,AF67,AL67,AR67,AX67,BD67,BJ67,BP67,BV67,CB67,CH67)," ")</f>
        <v>27543</v>
      </c>
      <c r="O67" s="8">
        <f t="shared" ref="O67:O98" si="15">IFERROR(AVERAGE(U67,AA67,AG67,AM67,AS67,AY67,BE67,BK67,BQ67,BW67,CC67,CI67)," ")</f>
        <v>948.5</v>
      </c>
      <c r="P67" s="8">
        <f t="shared" ref="P67:P98" si="16">IFERROR(SUM(V67,AB67,AH67,AN67,AT67,AZ67,BF67,BL67,BR67,BX67,CD67,CJ67)," ")</f>
        <v>4</v>
      </c>
      <c r="Q67" s="9">
        <f t="shared" ref="Q67:Q98" si="17">IFERROR(SUM(T67,Z67,AF67,AL67,AR67,AX67,BD67,BJ67,BP67,BV67,CB67,CH67)/P67*3," ")</f>
        <v>41314.5</v>
      </c>
      <c r="R67" s="9">
        <f t="shared" ref="R67:R98" si="18">IFERROR(SUM(U67,AA67,AG67,AM67,AS67,AY67,BE67,BK67,BQ67,BW67,CC67,CI67)/P67*3," ")</f>
        <v>1422.75</v>
      </c>
      <c r="S67" s="10">
        <f t="shared" ref="S67:S98" si="19">IFERROR(AVERAGE(Y67,AE67,AK67,AQ67,AW67,BC67,BI67,BO67,BU67,CA67,CG67,CM67)," ")</f>
        <v>2.3707154635350047</v>
      </c>
      <c r="T67" s="11">
        <v>19346</v>
      </c>
      <c r="U67" s="11">
        <v>1689</v>
      </c>
      <c r="V67" s="11">
        <v>3</v>
      </c>
      <c r="W67" s="12">
        <v>19346</v>
      </c>
      <c r="X67" s="12">
        <v>1689</v>
      </c>
      <c r="Y67" s="13">
        <v>3.7621761026285152</v>
      </c>
      <c r="Z67" s="11"/>
      <c r="AA67" s="11"/>
      <c r="AB67" s="11"/>
      <c r="AC67" s="12"/>
      <c r="AD67" s="12"/>
      <c r="AE67" s="13"/>
      <c r="AF67" s="11">
        <v>35740</v>
      </c>
      <c r="AG67" s="11">
        <v>208</v>
      </c>
      <c r="AH67" s="11">
        <v>1</v>
      </c>
      <c r="AI67" s="12">
        <v>107220</v>
      </c>
      <c r="AJ67" s="12">
        <v>624</v>
      </c>
      <c r="AK67" s="13">
        <v>0.97925482444149425</v>
      </c>
      <c r="AL67" s="11"/>
      <c r="AM67" s="11"/>
      <c r="AN67" s="11"/>
      <c r="AO67" s="12"/>
      <c r="AP67" s="12"/>
      <c r="AQ67" s="13"/>
      <c r="AR67" s="11"/>
      <c r="AS67" s="11"/>
      <c r="AT67" s="11"/>
      <c r="AU67" s="12"/>
      <c r="AV67" s="12"/>
      <c r="AW67" s="13"/>
      <c r="AX67" s="11"/>
      <c r="AY67" s="11"/>
      <c r="AZ67" s="11"/>
      <c r="BA67" s="12"/>
      <c r="BB67" s="12"/>
      <c r="BC67" s="13"/>
      <c r="BD67" s="11"/>
      <c r="BE67" s="11"/>
      <c r="BF67" s="11"/>
      <c r="BG67" s="12"/>
      <c r="BH67" s="12"/>
      <c r="BI67" s="13"/>
      <c r="BJ67" s="11"/>
      <c r="BK67" s="11"/>
      <c r="BL67" s="11"/>
      <c r="BM67" s="12"/>
      <c r="BN67" s="12"/>
      <c r="BO67" s="13"/>
      <c r="BP67" s="11"/>
      <c r="BQ67" s="11"/>
      <c r="BR67" s="11"/>
      <c r="BS67" s="12"/>
      <c r="BT67" s="12"/>
      <c r="BU67" s="13"/>
      <c r="BV67" s="11"/>
      <c r="BW67" s="11"/>
      <c r="BX67" s="11"/>
      <c r="BY67" s="12"/>
      <c r="BZ67" s="12"/>
      <c r="CA67" s="13"/>
      <c r="CB67" s="11"/>
      <c r="CC67" s="11"/>
      <c r="CD67" s="11"/>
      <c r="CE67" s="12"/>
      <c r="CF67" s="12"/>
      <c r="CG67" s="13"/>
      <c r="CJ67" s="11"/>
      <c r="CK67" s="12"/>
      <c r="CL67" s="12"/>
      <c r="CM67" s="13"/>
      <c r="CN67" s="11"/>
      <c r="CO67" s="11"/>
      <c r="CP67" s="11"/>
    </row>
    <row r="68" spans="1:94" x14ac:dyDescent="0.25">
      <c r="A68" s="19" t="s">
        <v>63</v>
      </c>
      <c r="B68" s="8">
        <v>298376.66666666669</v>
      </c>
      <c r="C68" s="8">
        <v>38886.666666666664</v>
      </c>
      <c r="D68" s="8">
        <v>187</v>
      </c>
      <c r="E68" s="9">
        <v>43081.122994652404</v>
      </c>
      <c r="F68" s="9">
        <v>5614.6524064171117</v>
      </c>
      <c r="G68" s="10">
        <v>4.6099999999999994</v>
      </c>
      <c r="H68" s="8">
        <v>9582</v>
      </c>
      <c r="I68" s="8">
        <v>1200</v>
      </c>
      <c r="J68" s="8">
        <v>2</v>
      </c>
      <c r="K68" s="9">
        <v>28746</v>
      </c>
      <c r="L68" s="9">
        <v>3600</v>
      </c>
      <c r="M68" s="10">
        <v>4.5068102274464383</v>
      </c>
      <c r="N68" s="8">
        <f t="shared" si="14"/>
        <v>2127222.4122222224</v>
      </c>
      <c r="O68" s="8">
        <f t="shared" si="15"/>
        <v>68732.333333333328</v>
      </c>
      <c r="P68" s="8">
        <f t="shared" si="16"/>
        <v>227</v>
      </c>
      <c r="Q68" s="9">
        <f t="shared" si="17"/>
        <v>253017.6437444934</v>
      </c>
      <c r="R68" s="9">
        <f t="shared" si="18"/>
        <v>8175.2114537444941</v>
      </c>
      <c r="S68" s="10">
        <f t="shared" si="19"/>
        <v>2.2063209127750891</v>
      </c>
      <c r="T68" s="11">
        <v>1390116</v>
      </c>
      <c r="U68" s="11">
        <v>57731</v>
      </c>
      <c r="V68" s="11">
        <v>25</v>
      </c>
      <c r="W68" s="12">
        <v>166813.92000000001</v>
      </c>
      <c r="X68" s="12">
        <v>6927.7199999999993</v>
      </c>
      <c r="Y68" s="13">
        <v>2.593897776678423</v>
      </c>
      <c r="Z68" s="11">
        <v>1742429.08</v>
      </c>
      <c r="AA68" s="11">
        <v>84286</v>
      </c>
      <c r="AB68" s="11">
        <v>25</v>
      </c>
      <c r="AC68" s="12">
        <v>209091.4896</v>
      </c>
      <c r="AD68" s="12">
        <v>10114.32</v>
      </c>
      <c r="AE68" s="13">
        <v>2.7973528181768699</v>
      </c>
      <c r="AF68" s="11">
        <v>3868658.93</v>
      </c>
      <c r="AG68" s="11">
        <v>130090</v>
      </c>
      <c r="AH68" s="11">
        <v>29</v>
      </c>
      <c r="AI68" s="12">
        <v>400206.09620689659</v>
      </c>
      <c r="AJ68" s="12">
        <v>13457.586206896551</v>
      </c>
      <c r="AK68" s="13">
        <v>2.3313522619718339</v>
      </c>
      <c r="AL68" s="11">
        <v>6155790.9500000002</v>
      </c>
      <c r="AM68" s="11">
        <v>181281</v>
      </c>
      <c r="AN68" s="11">
        <v>37</v>
      </c>
      <c r="AO68" s="12">
        <v>499118.18513513508</v>
      </c>
      <c r="AP68" s="12">
        <v>14698.45945945946</v>
      </c>
      <c r="AQ68" s="13">
        <v>2.1828102108509588</v>
      </c>
      <c r="AR68" s="11">
        <v>2276893.7799999998</v>
      </c>
      <c r="AS68" s="11">
        <v>76232</v>
      </c>
      <c r="AT68" s="11">
        <v>26</v>
      </c>
      <c r="AU68" s="12">
        <v>262718.51307692309</v>
      </c>
      <c r="AV68" s="12">
        <v>8796</v>
      </c>
      <c r="AW68" s="13">
        <v>2.3291290160442348</v>
      </c>
      <c r="AX68" s="11">
        <v>1380301.7</v>
      </c>
      <c r="AY68" s="11">
        <v>41919</v>
      </c>
      <c r="AZ68" s="11">
        <v>23</v>
      </c>
      <c r="BA68" s="12">
        <v>180039.35217391301</v>
      </c>
      <c r="BB68" s="12">
        <v>5467.695652173913</v>
      </c>
      <c r="BC68" s="13">
        <v>2.2184437167255999</v>
      </c>
      <c r="BD68" s="11">
        <v>875720.58</v>
      </c>
      <c r="BE68" s="11">
        <v>13988</v>
      </c>
      <c r="BF68" s="11">
        <v>20</v>
      </c>
      <c r="BG68" s="12">
        <v>131358.087</v>
      </c>
      <c r="BH68" s="12">
        <v>2098.1999999999998</v>
      </c>
      <c r="BI68" s="13">
        <v>1.608391216526688</v>
      </c>
      <c r="BJ68" s="11">
        <v>1015327.93</v>
      </c>
      <c r="BK68" s="11">
        <v>23803</v>
      </c>
      <c r="BL68" s="11">
        <v>23</v>
      </c>
      <c r="BM68" s="12">
        <v>132434.07782608701</v>
      </c>
      <c r="BN68" s="12">
        <v>3104.7391304347821</v>
      </c>
      <c r="BO68" s="13">
        <v>1.948276682689972</v>
      </c>
      <c r="BP68" s="11">
        <v>439762.76</v>
      </c>
      <c r="BQ68" s="11">
        <v>9261</v>
      </c>
      <c r="BR68" s="11">
        <v>19</v>
      </c>
      <c r="BS68" s="12">
        <v>69436.225263157889</v>
      </c>
      <c r="BT68" s="12">
        <v>1462.2631578947371</v>
      </c>
      <c r="BU68" s="13">
        <v>1.84723451531122</v>
      </c>
      <c r="BV68" s="11"/>
      <c r="BW68" s="11"/>
      <c r="BX68" s="11"/>
      <c r="BY68" s="12"/>
      <c r="BZ68" s="12"/>
      <c r="CA68" s="13"/>
      <c r="CB68" s="11"/>
      <c r="CC68" s="11"/>
      <c r="CD68" s="11"/>
      <c r="CE68" s="12"/>
      <c r="CF68" s="12"/>
      <c r="CG68" s="13"/>
      <c r="CJ68" s="11"/>
      <c r="CK68" s="12"/>
      <c r="CL68" s="12"/>
      <c r="CM68" s="13"/>
      <c r="CN68" s="11"/>
      <c r="CO68" s="11"/>
      <c r="CP68" s="11"/>
    </row>
    <row r="69" spans="1:94" x14ac:dyDescent="0.25">
      <c r="A69" s="19" t="s">
        <v>64</v>
      </c>
      <c r="B69" s="8" t="s">
        <v>27</v>
      </c>
      <c r="C69" s="8" t="s">
        <v>27</v>
      </c>
      <c r="D69" s="8">
        <v>0</v>
      </c>
      <c r="E69" s="9" t="s">
        <v>27</v>
      </c>
      <c r="F69" s="9" t="s">
        <v>27</v>
      </c>
      <c r="G69" s="10" t="s">
        <v>27</v>
      </c>
      <c r="H69" s="8">
        <v>5824</v>
      </c>
      <c r="I69" s="8">
        <v>800</v>
      </c>
      <c r="J69" s="8">
        <v>1</v>
      </c>
      <c r="K69" s="9">
        <v>17472</v>
      </c>
      <c r="L69" s="9">
        <v>2400</v>
      </c>
      <c r="M69" s="10">
        <v>4.72</v>
      </c>
      <c r="N69" s="8" t="str">
        <f t="shared" si="14"/>
        <v xml:space="preserve"> </v>
      </c>
      <c r="O69" s="8" t="str">
        <f t="shared" si="15"/>
        <v xml:space="preserve"> </v>
      </c>
      <c r="P69" s="8">
        <f t="shared" si="16"/>
        <v>0</v>
      </c>
      <c r="Q69" s="9" t="str">
        <f t="shared" si="17"/>
        <v xml:space="preserve"> </v>
      </c>
      <c r="R69" s="9" t="str">
        <f t="shared" si="18"/>
        <v xml:space="preserve"> </v>
      </c>
      <c r="S69" s="10" t="str">
        <f t="shared" si="19"/>
        <v xml:space="preserve"> </v>
      </c>
      <c r="T69" s="11"/>
      <c r="U69" s="11"/>
      <c r="V69" s="11"/>
      <c r="W69" s="12"/>
      <c r="X69" s="12"/>
      <c r="Y69" s="13"/>
      <c r="Z69" s="11"/>
      <c r="AA69" s="11"/>
      <c r="AB69" s="11"/>
      <c r="AC69" s="12"/>
      <c r="AD69" s="12"/>
      <c r="AE69" s="13"/>
      <c r="AF69" s="11"/>
      <c r="AG69" s="11"/>
      <c r="AH69" s="11"/>
      <c r="AI69" s="12"/>
      <c r="AJ69" s="12"/>
      <c r="AK69" s="13"/>
      <c r="AL69" s="11"/>
      <c r="AM69" s="11"/>
      <c r="AN69" s="11"/>
      <c r="AO69" s="12"/>
      <c r="AP69" s="12"/>
      <c r="AQ69" s="13"/>
      <c r="AR69" s="11"/>
      <c r="AS69" s="11"/>
      <c r="AT69" s="11"/>
      <c r="AU69" s="12"/>
      <c r="AV69" s="12"/>
      <c r="AW69" s="13"/>
      <c r="AX69" s="11"/>
      <c r="AY69" s="11"/>
      <c r="AZ69" s="11"/>
      <c r="BA69" s="12"/>
      <c r="BB69" s="12"/>
      <c r="BC69" s="13"/>
      <c r="BD69" s="11"/>
      <c r="BE69" s="11"/>
      <c r="BF69" s="11"/>
      <c r="BG69" s="12"/>
      <c r="BH69" s="12"/>
      <c r="BI69" s="13"/>
      <c r="BJ69" s="11"/>
      <c r="BK69" s="11"/>
      <c r="BL69" s="11"/>
      <c r="BM69" s="12"/>
      <c r="BN69" s="12"/>
      <c r="BO69" s="13"/>
      <c r="BP69" s="11"/>
      <c r="BQ69" s="11"/>
      <c r="BR69" s="11"/>
      <c r="BS69" s="12"/>
      <c r="BT69" s="12"/>
      <c r="BU69" s="13"/>
      <c r="BV69" s="11"/>
      <c r="BW69" s="11"/>
      <c r="BX69" s="11"/>
      <c r="BY69" s="12"/>
      <c r="BZ69" s="12"/>
      <c r="CA69" s="13"/>
      <c r="CB69" s="11"/>
      <c r="CC69" s="11"/>
      <c r="CD69" s="11"/>
      <c r="CE69" s="12"/>
      <c r="CF69" s="12"/>
      <c r="CG69" s="13"/>
      <c r="CJ69" s="11"/>
      <c r="CK69" s="12"/>
      <c r="CL69" s="12"/>
      <c r="CM69" s="13"/>
      <c r="CN69" s="11"/>
      <c r="CO69" s="11"/>
      <c r="CP69" s="11"/>
    </row>
    <row r="70" spans="1:94" x14ac:dyDescent="0.25">
      <c r="A70" s="19" t="s">
        <v>65</v>
      </c>
      <c r="B70" s="8">
        <v>180248</v>
      </c>
      <c r="C70" s="8">
        <v>22614</v>
      </c>
      <c r="D70" s="8">
        <v>71</v>
      </c>
      <c r="E70" s="9">
        <v>38080.563380281688</v>
      </c>
      <c r="F70" s="9">
        <v>4777.6056338028175</v>
      </c>
      <c r="G70" s="10">
        <v>4.516</v>
      </c>
      <c r="H70" s="8">
        <v>110653</v>
      </c>
      <c r="I70" s="8">
        <v>9949.625</v>
      </c>
      <c r="J70" s="8">
        <v>55</v>
      </c>
      <c r="K70" s="9">
        <v>48284.94545454545</v>
      </c>
      <c r="L70" s="9">
        <v>4341.6545454545458</v>
      </c>
      <c r="M70" s="10">
        <v>3.818586346677344</v>
      </c>
      <c r="N70" s="8">
        <f t="shared" si="14"/>
        <v>43199</v>
      </c>
      <c r="O70" s="8">
        <f t="shared" si="15"/>
        <v>2072</v>
      </c>
      <c r="P70" s="8">
        <f t="shared" si="16"/>
        <v>5</v>
      </c>
      <c r="Q70" s="9">
        <f t="shared" si="17"/>
        <v>51838.799999999996</v>
      </c>
      <c r="R70" s="9">
        <f t="shared" si="18"/>
        <v>2486.3999999999996</v>
      </c>
      <c r="S70" s="10">
        <f t="shared" si="19"/>
        <v>2.368836869937013</v>
      </c>
      <c r="T70" s="11"/>
      <c r="U70" s="11"/>
      <c r="V70" s="11"/>
      <c r="W70" s="12"/>
      <c r="X70" s="12"/>
      <c r="Y70" s="13"/>
      <c r="Z70" s="11"/>
      <c r="AA70" s="11"/>
      <c r="AB70" s="11"/>
      <c r="AC70" s="12"/>
      <c r="AD70" s="12"/>
      <c r="AE70" s="13"/>
      <c r="AF70" s="11"/>
      <c r="AG70" s="11"/>
      <c r="AH70" s="11"/>
      <c r="AI70" s="12"/>
      <c r="AJ70" s="12"/>
      <c r="AK70" s="13"/>
      <c r="AL70" s="11"/>
      <c r="AM70" s="11"/>
      <c r="AN70" s="11"/>
      <c r="AO70" s="12"/>
      <c r="AP70" s="12"/>
      <c r="AQ70" s="13"/>
      <c r="AR70" s="11"/>
      <c r="AS70" s="11"/>
      <c r="AT70" s="11"/>
      <c r="AU70" s="12"/>
      <c r="AV70" s="12"/>
      <c r="AW70" s="13"/>
      <c r="AX70" s="11"/>
      <c r="AY70" s="11"/>
      <c r="AZ70" s="11"/>
      <c r="BA70" s="12"/>
      <c r="BB70" s="12"/>
      <c r="BC70" s="13"/>
      <c r="BD70" s="11"/>
      <c r="BE70" s="11"/>
      <c r="BF70" s="11"/>
      <c r="BG70" s="12"/>
      <c r="BH70" s="12"/>
      <c r="BI70" s="13"/>
      <c r="BJ70" s="11"/>
      <c r="BK70" s="11"/>
      <c r="BL70" s="11"/>
      <c r="BM70" s="12"/>
      <c r="BN70" s="12"/>
      <c r="BO70" s="13"/>
      <c r="BP70" s="11">
        <v>13808</v>
      </c>
      <c r="BQ70" s="11">
        <v>275</v>
      </c>
      <c r="BR70" s="11">
        <v>1</v>
      </c>
      <c r="BS70" s="12">
        <v>41424</v>
      </c>
      <c r="BT70" s="12">
        <v>825</v>
      </c>
      <c r="BU70" s="13">
        <v>1.79857884141433</v>
      </c>
      <c r="BV70" s="11">
        <v>72590</v>
      </c>
      <c r="BW70" s="11">
        <v>3869</v>
      </c>
      <c r="BX70" s="11">
        <v>4</v>
      </c>
      <c r="BY70" s="12">
        <v>54442.5</v>
      </c>
      <c r="BZ70" s="12">
        <v>2901.75</v>
      </c>
      <c r="CA70" s="13">
        <v>2.9390948984596958</v>
      </c>
      <c r="CB70" s="11"/>
      <c r="CC70" s="11"/>
      <c r="CD70" s="11"/>
      <c r="CE70" s="12"/>
      <c r="CF70" s="12"/>
      <c r="CG70" s="13"/>
      <c r="CJ70" s="11"/>
      <c r="CK70" s="12"/>
      <c r="CL70" s="12"/>
      <c r="CM70" s="13"/>
      <c r="CN70" s="11"/>
      <c r="CO70" s="11"/>
      <c r="CP70" s="11"/>
    </row>
    <row r="71" spans="1:94" x14ac:dyDescent="0.25">
      <c r="A71" s="19" t="s">
        <v>66</v>
      </c>
      <c r="B71" s="8">
        <v>584999.30000000005</v>
      </c>
      <c r="C71" s="8">
        <v>59698</v>
      </c>
      <c r="D71" s="8">
        <v>305</v>
      </c>
      <c r="E71" s="9">
        <v>57540.914754098361</v>
      </c>
      <c r="F71" s="9">
        <v>5871.9344262295081</v>
      </c>
      <c r="G71" s="10">
        <v>4.09</v>
      </c>
      <c r="H71" s="8">
        <v>167771.27272727274</v>
      </c>
      <c r="I71" s="8">
        <v>17397.727272727272</v>
      </c>
      <c r="J71" s="8">
        <v>117</v>
      </c>
      <c r="K71" s="9">
        <v>47320.102564102563</v>
      </c>
      <c r="L71" s="9">
        <v>4907.0512820512822</v>
      </c>
      <c r="M71" s="10">
        <v>4.1011620290673987</v>
      </c>
      <c r="N71" s="8" t="str">
        <f t="shared" si="14"/>
        <v xml:space="preserve"> </v>
      </c>
      <c r="O71" s="8" t="str">
        <f t="shared" si="15"/>
        <v xml:space="preserve"> </v>
      </c>
      <c r="P71" s="8">
        <f t="shared" si="16"/>
        <v>0</v>
      </c>
      <c r="Q71" s="9" t="str">
        <f t="shared" si="17"/>
        <v xml:space="preserve"> </v>
      </c>
      <c r="R71" s="9" t="str">
        <f t="shared" si="18"/>
        <v xml:space="preserve"> </v>
      </c>
      <c r="S71" s="10" t="str">
        <f t="shared" si="19"/>
        <v xml:space="preserve"> </v>
      </c>
      <c r="T71" s="11"/>
      <c r="U71" s="11"/>
      <c r="V71" s="11"/>
      <c r="W71" s="12"/>
      <c r="X71" s="12"/>
      <c r="Y71" s="13"/>
      <c r="Z71" s="11"/>
      <c r="AA71" s="11"/>
      <c r="AB71" s="11"/>
      <c r="AC71" s="12"/>
      <c r="AD71" s="12"/>
      <c r="AE71" s="13"/>
      <c r="AF71" s="11"/>
      <c r="AG71" s="11"/>
      <c r="AH71" s="11"/>
      <c r="AI71" s="12"/>
      <c r="AJ71" s="12"/>
      <c r="AK71" s="13"/>
      <c r="AL71" s="11"/>
      <c r="AM71" s="11"/>
      <c r="AN71" s="11"/>
      <c r="AO71" s="12"/>
      <c r="AP71" s="12"/>
      <c r="AQ71" s="13"/>
      <c r="AR71" s="11"/>
      <c r="AS71" s="11"/>
      <c r="AT71" s="11"/>
      <c r="AU71" s="12"/>
      <c r="AV71" s="12"/>
      <c r="AW71" s="13"/>
      <c r="AX71" s="11"/>
      <c r="AY71" s="11"/>
      <c r="AZ71" s="11"/>
      <c r="BA71" s="12"/>
      <c r="BB71" s="12"/>
      <c r="BC71" s="13"/>
      <c r="BD71" s="11"/>
      <c r="BE71" s="11"/>
      <c r="BF71" s="11"/>
      <c r="BG71" s="12"/>
      <c r="BH71" s="12"/>
      <c r="BI71" s="13"/>
      <c r="BJ71" s="11"/>
      <c r="BK71" s="11"/>
      <c r="BL71" s="11"/>
      <c r="BM71" s="12"/>
      <c r="BN71" s="12"/>
      <c r="BO71" s="13"/>
      <c r="BP71" s="11"/>
      <c r="BQ71" s="11"/>
      <c r="BR71" s="11"/>
      <c r="BS71" s="12"/>
      <c r="BT71" s="12"/>
      <c r="BU71" s="13"/>
      <c r="BV71" s="11"/>
      <c r="BW71" s="11"/>
      <c r="BX71" s="11"/>
      <c r="BY71" s="12"/>
      <c r="BZ71" s="12"/>
      <c r="CA71" s="13"/>
      <c r="CB71" s="11"/>
      <c r="CC71" s="11"/>
      <c r="CD71" s="11"/>
      <c r="CE71" s="12"/>
      <c r="CF71" s="12"/>
      <c r="CG71" s="13"/>
      <c r="CJ71" s="11"/>
      <c r="CK71" s="12"/>
      <c r="CL71" s="12"/>
      <c r="CM71" s="13"/>
      <c r="CN71" s="11"/>
      <c r="CO71" s="11"/>
      <c r="CP71" s="11"/>
    </row>
    <row r="72" spans="1:94" x14ac:dyDescent="0.25">
      <c r="A72" s="19" t="s">
        <v>67</v>
      </c>
      <c r="B72" s="8">
        <v>658124.9</v>
      </c>
      <c r="C72" s="8">
        <v>64498</v>
      </c>
      <c r="D72" s="8">
        <v>325</v>
      </c>
      <c r="E72" s="9">
        <v>60749.990769230775</v>
      </c>
      <c r="F72" s="9">
        <v>5953.6615384615379</v>
      </c>
      <c r="G72" s="10">
        <v>3.9910000000000005</v>
      </c>
      <c r="H72" s="8">
        <v>167457.33333333334</v>
      </c>
      <c r="I72" s="8">
        <v>18810.083333333332</v>
      </c>
      <c r="J72" s="8">
        <v>136</v>
      </c>
      <c r="K72" s="9">
        <v>44326.941176470587</v>
      </c>
      <c r="L72" s="9">
        <v>4979.1397058823532</v>
      </c>
      <c r="M72" s="10">
        <v>4.2679445230061601</v>
      </c>
      <c r="N72" s="8">
        <f t="shared" si="14"/>
        <v>40710</v>
      </c>
      <c r="O72" s="8">
        <f t="shared" si="15"/>
        <v>5155.5</v>
      </c>
      <c r="P72" s="8">
        <f t="shared" si="16"/>
        <v>4</v>
      </c>
      <c r="Q72" s="9">
        <f t="shared" si="17"/>
        <v>61065</v>
      </c>
      <c r="R72" s="9">
        <f t="shared" si="18"/>
        <v>7733.25</v>
      </c>
      <c r="S72" s="10">
        <f t="shared" si="19"/>
        <v>4.6099999999999994</v>
      </c>
      <c r="T72" s="11">
        <v>11648</v>
      </c>
      <c r="U72" s="11">
        <v>1600</v>
      </c>
      <c r="V72" s="11">
        <v>1</v>
      </c>
      <c r="W72" s="12">
        <v>34944</v>
      </c>
      <c r="X72" s="12">
        <v>4800</v>
      </c>
      <c r="Y72" s="13">
        <v>4.72</v>
      </c>
      <c r="Z72" s="11"/>
      <c r="AA72" s="11"/>
      <c r="AB72" s="11"/>
      <c r="AC72" s="12"/>
      <c r="AD72" s="12"/>
      <c r="AE72" s="13"/>
      <c r="AF72" s="11"/>
      <c r="AG72" s="11"/>
      <c r="AH72" s="11"/>
      <c r="AI72" s="12"/>
      <c r="AJ72" s="12"/>
      <c r="AK72" s="13"/>
      <c r="AL72" s="11">
        <v>69772</v>
      </c>
      <c r="AM72" s="11">
        <v>8711</v>
      </c>
      <c r="AN72" s="11">
        <v>3</v>
      </c>
      <c r="AO72" s="12">
        <v>69772</v>
      </c>
      <c r="AP72" s="12">
        <v>8711</v>
      </c>
      <c r="AQ72" s="13">
        <v>4.5</v>
      </c>
      <c r="AR72" s="11"/>
      <c r="AS72" s="11"/>
      <c r="AT72" s="11"/>
      <c r="AU72" s="12"/>
      <c r="AV72" s="12"/>
      <c r="AW72" s="13"/>
      <c r="AX72" s="11"/>
      <c r="AY72" s="11"/>
      <c r="AZ72" s="11"/>
      <c r="BA72" s="12"/>
      <c r="BB72" s="12"/>
      <c r="BC72" s="13"/>
      <c r="BD72" s="11"/>
      <c r="BE72" s="11"/>
      <c r="BF72" s="11"/>
      <c r="BG72" s="12"/>
      <c r="BH72" s="12"/>
      <c r="BI72" s="13"/>
      <c r="BJ72" s="11"/>
      <c r="BK72" s="11"/>
      <c r="BL72" s="11"/>
      <c r="BM72" s="12"/>
      <c r="BN72" s="12"/>
      <c r="BO72" s="13"/>
      <c r="BP72" s="11"/>
      <c r="BQ72" s="11"/>
      <c r="BR72" s="11"/>
      <c r="BS72" s="12"/>
      <c r="BT72" s="12"/>
      <c r="BU72" s="13"/>
      <c r="BV72" s="11"/>
      <c r="BW72" s="11"/>
      <c r="BX72" s="11"/>
      <c r="BY72" s="12"/>
      <c r="BZ72" s="12"/>
      <c r="CA72" s="13"/>
      <c r="CB72" s="11"/>
      <c r="CC72" s="11"/>
      <c r="CD72" s="11"/>
      <c r="CE72" s="12"/>
      <c r="CF72" s="12"/>
      <c r="CG72" s="13"/>
      <c r="CJ72" s="11"/>
      <c r="CK72" s="12"/>
      <c r="CL72" s="12"/>
      <c r="CM72" s="13"/>
      <c r="CN72" s="11"/>
      <c r="CO72" s="11"/>
      <c r="CP72" s="11"/>
    </row>
    <row r="73" spans="1:94" x14ac:dyDescent="0.25">
      <c r="A73" s="19" t="s">
        <v>68</v>
      </c>
      <c r="B73" s="8">
        <v>3561028.8181818184</v>
      </c>
      <c r="C73" s="8">
        <v>185381.45454545456</v>
      </c>
      <c r="D73" s="8">
        <v>660</v>
      </c>
      <c r="E73" s="9">
        <v>178051.44090909092</v>
      </c>
      <c r="F73" s="9">
        <v>9269.0727272727272</v>
      </c>
      <c r="G73" s="10">
        <v>2.9063636363636363</v>
      </c>
      <c r="H73" s="8" t="s">
        <v>27</v>
      </c>
      <c r="I73" s="8" t="s">
        <v>27</v>
      </c>
      <c r="J73" s="8">
        <v>0</v>
      </c>
      <c r="K73" s="9" t="s">
        <v>27</v>
      </c>
      <c r="L73" s="9" t="s">
        <v>27</v>
      </c>
      <c r="M73" s="10"/>
      <c r="N73" s="8" t="str">
        <f t="shared" si="14"/>
        <v xml:space="preserve"> </v>
      </c>
      <c r="O73" s="8" t="str">
        <f t="shared" si="15"/>
        <v xml:space="preserve"> </v>
      </c>
      <c r="P73" s="8">
        <f t="shared" si="16"/>
        <v>0</v>
      </c>
      <c r="Q73" s="9" t="str">
        <f t="shared" si="17"/>
        <v xml:space="preserve"> </v>
      </c>
      <c r="R73" s="9" t="str">
        <f t="shared" si="18"/>
        <v xml:space="preserve"> </v>
      </c>
      <c r="S73" s="10" t="str">
        <f t="shared" si="19"/>
        <v xml:space="preserve"> </v>
      </c>
      <c r="T73" s="11"/>
      <c r="U73" s="11"/>
      <c r="V73" s="11"/>
      <c r="W73" s="12"/>
      <c r="X73" s="12"/>
      <c r="Y73" s="13"/>
      <c r="Z73" s="11"/>
      <c r="AA73" s="11"/>
      <c r="AB73" s="11"/>
      <c r="AC73" s="12"/>
      <c r="AD73" s="12"/>
      <c r="AE73" s="13"/>
      <c r="AF73" s="11"/>
      <c r="AG73" s="11"/>
      <c r="AH73" s="11"/>
      <c r="AI73" s="12"/>
      <c r="AJ73" s="12"/>
      <c r="AK73" s="13"/>
      <c r="AL73" s="11"/>
      <c r="AM73" s="11"/>
      <c r="AN73" s="11"/>
      <c r="AO73" s="12"/>
      <c r="AP73" s="12"/>
      <c r="AQ73" s="13"/>
      <c r="AR73" s="11"/>
      <c r="AS73" s="11"/>
      <c r="AT73" s="11"/>
      <c r="AU73" s="12"/>
      <c r="AV73" s="12"/>
      <c r="AW73" s="13"/>
      <c r="AX73" s="11"/>
      <c r="AY73" s="11"/>
      <c r="AZ73" s="11"/>
      <c r="BA73" s="12"/>
      <c r="BB73" s="12"/>
      <c r="BC73" s="13"/>
      <c r="BD73" s="11"/>
      <c r="BE73" s="11"/>
      <c r="BF73" s="11"/>
      <c r="BG73" s="12"/>
      <c r="BH73" s="12"/>
      <c r="BI73" s="13"/>
      <c r="BJ73" s="11"/>
      <c r="BK73" s="11"/>
      <c r="BL73" s="11"/>
      <c r="BM73" s="12"/>
      <c r="BN73" s="12"/>
      <c r="BO73" s="13"/>
      <c r="BP73" s="11"/>
      <c r="BQ73" s="11"/>
      <c r="BR73" s="11"/>
      <c r="BS73" s="12"/>
      <c r="BT73" s="12"/>
      <c r="BU73" s="13"/>
      <c r="BV73" s="11"/>
      <c r="BW73" s="11"/>
      <c r="BX73" s="11"/>
      <c r="BY73" s="12"/>
      <c r="BZ73" s="12"/>
      <c r="CA73" s="13"/>
      <c r="CB73" s="11"/>
      <c r="CC73" s="11"/>
      <c r="CD73" s="11"/>
      <c r="CE73" s="12"/>
      <c r="CF73" s="12"/>
      <c r="CG73" s="13"/>
      <c r="CJ73" s="11"/>
      <c r="CK73" s="12"/>
      <c r="CL73" s="12"/>
      <c r="CM73" s="13"/>
      <c r="CN73" s="11"/>
      <c r="CO73" s="11"/>
      <c r="CP73" s="11"/>
    </row>
    <row r="74" spans="1:94" x14ac:dyDescent="0.25">
      <c r="A74" s="19" t="s">
        <v>69</v>
      </c>
      <c r="B74" s="8">
        <v>2401014</v>
      </c>
      <c r="C74" s="8">
        <v>166530.27272727274</v>
      </c>
      <c r="D74" s="8">
        <v>666</v>
      </c>
      <c r="E74" s="9">
        <v>118969.16216216216</v>
      </c>
      <c r="F74" s="9">
        <v>8251.5</v>
      </c>
      <c r="G74" s="10">
        <v>3.3672727272727268</v>
      </c>
      <c r="H74" s="8" t="s">
        <v>27</v>
      </c>
      <c r="I74" s="8" t="s">
        <v>27</v>
      </c>
      <c r="J74" s="8">
        <v>0</v>
      </c>
      <c r="K74" s="9" t="s">
        <v>27</v>
      </c>
      <c r="L74" s="9" t="s">
        <v>27</v>
      </c>
      <c r="M74" s="10"/>
      <c r="N74" s="8" t="str">
        <f t="shared" si="14"/>
        <v xml:space="preserve"> </v>
      </c>
      <c r="O74" s="8" t="str">
        <f t="shared" si="15"/>
        <v xml:space="preserve"> </v>
      </c>
      <c r="P74" s="8">
        <f t="shared" si="16"/>
        <v>0</v>
      </c>
      <c r="Q74" s="9" t="str">
        <f t="shared" si="17"/>
        <v xml:space="preserve"> </v>
      </c>
      <c r="R74" s="9" t="str">
        <f t="shared" si="18"/>
        <v xml:space="preserve"> </v>
      </c>
      <c r="S74" s="10" t="str">
        <f t="shared" si="19"/>
        <v xml:space="preserve"> </v>
      </c>
      <c r="T74" s="11"/>
      <c r="U74" s="11"/>
      <c r="V74" s="11"/>
      <c r="W74" s="12"/>
      <c r="X74" s="12"/>
      <c r="Y74" s="13"/>
      <c r="Z74" s="11"/>
      <c r="AA74" s="11"/>
      <c r="AB74" s="11"/>
      <c r="AC74" s="12"/>
      <c r="AD74" s="12"/>
      <c r="AE74" s="13"/>
      <c r="AF74" s="11"/>
      <c r="AG74" s="11"/>
      <c r="AH74" s="11"/>
      <c r="AI74" s="12"/>
      <c r="AJ74" s="12"/>
      <c r="AK74" s="13"/>
      <c r="AL74" s="11"/>
      <c r="AM74" s="11"/>
      <c r="AN74" s="11"/>
      <c r="AO74" s="12"/>
      <c r="AP74" s="12"/>
      <c r="AQ74" s="13"/>
      <c r="AR74" s="11"/>
      <c r="AS74" s="11"/>
      <c r="AT74" s="11"/>
      <c r="AU74" s="12"/>
      <c r="AV74" s="12"/>
      <c r="AW74" s="13"/>
      <c r="AX74" s="11"/>
      <c r="AY74" s="11"/>
      <c r="AZ74" s="11"/>
      <c r="BA74" s="12"/>
      <c r="BB74" s="12"/>
      <c r="BC74" s="13"/>
      <c r="BD74" s="11"/>
      <c r="BE74" s="11"/>
      <c r="BF74" s="11"/>
      <c r="BG74" s="12"/>
      <c r="BH74" s="12"/>
      <c r="BI74" s="13"/>
      <c r="BJ74" s="11"/>
      <c r="BK74" s="11"/>
      <c r="BL74" s="11"/>
      <c r="BM74" s="12"/>
      <c r="BN74" s="12"/>
      <c r="BO74" s="13"/>
      <c r="BP74" s="11"/>
      <c r="BQ74" s="11"/>
      <c r="BR74" s="11"/>
      <c r="BS74" s="12"/>
      <c r="BT74" s="12"/>
      <c r="BU74" s="13"/>
      <c r="BV74" s="11"/>
      <c r="BW74" s="11"/>
      <c r="BX74" s="11"/>
      <c r="BY74" s="12"/>
      <c r="BZ74" s="12"/>
      <c r="CA74" s="13"/>
      <c r="CB74" s="11"/>
      <c r="CC74" s="11"/>
      <c r="CD74" s="11"/>
      <c r="CE74" s="12"/>
      <c r="CF74" s="12"/>
      <c r="CG74" s="13"/>
      <c r="CJ74" s="11"/>
      <c r="CK74" s="12"/>
      <c r="CL74" s="12"/>
      <c r="CM74" s="13"/>
      <c r="CN74" s="11"/>
      <c r="CO74" s="11"/>
      <c r="CP74" s="11"/>
    </row>
    <row r="75" spans="1:94" x14ac:dyDescent="0.25">
      <c r="A75" s="19" t="s">
        <v>70</v>
      </c>
      <c r="B75" s="8">
        <v>4851284.0909090908</v>
      </c>
      <c r="C75" s="8">
        <v>55286</v>
      </c>
      <c r="D75" s="8">
        <v>849</v>
      </c>
      <c r="E75" s="9">
        <v>188565.81272084804</v>
      </c>
      <c r="F75" s="9">
        <v>2148.9257950530036</v>
      </c>
      <c r="G75" s="10">
        <v>1.3590909090909091</v>
      </c>
      <c r="H75" s="8">
        <v>4302027.9041666659</v>
      </c>
      <c r="I75" s="8">
        <v>51527.666666666664</v>
      </c>
      <c r="J75" s="8">
        <v>881</v>
      </c>
      <c r="K75" s="9">
        <v>175792.28666288307</v>
      </c>
      <c r="L75" s="9">
        <v>2105.5573212258796</v>
      </c>
      <c r="M75" s="10">
        <v>1.390768842932721</v>
      </c>
      <c r="N75" s="8">
        <f t="shared" si="14"/>
        <v>4841401.4909090912</v>
      </c>
      <c r="O75" s="8">
        <f t="shared" si="15"/>
        <v>55933.909090909088</v>
      </c>
      <c r="P75" s="8">
        <f t="shared" si="16"/>
        <v>855</v>
      </c>
      <c r="Q75" s="9">
        <f t="shared" si="17"/>
        <v>186861.11017543857</v>
      </c>
      <c r="R75" s="9">
        <f t="shared" si="18"/>
        <v>2158.8526315789472</v>
      </c>
      <c r="S75" s="10">
        <f t="shared" si="19"/>
        <v>1.3678976753034899</v>
      </c>
      <c r="T75" s="11">
        <v>5178951.4000000004</v>
      </c>
      <c r="U75" s="11">
        <v>57539</v>
      </c>
      <c r="V75" s="11">
        <v>79</v>
      </c>
      <c r="W75" s="12">
        <v>196669.0405063291</v>
      </c>
      <c r="X75" s="12">
        <v>2185.0253164556962</v>
      </c>
      <c r="Y75" s="13">
        <v>1.338854276870731</v>
      </c>
      <c r="Z75" s="11">
        <v>4528147.5</v>
      </c>
      <c r="AA75" s="11">
        <v>51944</v>
      </c>
      <c r="AB75" s="11">
        <v>76</v>
      </c>
      <c r="AC75" s="12">
        <v>178742.66447368421</v>
      </c>
      <c r="AD75" s="12">
        <v>2050.4210526315792</v>
      </c>
      <c r="AE75" s="13">
        <v>1.359870427236336</v>
      </c>
      <c r="AF75" s="11">
        <v>4358163</v>
      </c>
      <c r="AG75" s="11">
        <v>52910</v>
      </c>
      <c r="AH75" s="11">
        <v>79</v>
      </c>
      <c r="AI75" s="12">
        <v>165499.86075949369</v>
      </c>
      <c r="AJ75" s="12">
        <v>2009.2405063291139</v>
      </c>
      <c r="AK75" s="13">
        <v>1.4003147409136389</v>
      </c>
      <c r="AL75" s="11">
        <v>5742838.25</v>
      </c>
      <c r="AM75" s="11">
        <v>69970</v>
      </c>
      <c r="AN75" s="11">
        <v>86</v>
      </c>
      <c r="AO75" s="12">
        <v>200331.5668604651</v>
      </c>
      <c r="AP75" s="12">
        <v>2440.8139534883721</v>
      </c>
      <c r="AQ75" s="13">
        <v>1.4029613211428209</v>
      </c>
      <c r="AR75" s="11">
        <v>5497012.4000000004</v>
      </c>
      <c r="AS75" s="11">
        <v>62161</v>
      </c>
      <c r="AT75" s="11">
        <v>88</v>
      </c>
      <c r="AU75" s="12">
        <v>187398.15</v>
      </c>
      <c r="AV75" s="12">
        <v>2119.125</v>
      </c>
      <c r="AW75" s="13">
        <v>1.353351880021884</v>
      </c>
      <c r="AX75" s="11">
        <v>4350031</v>
      </c>
      <c r="AY75" s="11">
        <v>53626</v>
      </c>
      <c r="AZ75" s="11">
        <v>72</v>
      </c>
      <c r="BA75" s="12">
        <v>181251.29166666669</v>
      </c>
      <c r="BB75" s="12">
        <v>2234.416666666667</v>
      </c>
      <c r="BC75" s="13">
        <v>1.413342758976617</v>
      </c>
      <c r="BD75" s="11">
        <v>4362950</v>
      </c>
      <c r="BE75" s="11">
        <v>53481</v>
      </c>
      <c r="BF75" s="11">
        <v>73</v>
      </c>
      <c r="BG75" s="12">
        <v>179299.31506849319</v>
      </c>
      <c r="BH75" s="12">
        <v>2197.8493150684931</v>
      </c>
      <c r="BI75" s="13">
        <v>1.4091011093181509</v>
      </c>
      <c r="BJ75" s="11">
        <v>4689121</v>
      </c>
      <c r="BK75" s="11">
        <v>52780</v>
      </c>
      <c r="BL75" s="11">
        <v>74</v>
      </c>
      <c r="BM75" s="12">
        <v>190099.5</v>
      </c>
      <c r="BN75" s="12">
        <v>2139.72972972973</v>
      </c>
      <c r="BO75" s="13">
        <v>1.3508892872494169</v>
      </c>
      <c r="BP75" s="11">
        <v>4552036.0999999996</v>
      </c>
      <c r="BQ75" s="11">
        <v>48211</v>
      </c>
      <c r="BR75" s="11">
        <v>77</v>
      </c>
      <c r="BS75" s="12">
        <v>177352.05584415581</v>
      </c>
      <c r="BT75" s="12">
        <v>1878.35064935065</v>
      </c>
      <c r="BU75" s="13">
        <v>1.3108831814407329</v>
      </c>
      <c r="BV75" s="11">
        <v>5409288.5</v>
      </c>
      <c r="BW75" s="11">
        <v>59268</v>
      </c>
      <c r="BX75" s="11">
        <v>79</v>
      </c>
      <c r="BY75" s="12">
        <v>205416.01898734181</v>
      </c>
      <c r="BZ75" s="12">
        <v>2250.683544303798</v>
      </c>
      <c r="CA75" s="13">
        <v>1.333391870399417</v>
      </c>
      <c r="CB75" s="11">
        <v>4586877.25</v>
      </c>
      <c r="CC75" s="11">
        <v>53383</v>
      </c>
      <c r="CD75" s="11">
        <v>72</v>
      </c>
      <c r="CE75" s="12">
        <v>191119.88541666669</v>
      </c>
      <c r="CF75" s="12">
        <v>2224.291666666667</v>
      </c>
      <c r="CG75" s="13">
        <v>1.373913574768644</v>
      </c>
      <c r="CJ75" s="11"/>
      <c r="CK75" s="12"/>
      <c r="CL75" s="12"/>
      <c r="CM75" s="13"/>
      <c r="CN75" s="11"/>
      <c r="CO75" s="11"/>
      <c r="CP75" s="11"/>
    </row>
    <row r="76" spans="1:94" x14ac:dyDescent="0.25">
      <c r="A76" s="19" t="s">
        <v>71</v>
      </c>
      <c r="B76" s="8">
        <v>2846428.1428571427</v>
      </c>
      <c r="C76" s="8">
        <v>9291.5714285714294</v>
      </c>
      <c r="D76" s="8">
        <v>519</v>
      </c>
      <c r="E76" s="9">
        <v>115173.39306358382</v>
      </c>
      <c r="F76" s="9">
        <v>375.95953757225436</v>
      </c>
      <c r="G76" s="10">
        <v>0.70714285714285718</v>
      </c>
      <c r="H76" s="8" t="s">
        <v>27</v>
      </c>
      <c r="I76" s="8" t="s">
        <v>27</v>
      </c>
      <c r="J76" s="8">
        <v>0</v>
      </c>
      <c r="K76" s="9" t="s">
        <v>27</v>
      </c>
      <c r="L76" s="9" t="s">
        <v>27</v>
      </c>
      <c r="M76" s="10"/>
      <c r="N76" s="8">
        <f t="shared" si="14"/>
        <v>572488.07999999996</v>
      </c>
      <c r="O76" s="8">
        <f t="shared" si="15"/>
        <v>2715.3333333333335</v>
      </c>
      <c r="P76" s="8">
        <f t="shared" si="16"/>
        <v>11</v>
      </c>
      <c r="Q76" s="9">
        <f t="shared" si="17"/>
        <v>468399.3381818182</v>
      </c>
      <c r="R76" s="9">
        <f t="shared" si="18"/>
        <v>2221.6363636363635</v>
      </c>
      <c r="S76" s="10">
        <f t="shared" si="19"/>
        <v>1.1579545040312955</v>
      </c>
      <c r="T76" s="11">
        <v>1312152</v>
      </c>
      <c r="U76" s="11">
        <v>5807</v>
      </c>
      <c r="V76" s="11">
        <v>7</v>
      </c>
      <c r="W76" s="12">
        <v>562350.85714285716</v>
      </c>
      <c r="X76" s="12">
        <v>2488.7142857142858</v>
      </c>
      <c r="Y76" s="13">
        <v>0.84036251093107395</v>
      </c>
      <c r="Z76" s="11">
        <v>4400</v>
      </c>
      <c r="AA76" s="11">
        <v>77</v>
      </c>
      <c r="AB76" s="11">
        <v>1</v>
      </c>
      <c r="AC76" s="12">
        <v>13200</v>
      </c>
      <c r="AD76" s="12">
        <v>231</v>
      </c>
      <c r="AE76" s="13">
        <v>1.68</v>
      </c>
      <c r="AF76" s="11">
        <v>400912.24</v>
      </c>
      <c r="AG76" s="11">
        <v>2262</v>
      </c>
      <c r="AH76" s="11">
        <v>3</v>
      </c>
      <c r="AI76" s="12">
        <v>400912.24</v>
      </c>
      <c r="AJ76" s="12">
        <v>2262</v>
      </c>
      <c r="AK76" s="13">
        <v>0.95350100116281278</v>
      </c>
      <c r="AL76" s="11"/>
      <c r="AM76" s="11"/>
      <c r="AN76" s="11"/>
      <c r="AO76" s="12"/>
      <c r="AP76" s="12"/>
      <c r="AQ76" s="13"/>
      <c r="AR76" s="11"/>
      <c r="AS76" s="11"/>
      <c r="AT76" s="11"/>
      <c r="AU76" s="12"/>
      <c r="AV76" s="12"/>
      <c r="AW76" s="13"/>
      <c r="AX76" s="11"/>
      <c r="AY76" s="11"/>
      <c r="AZ76" s="11"/>
      <c r="BA76" s="12"/>
      <c r="BB76" s="12"/>
      <c r="BC76" s="13"/>
      <c r="BD76" s="11"/>
      <c r="BE76" s="11"/>
      <c r="BF76" s="11"/>
      <c r="BG76" s="12"/>
      <c r="BH76" s="12"/>
      <c r="BI76" s="13"/>
      <c r="BJ76" s="11"/>
      <c r="BK76" s="11"/>
      <c r="BL76" s="11"/>
      <c r="BM76" s="12"/>
      <c r="BN76" s="12"/>
      <c r="BO76" s="13"/>
      <c r="BP76" s="11"/>
      <c r="BQ76" s="11"/>
      <c r="BR76" s="11"/>
      <c r="BS76" s="12"/>
      <c r="BT76" s="12"/>
      <c r="BU76" s="13"/>
      <c r="BV76" s="11"/>
      <c r="BW76" s="11"/>
      <c r="BX76" s="11"/>
      <c r="BY76" s="12"/>
      <c r="BZ76" s="12"/>
      <c r="CA76" s="13"/>
      <c r="CB76" s="11"/>
      <c r="CC76" s="11"/>
      <c r="CD76" s="11"/>
      <c r="CE76" s="12"/>
      <c r="CF76" s="12"/>
      <c r="CG76" s="13"/>
      <c r="CJ76" s="11"/>
      <c r="CK76" s="12"/>
      <c r="CL76" s="12"/>
      <c r="CM76" s="13"/>
      <c r="CN76" s="11"/>
      <c r="CO76" s="11"/>
      <c r="CP76" s="11"/>
    </row>
    <row r="77" spans="1:94" x14ac:dyDescent="0.25">
      <c r="A77" s="19" t="s">
        <v>72</v>
      </c>
      <c r="B77" s="8">
        <v>4685641.1428571427</v>
      </c>
      <c r="C77" s="8">
        <v>12520.142857142857</v>
      </c>
      <c r="D77" s="8">
        <v>446</v>
      </c>
      <c r="E77" s="9">
        <v>220624.35874439462</v>
      </c>
      <c r="F77" s="9">
        <v>589.51345291479822</v>
      </c>
      <c r="G77" s="10">
        <v>0.65142857142857147</v>
      </c>
      <c r="H77" s="8">
        <v>1096976</v>
      </c>
      <c r="I77" s="8">
        <v>2957</v>
      </c>
      <c r="J77" s="8">
        <v>29</v>
      </c>
      <c r="K77" s="9">
        <v>113480.27586206896</v>
      </c>
      <c r="L77" s="9">
        <v>305.89655172413796</v>
      </c>
      <c r="M77" s="10">
        <v>0.65811030779728485</v>
      </c>
      <c r="N77" s="8" t="str">
        <f t="shared" si="14"/>
        <v xml:space="preserve"> </v>
      </c>
      <c r="O77" s="8" t="str">
        <f t="shared" si="15"/>
        <v xml:space="preserve"> </v>
      </c>
      <c r="P77" s="8">
        <f t="shared" si="16"/>
        <v>0</v>
      </c>
      <c r="Q77" s="9" t="str">
        <f t="shared" si="17"/>
        <v xml:space="preserve"> </v>
      </c>
      <c r="R77" s="9" t="str">
        <f t="shared" si="18"/>
        <v xml:space="preserve"> </v>
      </c>
      <c r="S77" s="10" t="str">
        <f t="shared" si="19"/>
        <v xml:space="preserve"> </v>
      </c>
      <c r="T77" s="11"/>
      <c r="U77" s="11"/>
      <c r="V77" s="11"/>
      <c r="W77" s="12"/>
      <c r="X77" s="12"/>
      <c r="Y77" s="13"/>
      <c r="Z77" s="11"/>
      <c r="AA77" s="11"/>
      <c r="AB77" s="11"/>
      <c r="AC77" s="12"/>
      <c r="AD77" s="12"/>
      <c r="AE77" s="13"/>
      <c r="AF77" s="11"/>
      <c r="AG77" s="11"/>
      <c r="AH77" s="11"/>
      <c r="AI77" s="12"/>
      <c r="AJ77" s="12"/>
      <c r="AK77" s="13"/>
      <c r="AL77" s="11"/>
      <c r="AM77" s="11"/>
      <c r="AN77" s="11"/>
      <c r="AO77" s="12"/>
      <c r="AP77" s="12"/>
      <c r="AQ77" s="13"/>
      <c r="AR77" s="11"/>
      <c r="AS77" s="11"/>
      <c r="AT77" s="11"/>
      <c r="AU77" s="12"/>
      <c r="AV77" s="12"/>
      <c r="AW77" s="13"/>
      <c r="AX77" s="11"/>
      <c r="AY77" s="11"/>
      <c r="AZ77" s="11"/>
      <c r="BA77" s="12"/>
      <c r="BB77" s="12"/>
      <c r="BC77" s="13"/>
      <c r="BD77" s="11"/>
      <c r="BE77" s="11"/>
      <c r="BF77" s="11"/>
      <c r="BG77" s="12"/>
      <c r="BH77" s="12"/>
      <c r="BI77" s="13"/>
      <c r="BJ77" s="11"/>
      <c r="BK77" s="11"/>
      <c r="BL77" s="11"/>
      <c r="BM77" s="12"/>
      <c r="BN77" s="12"/>
      <c r="BO77" s="13"/>
      <c r="BP77" s="11"/>
      <c r="BQ77" s="11"/>
      <c r="BR77" s="11"/>
      <c r="BS77" s="12"/>
      <c r="BT77" s="12"/>
      <c r="BU77" s="13"/>
      <c r="BV77" s="11"/>
      <c r="BW77" s="11"/>
      <c r="BX77" s="11"/>
      <c r="BY77" s="12"/>
      <c r="BZ77" s="12"/>
      <c r="CA77" s="13"/>
      <c r="CB77" s="11"/>
      <c r="CC77" s="11"/>
      <c r="CD77" s="11"/>
      <c r="CE77" s="12"/>
      <c r="CF77" s="12"/>
      <c r="CG77" s="13"/>
      <c r="CJ77" s="11"/>
      <c r="CK77" s="12"/>
      <c r="CL77" s="12"/>
      <c r="CM77" s="13"/>
      <c r="CN77" s="11"/>
      <c r="CO77" s="11"/>
      <c r="CP77" s="11"/>
    </row>
    <row r="78" spans="1:94" x14ac:dyDescent="0.25">
      <c r="A78" s="19" t="s">
        <v>73</v>
      </c>
      <c r="B78" s="8">
        <v>4302263.375</v>
      </c>
      <c r="C78" s="8">
        <v>11492.625</v>
      </c>
      <c r="D78" s="8">
        <v>469</v>
      </c>
      <c r="E78" s="9">
        <v>220158.46695095947</v>
      </c>
      <c r="F78" s="9">
        <v>588.1087420042644</v>
      </c>
      <c r="G78" s="10">
        <v>0.65750000000000008</v>
      </c>
      <c r="H78" s="8">
        <v>1704878</v>
      </c>
      <c r="I78" s="8">
        <v>4799</v>
      </c>
      <c r="J78" s="8">
        <v>37</v>
      </c>
      <c r="K78" s="9">
        <v>138233.35135135136</v>
      </c>
      <c r="L78" s="9">
        <v>389.10810810810813</v>
      </c>
      <c r="M78" s="10">
        <v>0.6738975088576703</v>
      </c>
      <c r="N78" s="8">
        <f t="shared" si="14"/>
        <v>92863.666666666672</v>
      </c>
      <c r="O78" s="8">
        <f t="shared" si="15"/>
        <v>651.5</v>
      </c>
      <c r="P78" s="8">
        <f t="shared" si="16"/>
        <v>25</v>
      </c>
      <c r="Q78" s="9">
        <f t="shared" si="17"/>
        <v>66861.84</v>
      </c>
      <c r="R78" s="9">
        <f t="shared" si="18"/>
        <v>469.08000000000004</v>
      </c>
      <c r="S78" s="10">
        <f t="shared" si="19"/>
        <v>1.1047942337150796</v>
      </c>
      <c r="T78" s="11">
        <v>45792</v>
      </c>
      <c r="U78" s="11">
        <v>60</v>
      </c>
      <c r="V78" s="11">
        <v>2</v>
      </c>
      <c r="W78" s="12">
        <v>68688</v>
      </c>
      <c r="X78" s="12">
        <v>90</v>
      </c>
      <c r="Y78" s="13">
        <v>0.45889274037601779</v>
      </c>
      <c r="Z78" s="11">
        <v>96432</v>
      </c>
      <c r="AA78" s="11">
        <v>689</v>
      </c>
      <c r="AB78" s="11">
        <v>5</v>
      </c>
      <c r="AC78" s="12">
        <v>57859.199999999997</v>
      </c>
      <c r="AD78" s="12">
        <v>413.4</v>
      </c>
      <c r="AE78" s="13">
        <v>1.071945381551086</v>
      </c>
      <c r="AF78" s="11">
        <v>151858</v>
      </c>
      <c r="AG78" s="11">
        <v>1020</v>
      </c>
      <c r="AH78" s="11">
        <v>8</v>
      </c>
      <c r="AI78" s="12">
        <v>56946.75</v>
      </c>
      <c r="AJ78" s="12">
        <v>382.5</v>
      </c>
      <c r="AK78" s="13">
        <v>1.0398062315500309</v>
      </c>
      <c r="AL78" s="11">
        <v>175302</v>
      </c>
      <c r="AM78" s="11">
        <v>1640</v>
      </c>
      <c r="AN78" s="11">
        <v>8</v>
      </c>
      <c r="AO78" s="12">
        <v>65738.25</v>
      </c>
      <c r="AP78" s="12">
        <v>615</v>
      </c>
      <c r="AQ78" s="13">
        <v>1.2281210488133429</v>
      </c>
      <c r="AR78" s="11">
        <v>80850</v>
      </c>
      <c r="AS78" s="11">
        <v>322</v>
      </c>
      <c r="AT78" s="11">
        <v>1</v>
      </c>
      <c r="AU78" s="12">
        <v>242550</v>
      </c>
      <c r="AV78" s="12">
        <v>966</v>
      </c>
      <c r="AW78" s="13">
        <v>0.80000000000000016</v>
      </c>
      <c r="AX78" s="11"/>
      <c r="AY78" s="11"/>
      <c r="AZ78" s="11"/>
      <c r="BA78" s="12"/>
      <c r="BB78" s="12"/>
      <c r="BC78" s="13"/>
      <c r="BD78" s="11"/>
      <c r="BE78" s="11"/>
      <c r="BF78" s="11"/>
      <c r="BG78" s="12"/>
      <c r="BH78" s="12"/>
      <c r="BI78" s="13"/>
      <c r="BJ78" s="11">
        <v>6948</v>
      </c>
      <c r="BK78" s="11">
        <v>178</v>
      </c>
      <c r="BL78" s="11">
        <v>1</v>
      </c>
      <c r="BM78" s="12">
        <v>20844</v>
      </c>
      <c r="BN78" s="12">
        <v>534</v>
      </c>
      <c r="BO78" s="13">
        <v>2.0299999999999998</v>
      </c>
      <c r="BP78" s="11"/>
      <c r="BQ78" s="11"/>
      <c r="BR78" s="11"/>
      <c r="BS78" s="12"/>
      <c r="BT78" s="12"/>
      <c r="BU78" s="13"/>
      <c r="BV78" s="11"/>
      <c r="BW78" s="11"/>
      <c r="BX78" s="11"/>
      <c r="BY78" s="12"/>
      <c r="BZ78" s="12"/>
      <c r="CA78" s="13"/>
      <c r="CB78" s="11"/>
      <c r="CC78" s="11"/>
      <c r="CD78" s="11"/>
      <c r="CE78" s="12"/>
      <c r="CF78" s="12"/>
      <c r="CG78" s="13"/>
      <c r="CJ78" s="11"/>
      <c r="CK78" s="12"/>
      <c r="CL78" s="12"/>
      <c r="CM78" s="13"/>
      <c r="CN78" s="11"/>
      <c r="CO78" s="11"/>
      <c r="CP78" s="11"/>
    </row>
    <row r="79" spans="1:94" x14ac:dyDescent="0.25">
      <c r="A79" s="19" t="s">
        <v>74</v>
      </c>
      <c r="B79" s="8">
        <v>2873969.1818181816</v>
      </c>
      <c r="C79" s="8">
        <v>8647.9090909090901</v>
      </c>
      <c r="D79" s="8">
        <v>734</v>
      </c>
      <c r="E79" s="9">
        <v>129211.14850136239</v>
      </c>
      <c r="F79" s="9">
        <v>388.80245231607631</v>
      </c>
      <c r="G79" s="10">
        <v>0.69000000000000006</v>
      </c>
      <c r="H79" s="8">
        <v>2767314.25</v>
      </c>
      <c r="I79" s="8">
        <v>8861.6666666666661</v>
      </c>
      <c r="J79" s="8">
        <v>690</v>
      </c>
      <c r="K79" s="9">
        <v>144381.61304347828</v>
      </c>
      <c r="L79" s="9">
        <v>462.3478260869565</v>
      </c>
      <c r="M79" s="10">
        <v>0.71587595564444528</v>
      </c>
      <c r="N79" s="8">
        <f t="shared" si="14"/>
        <v>2645083.7999999998</v>
      </c>
      <c r="O79" s="8">
        <f t="shared" si="15"/>
        <v>8333.5</v>
      </c>
      <c r="P79" s="8">
        <f t="shared" si="16"/>
        <v>463</v>
      </c>
      <c r="Q79" s="9">
        <f t="shared" si="17"/>
        <v>171387.71922246221</v>
      </c>
      <c r="R79" s="9">
        <f t="shared" si="18"/>
        <v>539.96760259179268</v>
      </c>
      <c r="S79" s="10">
        <f t="shared" si="19"/>
        <v>0.68938085469084565</v>
      </c>
      <c r="T79" s="11">
        <v>3731864</v>
      </c>
      <c r="U79" s="11">
        <v>13803</v>
      </c>
      <c r="V79" s="11">
        <v>70</v>
      </c>
      <c r="W79" s="12">
        <v>159937.02857142859</v>
      </c>
      <c r="X79" s="12">
        <v>591.55714285714282</v>
      </c>
      <c r="Y79" s="13">
        <v>0.77021940178836479</v>
      </c>
      <c r="Z79" s="11">
        <v>5400661</v>
      </c>
      <c r="AA79" s="11">
        <v>18620</v>
      </c>
      <c r="AB79" s="11">
        <v>56</v>
      </c>
      <c r="AC79" s="12">
        <v>289321.125</v>
      </c>
      <c r="AD79" s="12">
        <v>997.5</v>
      </c>
      <c r="AE79" s="13">
        <v>0.74365625942940961</v>
      </c>
      <c r="AF79" s="11">
        <v>4228137</v>
      </c>
      <c r="AG79" s="11">
        <v>13510</v>
      </c>
      <c r="AH79" s="11">
        <v>65</v>
      </c>
      <c r="AI79" s="12">
        <v>195144.78461538459</v>
      </c>
      <c r="AJ79" s="12">
        <v>623.53846153846155</v>
      </c>
      <c r="AK79" s="13">
        <v>0.71693102525670893</v>
      </c>
      <c r="AL79" s="11">
        <v>3214338</v>
      </c>
      <c r="AM79" s="11">
        <v>9814</v>
      </c>
      <c r="AN79" s="11">
        <v>62</v>
      </c>
      <c r="AO79" s="12">
        <v>155532.48387096779</v>
      </c>
      <c r="AP79" s="12">
        <v>474.87096774193549</v>
      </c>
      <c r="AQ79" s="13">
        <v>0.69956981151945863</v>
      </c>
      <c r="AR79" s="11">
        <v>3026247</v>
      </c>
      <c r="AS79" s="11">
        <v>7664</v>
      </c>
      <c r="AT79" s="11">
        <v>67</v>
      </c>
      <c r="AU79" s="12">
        <v>135503.59701492541</v>
      </c>
      <c r="AV79" s="12">
        <v>343.16417910447763</v>
      </c>
      <c r="AW79" s="13">
        <v>0.64045778437572165</v>
      </c>
      <c r="AX79" s="11">
        <v>2542225</v>
      </c>
      <c r="AY79" s="11">
        <v>7881</v>
      </c>
      <c r="AZ79" s="11">
        <v>54</v>
      </c>
      <c r="BA79" s="12">
        <v>141234.72222222219</v>
      </c>
      <c r="BB79" s="12">
        <v>437.83333333333343</v>
      </c>
      <c r="BC79" s="13">
        <v>0.70640175074035993</v>
      </c>
      <c r="BD79" s="11">
        <v>62808</v>
      </c>
      <c r="BE79" s="11">
        <v>142</v>
      </c>
      <c r="BF79" s="11">
        <v>7</v>
      </c>
      <c r="BG79" s="12">
        <v>26917.71428571429</v>
      </c>
      <c r="BH79" s="12">
        <v>60.857142857142847</v>
      </c>
      <c r="BI79" s="13">
        <v>0.61356359516677061</v>
      </c>
      <c r="BJ79" s="11">
        <v>2288879</v>
      </c>
      <c r="BK79" s="11">
        <v>6421</v>
      </c>
      <c r="BL79" s="11">
        <v>42</v>
      </c>
      <c r="BM79" s="12">
        <v>163491.3571428571</v>
      </c>
      <c r="BN79" s="12">
        <v>458.64285714285711</v>
      </c>
      <c r="BO79" s="13">
        <v>0.67460072394771775</v>
      </c>
      <c r="BP79" s="11">
        <v>1685271</v>
      </c>
      <c r="BQ79" s="11">
        <v>4772</v>
      </c>
      <c r="BR79" s="11">
        <v>33</v>
      </c>
      <c r="BS79" s="12">
        <v>153206.45454545459</v>
      </c>
      <c r="BT79" s="12">
        <v>433.81818181818181</v>
      </c>
      <c r="BU79" s="13">
        <v>0.67622741375530349</v>
      </c>
      <c r="BV79" s="11">
        <v>270408</v>
      </c>
      <c r="BW79" s="11">
        <v>708</v>
      </c>
      <c r="BX79" s="11">
        <v>7</v>
      </c>
      <c r="BY79" s="12">
        <v>115889.1428571428</v>
      </c>
      <c r="BZ79" s="12">
        <v>303.42857142857139</v>
      </c>
      <c r="CA79" s="13">
        <v>0.65218078092864096</v>
      </c>
      <c r="CB79" s="11"/>
      <c r="CC79" s="11"/>
      <c r="CD79" s="11"/>
      <c r="CE79" s="12"/>
      <c r="CF79" s="12"/>
      <c r="CG79" s="13"/>
      <c r="CJ79" s="11"/>
      <c r="CK79" s="12"/>
      <c r="CL79" s="12"/>
      <c r="CM79" s="13"/>
      <c r="CN79" s="11"/>
      <c r="CO79" s="11"/>
      <c r="CP79" s="11"/>
    </row>
    <row r="80" spans="1:94" x14ac:dyDescent="0.25">
      <c r="A80" s="19" t="s">
        <v>75</v>
      </c>
      <c r="B80" s="8">
        <v>3429744.5454545454</v>
      </c>
      <c r="C80" s="8">
        <v>4948.272727272727</v>
      </c>
      <c r="D80" s="8">
        <v>760</v>
      </c>
      <c r="E80" s="9">
        <v>148923.11842105264</v>
      </c>
      <c r="F80" s="9">
        <v>214.85921052631579</v>
      </c>
      <c r="G80" s="10">
        <v>0.48181818181818187</v>
      </c>
      <c r="H80" s="8">
        <v>2866158.5400000005</v>
      </c>
      <c r="I80" s="8">
        <v>5175.583333333333</v>
      </c>
      <c r="J80" s="8">
        <v>640</v>
      </c>
      <c r="K80" s="9">
        <v>161221.41787500004</v>
      </c>
      <c r="L80" s="9">
        <v>291.12656249999998</v>
      </c>
      <c r="M80" s="10">
        <v>0.5359869025618802</v>
      </c>
      <c r="N80" s="8">
        <f t="shared" si="14"/>
        <v>2816959</v>
      </c>
      <c r="O80" s="8">
        <f t="shared" si="15"/>
        <v>6841.7</v>
      </c>
      <c r="P80" s="8">
        <f t="shared" si="16"/>
        <v>528</v>
      </c>
      <c r="Q80" s="9">
        <f t="shared" si="17"/>
        <v>160054.48863636365</v>
      </c>
      <c r="R80" s="9">
        <f t="shared" si="18"/>
        <v>388.7329545454545</v>
      </c>
      <c r="S80" s="10">
        <f t="shared" si="19"/>
        <v>0.62147879307006204</v>
      </c>
      <c r="T80" s="11">
        <v>3252636</v>
      </c>
      <c r="U80" s="11">
        <v>8764</v>
      </c>
      <c r="V80" s="11">
        <v>73</v>
      </c>
      <c r="W80" s="12">
        <v>133669.9726027397</v>
      </c>
      <c r="X80" s="12">
        <v>360.16438356164377</v>
      </c>
      <c r="Y80" s="13">
        <v>0.65307549220127981</v>
      </c>
      <c r="Z80" s="11">
        <v>2802434</v>
      </c>
      <c r="AA80" s="11">
        <v>5687</v>
      </c>
      <c r="AB80" s="11">
        <v>53</v>
      </c>
      <c r="AC80" s="12">
        <v>158628.33962264151</v>
      </c>
      <c r="AD80" s="12">
        <v>321.90566037735852</v>
      </c>
      <c r="AE80" s="13">
        <v>0.56806866917044274</v>
      </c>
      <c r="AF80" s="11">
        <v>3957238</v>
      </c>
      <c r="AG80" s="11">
        <v>7423</v>
      </c>
      <c r="AH80" s="11">
        <v>66</v>
      </c>
      <c r="AI80" s="12">
        <v>179874.4545454545</v>
      </c>
      <c r="AJ80" s="12">
        <v>337.40909090909088</v>
      </c>
      <c r="AK80" s="13">
        <v>0.54585568475627544</v>
      </c>
      <c r="AL80" s="11">
        <v>3952175</v>
      </c>
      <c r="AM80" s="11">
        <v>10531</v>
      </c>
      <c r="AN80" s="11">
        <v>72</v>
      </c>
      <c r="AO80" s="12">
        <v>164673.95833333331</v>
      </c>
      <c r="AP80" s="12">
        <v>438.79166666666657</v>
      </c>
      <c r="AQ80" s="13">
        <v>0.65181227691732069</v>
      </c>
      <c r="AR80" s="11">
        <v>3231442</v>
      </c>
      <c r="AS80" s="11">
        <v>8351</v>
      </c>
      <c r="AT80" s="11">
        <v>59</v>
      </c>
      <c r="AU80" s="12">
        <v>164310.6101694915</v>
      </c>
      <c r="AV80" s="12">
        <v>424.62711864406782</v>
      </c>
      <c r="AW80" s="13">
        <v>0.64542606810424241</v>
      </c>
      <c r="AX80" s="11">
        <v>1422265</v>
      </c>
      <c r="AY80" s="11">
        <v>3209</v>
      </c>
      <c r="AZ80" s="11">
        <v>40</v>
      </c>
      <c r="BA80" s="12">
        <v>106669.875</v>
      </c>
      <c r="BB80" s="12">
        <v>240.67500000000001</v>
      </c>
      <c r="BC80" s="13">
        <v>0.60390616359495153</v>
      </c>
      <c r="BD80" s="11">
        <v>338992</v>
      </c>
      <c r="BE80" s="11">
        <v>920</v>
      </c>
      <c r="BF80" s="11">
        <v>10</v>
      </c>
      <c r="BG80" s="12">
        <v>101697.60000000001</v>
      </c>
      <c r="BH80" s="12">
        <v>276</v>
      </c>
      <c r="BI80" s="13">
        <v>0.66080674865594446</v>
      </c>
      <c r="BJ80" s="11">
        <v>3064974</v>
      </c>
      <c r="BK80" s="11">
        <v>8303</v>
      </c>
      <c r="BL80" s="11">
        <v>58</v>
      </c>
      <c r="BM80" s="12">
        <v>158533.13793103449</v>
      </c>
      <c r="BN80" s="12">
        <v>429.4655172413793</v>
      </c>
      <c r="BO80" s="13">
        <v>0.6602218685894331</v>
      </c>
      <c r="BP80" s="11">
        <v>4438624</v>
      </c>
      <c r="BQ80" s="11">
        <v>11735</v>
      </c>
      <c r="BR80" s="11">
        <v>63</v>
      </c>
      <c r="BS80" s="12">
        <v>211363.0476190476</v>
      </c>
      <c r="BT80" s="12">
        <v>558.80952380952385</v>
      </c>
      <c r="BU80" s="13">
        <v>0.6510583640585309</v>
      </c>
      <c r="BV80" s="11">
        <v>1708810</v>
      </c>
      <c r="BW80" s="11">
        <v>3494</v>
      </c>
      <c r="BX80" s="11">
        <v>34</v>
      </c>
      <c r="BY80" s="12">
        <v>150777.3529411765</v>
      </c>
      <c r="BZ80" s="12">
        <v>308.29411764705878</v>
      </c>
      <c r="CA80" s="13">
        <v>0.57455659465219844</v>
      </c>
      <c r="CB80" s="11"/>
      <c r="CC80" s="11"/>
      <c r="CD80" s="11"/>
      <c r="CE80" s="12"/>
      <c r="CF80" s="12"/>
      <c r="CG80" s="13"/>
      <c r="CJ80" s="11"/>
      <c r="CK80" s="12"/>
      <c r="CL80" s="12"/>
      <c r="CM80" s="13"/>
      <c r="CN80" s="11"/>
      <c r="CO80" s="11"/>
      <c r="CP80" s="11"/>
    </row>
    <row r="81" spans="1:94" x14ac:dyDescent="0.25">
      <c r="A81" s="19" t="s">
        <v>76</v>
      </c>
      <c r="B81" s="8">
        <v>3326160.2727272729</v>
      </c>
      <c r="C81" s="8">
        <v>4784.818181818182</v>
      </c>
      <c r="D81" s="8">
        <v>763</v>
      </c>
      <c r="E81" s="9">
        <v>143857.52162516382</v>
      </c>
      <c r="F81" s="9">
        <v>206.94495412844037</v>
      </c>
      <c r="G81" s="10">
        <v>0.48545454545454542</v>
      </c>
      <c r="H81" s="8">
        <v>2870554.1983333337</v>
      </c>
      <c r="I81" s="8">
        <v>5861.75</v>
      </c>
      <c r="J81" s="8">
        <v>634</v>
      </c>
      <c r="K81" s="9">
        <v>162996.76835962146</v>
      </c>
      <c r="L81" s="9">
        <v>332.84384858044166</v>
      </c>
      <c r="M81" s="10">
        <v>0.57109868855229762</v>
      </c>
      <c r="N81" s="8">
        <f t="shared" si="14"/>
        <v>3496893.8578000003</v>
      </c>
      <c r="O81" s="8">
        <f t="shared" si="15"/>
        <v>7151.5</v>
      </c>
      <c r="P81" s="8">
        <f t="shared" si="16"/>
        <v>587</v>
      </c>
      <c r="Q81" s="9">
        <f t="shared" si="17"/>
        <v>178716.89222146507</v>
      </c>
      <c r="R81" s="9">
        <f t="shared" si="18"/>
        <v>365.49403747870531</v>
      </c>
      <c r="S81" s="10">
        <f t="shared" si="19"/>
        <v>0.57028148106289034</v>
      </c>
      <c r="T81" s="11">
        <v>3518677</v>
      </c>
      <c r="U81" s="11">
        <v>8853</v>
      </c>
      <c r="V81" s="11">
        <v>69</v>
      </c>
      <c r="W81" s="12">
        <v>152985.95652173911</v>
      </c>
      <c r="X81" s="12">
        <v>384.91304347826087</v>
      </c>
      <c r="Y81" s="13">
        <v>0.6346594937100849</v>
      </c>
      <c r="Z81" s="11">
        <v>3033390.04</v>
      </c>
      <c r="AA81" s="11">
        <v>7889</v>
      </c>
      <c r="AB81" s="11">
        <v>47</v>
      </c>
      <c r="AC81" s="12">
        <v>193620.6408510638</v>
      </c>
      <c r="AD81" s="12">
        <v>503.55319148936172</v>
      </c>
      <c r="AE81" s="13">
        <v>0.64594401959549308</v>
      </c>
      <c r="AF81" s="11">
        <v>3280077</v>
      </c>
      <c r="AG81" s="11">
        <v>4687</v>
      </c>
      <c r="AH81" s="11">
        <v>55</v>
      </c>
      <c r="AI81" s="12">
        <v>178913.29090909089</v>
      </c>
      <c r="AJ81" s="12">
        <v>255.65454545454551</v>
      </c>
      <c r="AK81" s="13">
        <v>0.47629711298291921</v>
      </c>
      <c r="AL81" s="11">
        <v>3440392</v>
      </c>
      <c r="AM81" s="11">
        <v>5912</v>
      </c>
      <c r="AN81" s="11">
        <v>70</v>
      </c>
      <c r="AO81" s="12">
        <v>147445.37142857141</v>
      </c>
      <c r="AP81" s="12">
        <v>253.37142857142859</v>
      </c>
      <c r="AQ81" s="13">
        <v>0.52512329766023447</v>
      </c>
      <c r="AR81" s="11">
        <v>3831982</v>
      </c>
      <c r="AS81" s="11">
        <v>9381</v>
      </c>
      <c r="AT81" s="11">
        <v>69</v>
      </c>
      <c r="AU81" s="12">
        <v>166607.9130434783</v>
      </c>
      <c r="AV81" s="12">
        <v>407.86956521739131</v>
      </c>
      <c r="AW81" s="13">
        <v>0.62836506149967797</v>
      </c>
      <c r="AX81" s="11">
        <v>2825215.0920000002</v>
      </c>
      <c r="AY81" s="11">
        <v>6342</v>
      </c>
      <c r="AZ81" s="11">
        <v>51</v>
      </c>
      <c r="BA81" s="12">
        <v>166189.12305882349</v>
      </c>
      <c r="BB81" s="12">
        <v>373.05882352941182</v>
      </c>
      <c r="BC81" s="13">
        <v>0.6008499982160721</v>
      </c>
      <c r="BD81" s="11">
        <v>3294332.0079999999</v>
      </c>
      <c r="BE81" s="11">
        <v>8215</v>
      </c>
      <c r="BF81" s="11">
        <v>62</v>
      </c>
      <c r="BG81" s="12">
        <v>159403.16167741941</v>
      </c>
      <c r="BH81" s="12">
        <v>397.5</v>
      </c>
      <c r="BI81" s="13">
        <v>0.63418780739295266</v>
      </c>
      <c r="BJ81" s="11">
        <v>5199038</v>
      </c>
      <c r="BK81" s="11">
        <v>6050</v>
      </c>
      <c r="BL81" s="11">
        <v>62</v>
      </c>
      <c r="BM81" s="12">
        <v>251566.3548387097</v>
      </c>
      <c r="BN81" s="12">
        <v>292.74193548387098</v>
      </c>
      <c r="BO81" s="13">
        <v>0.43331105678564469</v>
      </c>
      <c r="BP81" s="11">
        <v>4647957.4380000001</v>
      </c>
      <c r="BQ81" s="11">
        <v>11253</v>
      </c>
      <c r="BR81" s="11">
        <v>72</v>
      </c>
      <c r="BS81" s="12">
        <v>193664.89324999999</v>
      </c>
      <c r="BT81" s="12">
        <v>468.875</v>
      </c>
      <c r="BU81" s="13">
        <v>0.62459075165947719</v>
      </c>
      <c r="BV81" s="11">
        <v>1897878</v>
      </c>
      <c r="BW81" s="11">
        <v>2933</v>
      </c>
      <c r="BX81" s="11">
        <v>30</v>
      </c>
      <c r="BY81" s="12">
        <v>189787.8</v>
      </c>
      <c r="BZ81" s="12">
        <v>293.3</v>
      </c>
      <c r="CA81" s="13">
        <v>0.49948621112634778</v>
      </c>
      <c r="CB81" s="11"/>
      <c r="CC81" s="11"/>
      <c r="CD81" s="11"/>
      <c r="CE81" s="12"/>
      <c r="CF81" s="12"/>
      <c r="CG81" s="13"/>
      <c r="CJ81" s="11"/>
      <c r="CK81" s="12"/>
      <c r="CL81" s="12"/>
      <c r="CM81" s="13"/>
      <c r="CN81" s="11"/>
      <c r="CO81" s="11"/>
      <c r="CP81" s="11"/>
    </row>
    <row r="82" spans="1:94" x14ac:dyDescent="0.25">
      <c r="A82" s="19" t="s">
        <v>77</v>
      </c>
      <c r="B82" s="8">
        <v>1780068.2727272727</v>
      </c>
      <c r="C82" s="8">
        <v>2151.818181818182</v>
      </c>
      <c r="D82" s="8">
        <v>727</v>
      </c>
      <c r="E82" s="9">
        <v>80800.898211829437</v>
      </c>
      <c r="F82" s="9">
        <v>97.675378266850061</v>
      </c>
      <c r="G82" s="10">
        <v>0.42727272727272736</v>
      </c>
      <c r="H82" s="8">
        <v>1671425.582727273</v>
      </c>
      <c r="I82" s="8">
        <v>2756.4545454545455</v>
      </c>
      <c r="J82" s="8">
        <v>401</v>
      </c>
      <c r="K82" s="9">
        <v>137548.7387281796</v>
      </c>
      <c r="L82" s="9">
        <v>226.84039900249377</v>
      </c>
      <c r="M82" s="10">
        <v>0.51128201927532113</v>
      </c>
      <c r="N82" s="8">
        <f t="shared" si="14"/>
        <v>7648129.6363636367</v>
      </c>
      <c r="O82" s="8">
        <f t="shared" si="15"/>
        <v>13533.09090909091</v>
      </c>
      <c r="P82" s="8">
        <f t="shared" si="16"/>
        <v>778</v>
      </c>
      <c r="Q82" s="9">
        <f t="shared" si="17"/>
        <v>324406.52699228795</v>
      </c>
      <c r="R82" s="9">
        <f t="shared" si="18"/>
        <v>574.02570694087399</v>
      </c>
      <c r="S82" s="10">
        <f t="shared" si="19"/>
        <v>0.53104842718956879</v>
      </c>
      <c r="T82" s="11">
        <v>5876848</v>
      </c>
      <c r="U82" s="11">
        <v>12448</v>
      </c>
      <c r="V82" s="11">
        <v>80</v>
      </c>
      <c r="W82" s="12">
        <v>220381.8</v>
      </c>
      <c r="X82" s="12">
        <v>466.8</v>
      </c>
      <c r="Y82" s="13">
        <v>0.58097121240992966</v>
      </c>
      <c r="Z82" s="11">
        <v>5521534</v>
      </c>
      <c r="AA82" s="11">
        <v>8600</v>
      </c>
      <c r="AB82" s="11">
        <v>53</v>
      </c>
      <c r="AC82" s="12">
        <v>312539.66037735849</v>
      </c>
      <c r="AD82" s="12">
        <v>486.79245283018872</v>
      </c>
      <c r="AE82" s="13">
        <v>0.49898929224858463</v>
      </c>
      <c r="AF82" s="11">
        <v>5980420</v>
      </c>
      <c r="AG82" s="11">
        <v>16050</v>
      </c>
      <c r="AH82" s="11">
        <v>65</v>
      </c>
      <c r="AI82" s="12">
        <v>276019.38461538462</v>
      </c>
      <c r="AJ82" s="12">
        <v>740.76923076923083</v>
      </c>
      <c r="AK82" s="13">
        <v>0.65653861458011653</v>
      </c>
      <c r="AL82" s="11">
        <v>9226851</v>
      </c>
      <c r="AM82" s="11">
        <v>19360</v>
      </c>
      <c r="AN82" s="11">
        <v>78</v>
      </c>
      <c r="AO82" s="12">
        <v>354878.88461538462</v>
      </c>
      <c r="AP82" s="12">
        <v>744.61538461538464</v>
      </c>
      <c r="AQ82" s="13">
        <v>0.58047628635061754</v>
      </c>
      <c r="AR82" s="11">
        <v>9535576</v>
      </c>
      <c r="AS82" s="11">
        <v>14457</v>
      </c>
      <c r="AT82" s="11">
        <v>76</v>
      </c>
      <c r="AU82" s="12">
        <v>376404.31578947371</v>
      </c>
      <c r="AV82" s="12">
        <v>570.67105263157896</v>
      </c>
      <c r="AW82" s="13">
        <v>0.49388037930712259</v>
      </c>
      <c r="AX82" s="11">
        <v>7562735</v>
      </c>
      <c r="AY82" s="11">
        <v>9077</v>
      </c>
      <c r="AZ82" s="11">
        <v>70</v>
      </c>
      <c r="BA82" s="12">
        <v>324117.21428571432</v>
      </c>
      <c r="BB82" s="12">
        <v>389.01428571428568</v>
      </c>
      <c r="BC82" s="13">
        <v>0.43982513299859421</v>
      </c>
      <c r="BD82" s="11">
        <v>10229706</v>
      </c>
      <c r="BE82" s="11">
        <v>10844</v>
      </c>
      <c r="BF82" s="11">
        <v>74</v>
      </c>
      <c r="BG82" s="12">
        <v>414717.81081081083</v>
      </c>
      <c r="BH82" s="12">
        <v>439.62162162162173</v>
      </c>
      <c r="BI82" s="13">
        <v>0.41358016527152602</v>
      </c>
      <c r="BJ82" s="11">
        <v>7606314</v>
      </c>
      <c r="BK82" s="11">
        <v>13239</v>
      </c>
      <c r="BL82" s="11">
        <v>64</v>
      </c>
      <c r="BM82" s="12">
        <v>356545.96875</v>
      </c>
      <c r="BN82" s="12">
        <v>620.578125</v>
      </c>
      <c r="BO82" s="13">
        <v>0.52719825925148156</v>
      </c>
      <c r="BP82" s="11">
        <v>8530087</v>
      </c>
      <c r="BQ82" s="11">
        <v>21572</v>
      </c>
      <c r="BR82" s="11">
        <v>75</v>
      </c>
      <c r="BS82" s="12">
        <v>341203.48</v>
      </c>
      <c r="BT82" s="12">
        <v>862.88</v>
      </c>
      <c r="BU82" s="13">
        <v>0.63776217112111855</v>
      </c>
      <c r="BV82" s="11">
        <v>6490918</v>
      </c>
      <c r="BW82" s="11">
        <v>7798</v>
      </c>
      <c r="BX82" s="11">
        <v>72</v>
      </c>
      <c r="BY82" s="12">
        <v>270454.91666666669</v>
      </c>
      <c r="BZ82" s="12">
        <v>324.91666666666669</v>
      </c>
      <c r="CA82" s="13">
        <v>0.43929664432728333</v>
      </c>
      <c r="CB82" s="11">
        <v>7568437</v>
      </c>
      <c r="CC82" s="11">
        <v>15419</v>
      </c>
      <c r="CD82" s="11">
        <v>71</v>
      </c>
      <c r="CE82" s="12">
        <v>319793.11267605628</v>
      </c>
      <c r="CF82" s="12">
        <v>651.50704225352115</v>
      </c>
      <c r="CG82" s="13">
        <v>0.57301454121888307</v>
      </c>
      <c r="CJ82" s="11"/>
      <c r="CK82" s="12"/>
      <c r="CL82" s="12"/>
      <c r="CM82" s="13"/>
      <c r="CN82" s="11"/>
      <c r="CO82" s="11"/>
      <c r="CP82" s="11"/>
    </row>
    <row r="83" spans="1:94" x14ac:dyDescent="0.25">
      <c r="A83" s="19" t="s">
        <v>78</v>
      </c>
      <c r="B83" s="8">
        <v>2099780.6363636362</v>
      </c>
      <c r="C83" s="8">
        <v>2663.6363636363635</v>
      </c>
      <c r="D83" s="8">
        <v>735</v>
      </c>
      <c r="E83" s="9">
        <v>94275.865306122447</v>
      </c>
      <c r="F83" s="9">
        <v>119.59183673469389</v>
      </c>
      <c r="G83" s="10">
        <v>0.4554545454545455</v>
      </c>
      <c r="H83" s="8">
        <v>1669999.4790909095</v>
      </c>
      <c r="I83" s="8">
        <v>2304.3636363636365</v>
      </c>
      <c r="J83" s="8">
        <v>380</v>
      </c>
      <c r="K83" s="9">
        <v>145026.27055263161</v>
      </c>
      <c r="L83" s="9">
        <v>200.1157894736842</v>
      </c>
      <c r="M83" s="10">
        <v>0.46771113464546871</v>
      </c>
      <c r="N83" s="8">
        <f t="shared" si="14"/>
        <v>8870186.9381818175</v>
      </c>
      <c r="O83" s="8">
        <f t="shared" si="15"/>
        <v>11169.727272727272</v>
      </c>
      <c r="P83" s="8">
        <f t="shared" si="16"/>
        <v>796</v>
      </c>
      <c r="Q83" s="9">
        <f t="shared" si="17"/>
        <v>367733.88060301507</v>
      </c>
      <c r="R83" s="9">
        <f t="shared" si="18"/>
        <v>463.06658291457285</v>
      </c>
      <c r="S83" s="10">
        <f t="shared" si="19"/>
        <v>0.454583670286479</v>
      </c>
      <c r="T83" s="11">
        <v>8956512</v>
      </c>
      <c r="U83" s="11">
        <v>10641</v>
      </c>
      <c r="V83" s="11">
        <v>82</v>
      </c>
      <c r="W83" s="12">
        <v>327677.26829268289</v>
      </c>
      <c r="X83" s="12">
        <v>389.30487804878061</v>
      </c>
      <c r="Y83" s="13">
        <v>0.4355049064143115</v>
      </c>
      <c r="Z83" s="11">
        <v>4336821.32</v>
      </c>
      <c r="AA83" s="11">
        <v>5690</v>
      </c>
      <c r="AB83" s="11">
        <v>51</v>
      </c>
      <c r="AC83" s="12">
        <v>255107.13647058819</v>
      </c>
      <c r="AD83" s="12">
        <v>334.70588235294122</v>
      </c>
      <c r="AE83" s="13">
        <v>0.45632965618862081</v>
      </c>
      <c r="AF83" s="11">
        <v>7358023</v>
      </c>
      <c r="AG83" s="11">
        <v>8083</v>
      </c>
      <c r="AH83" s="11">
        <v>69</v>
      </c>
      <c r="AI83" s="12">
        <v>319914.04347826092</v>
      </c>
      <c r="AJ83" s="12">
        <v>351.43478260869568</v>
      </c>
      <c r="AK83" s="13">
        <v>0.41755083278407817</v>
      </c>
      <c r="AL83" s="11">
        <v>8060982</v>
      </c>
      <c r="AM83" s="11">
        <v>10799</v>
      </c>
      <c r="AN83" s="11">
        <v>78</v>
      </c>
      <c r="AO83" s="12">
        <v>310037.76923076919</v>
      </c>
      <c r="AP83" s="12">
        <v>415.34615384615392</v>
      </c>
      <c r="AQ83" s="13">
        <v>0.46206778482911598</v>
      </c>
      <c r="AR83" s="11">
        <v>12109041</v>
      </c>
      <c r="AS83" s="11">
        <v>11503</v>
      </c>
      <c r="AT83" s="11">
        <v>81</v>
      </c>
      <c r="AU83" s="12">
        <v>448483</v>
      </c>
      <c r="AV83" s="12">
        <v>426.03703703703712</v>
      </c>
      <c r="AW83" s="13">
        <v>0.39156027496512169</v>
      </c>
      <c r="AX83" s="11">
        <v>5925561</v>
      </c>
      <c r="AY83" s="11">
        <v>10394</v>
      </c>
      <c r="AZ83" s="11">
        <v>70</v>
      </c>
      <c r="BA83" s="12">
        <v>253952.61428571431</v>
      </c>
      <c r="BB83" s="12">
        <v>445.45714285714291</v>
      </c>
      <c r="BC83" s="13">
        <v>0.53448288456788862</v>
      </c>
      <c r="BD83" s="11">
        <v>10790382</v>
      </c>
      <c r="BE83" s="11">
        <v>11341</v>
      </c>
      <c r="BF83" s="11">
        <v>74</v>
      </c>
      <c r="BG83" s="12">
        <v>437447.91891891888</v>
      </c>
      <c r="BH83" s="12">
        <v>459.7702702702702</v>
      </c>
      <c r="BI83" s="13">
        <v>0.41236512623145422</v>
      </c>
      <c r="BJ83" s="11">
        <v>13650534</v>
      </c>
      <c r="BK83" s="11">
        <v>14623</v>
      </c>
      <c r="BL83" s="11">
        <v>73</v>
      </c>
      <c r="BM83" s="12">
        <v>560980.84931506845</v>
      </c>
      <c r="BN83" s="12">
        <v>600.94520547945206</v>
      </c>
      <c r="BO83" s="13">
        <v>0.41555267351300351</v>
      </c>
      <c r="BP83" s="11">
        <v>9151086</v>
      </c>
      <c r="BQ83" s="11">
        <v>9443</v>
      </c>
      <c r="BR83" s="11">
        <v>73</v>
      </c>
      <c r="BS83" s="12">
        <v>376072.02739726019</v>
      </c>
      <c r="BT83" s="12">
        <v>388.0684931506849</v>
      </c>
      <c r="BU83" s="13">
        <v>0.40790991814873179</v>
      </c>
      <c r="BV83" s="11">
        <v>9165917</v>
      </c>
      <c r="BW83" s="11">
        <v>14372</v>
      </c>
      <c r="BX83" s="11">
        <v>74</v>
      </c>
      <c r="BY83" s="12">
        <v>371591.2297297297</v>
      </c>
      <c r="BZ83" s="12">
        <v>582.64864864864865</v>
      </c>
      <c r="CA83" s="13">
        <v>0.50244791828678559</v>
      </c>
      <c r="CB83" s="11">
        <v>8067197</v>
      </c>
      <c r="CC83" s="11">
        <v>15978</v>
      </c>
      <c r="CD83" s="11">
        <v>71</v>
      </c>
      <c r="CE83" s="12">
        <v>340867.47887323942</v>
      </c>
      <c r="CF83" s="12">
        <v>675.12676056338023</v>
      </c>
      <c r="CG83" s="13">
        <v>0.56464839722215721</v>
      </c>
      <c r="CJ83" s="11"/>
      <c r="CK83" s="12"/>
      <c r="CL83" s="12"/>
      <c r="CM83" s="13"/>
      <c r="CN83" s="11"/>
      <c r="CO83" s="11"/>
      <c r="CP83" s="11"/>
    </row>
    <row r="84" spans="1:94" x14ac:dyDescent="0.25">
      <c r="A84" s="19" t="s">
        <v>79</v>
      </c>
      <c r="B84" s="8">
        <v>1823598.9090909092</v>
      </c>
      <c r="C84" s="8">
        <v>1995.6363636363637</v>
      </c>
      <c r="D84" s="8">
        <v>721</v>
      </c>
      <c r="E84" s="9">
        <v>83465.692094313446</v>
      </c>
      <c r="F84" s="9">
        <v>91.339805825242721</v>
      </c>
      <c r="G84" s="10">
        <v>0.42</v>
      </c>
      <c r="H84" s="8">
        <v>1713672.0439999998</v>
      </c>
      <c r="I84" s="8">
        <v>2333.6999999999998</v>
      </c>
      <c r="J84" s="8">
        <v>304</v>
      </c>
      <c r="K84" s="9">
        <v>169112.37276315788</v>
      </c>
      <c r="L84" s="9">
        <v>230.29934210526318</v>
      </c>
      <c r="M84" s="10">
        <v>0.46456628468980682</v>
      </c>
      <c r="N84" s="8">
        <f t="shared" si="14"/>
        <v>6479462.5127272718</v>
      </c>
      <c r="O84" s="8">
        <f t="shared" si="15"/>
        <v>11578.818181818182</v>
      </c>
      <c r="P84" s="8">
        <f t="shared" si="16"/>
        <v>729</v>
      </c>
      <c r="Q84" s="9">
        <f t="shared" si="17"/>
        <v>293309.00263374479</v>
      </c>
      <c r="R84" s="9">
        <f t="shared" si="18"/>
        <v>524.14403292181066</v>
      </c>
      <c r="S84" s="10">
        <f t="shared" si="19"/>
        <v>0.52013724070034573</v>
      </c>
      <c r="T84" s="11">
        <v>5794187</v>
      </c>
      <c r="U84" s="11">
        <v>9603</v>
      </c>
      <c r="V84" s="11">
        <v>77</v>
      </c>
      <c r="W84" s="12">
        <v>225747.5454545455</v>
      </c>
      <c r="X84" s="12">
        <v>374.14285714285711</v>
      </c>
      <c r="Y84" s="13">
        <v>0.51507214146449098</v>
      </c>
      <c r="Z84" s="11">
        <v>2369110.88</v>
      </c>
      <c r="AA84" s="11">
        <v>2308</v>
      </c>
      <c r="AB84" s="11">
        <v>33</v>
      </c>
      <c r="AC84" s="12">
        <v>215373.7163636364</v>
      </c>
      <c r="AD84" s="12">
        <v>209.81818181818181</v>
      </c>
      <c r="AE84" s="13">
        <v>0.39388508965732039</v>
      </c>
      <c r="AF84" s="11">
        <v>5989734</v>
      </c>
      <c r="AG84" s="11">
        <v>15853</v>
      </c>
      <c r="AH84" s="11">
        <v>66</v>
      </c>
      <c r="AI84" s="12">
        <v>272260.63636363641</v>
      </c>
      <c r="AJ84" s="12">
        <v>720.59090909090901</v>
      </c>
      <c r="AK84" s="13">
        <v>0.65173036562314035</v>
      </c>
      <c r="AL84" s="11">
        <v>8430521</v>
      </c>
      <c r="AM84" s="11">
        <v>16051</v>
      </c>
      <c r="AN84" s="11">
        <v>76</v>
      </c>
      <c r="AO84" s="12">
        <v>332783.7236842105</v>
      </c>
      <c r="AP84" s="12">
        <v>633.59210526315792</v>
      </c>
      <c r="AQ84" s="13">
        <v>0.55358267895699542</v>
      </c>
      <c r="AR84" s="11">
        <v>8212637</v>
      </c>
      <c r="AS84" s="11">
        <v>8360</v>
      </c>
      <c r="AT84" s="11">
        <v>65</v>
      </c>
      <c r="AU84" s="12">
        <v>379044.78461538459</v>
      </c>
      <c r="AV84" s="12">
        <v>385.84615384615381</v>
      </c>
      <c r="AW84" s="13">
        <v>0.40542319086129652</v>
      </c>
      <c r="AX84" s="11">
        <v>6602569</v>
      </c>
      <c r="AY84" s="11">
        <v>7129</v>
      </c>
      <c r="AZ84" s="11">
        <v>64</v>
      </c>
      <c r="BA84" s="12">
        <v>309495.421875</v>
      </c>
      <c r="BB84" s="12">
        <v>334.171875</v>
      </c>
      <c r="BC84" s="13">
        <v>0.41632822251887741</v>
      </c>
      <c r="BD84" s="11">
        <v>4863819</v>
      </c>
      <c r="BE84" s="11">
        <v>6303</v>
      </c>
      <c r="BF84" s="11">
        <v>72</v>
      </c>
      <c r="BG84" s="12">
        <v>202659.125</v>
      </c>
      <c r="BH84" s="12">
        <v>262.625</v>
      </c>
      <c r="BI84" s="13">
        <v>0.45836833104736691</v>
      </c>
      <c r="BJ84" s="11">
        <v>7070458.7599999998</v>
      </c>
      <c r="BK84" s="11">
        <v>13951</v>
      </c>
      <c r="BL84" s="11">
        <v>59</v>
      </c>
      <c r="BM84" s="12">
        <v>359514.8522033898</v>
      </c>
      <c r="BN84" s="12">
        <v>709.37288135593224</v>
      </c>
      <c r="BO84" s="13">
        <v>0.56329277481534978</v>
      </c>
      <c r="BP84" s="11">
        <v>7864603</v>
      </c>
      <c r="BQ84" s="11">
        <v>19956</v>
      </c>
      <c r="BR84" s="11">
        <v>70</v>
      </c>
      <c r="BS84" s="12">
        <v>337054.41428571427</v>
      </c>
      <c r="BT84" s="12">
        <v>855.25714285714287</v>
      </c>
      <c r="BU84" s="13">
        <v>0.63867947026725735</v>
      </c>
      <c r="BV84" s="11">
        <v>7976247</v>
      </c>
      <c r="BW84" s="11">
        <v>16796</v>
      </c>
      <c r="BX84" s="11">
        <v>76</v>
      </c>
      <c r="BY84" s="12">
        <v>314851.85526315792</v>
      </c>
      <c r="BZ84" s="12">
        <v>663</v>
      </c>
      <c r="CA84" s="13">
        <v>0.58260358982051774</v>
      </c>
      <c r="CB84" s="11">
        <v>6100201</v>
      </c>
      <c r="CC84" s="11">
        <v>11057</v>
      </c>
      <c r="CD84" s="11">
        <v>71</v>
      </c>
      <c r="CE84" s="12">
        <v>257754.97183098589</v>
      </c>
      <c r="CF84" s="12">
        <v>467.19718309859161</v>
      </c>
      <c r="CG84" s="13">
        <v>0.54254379267119013</v>
      </c>
      <c r="CJ84" s="11"/>
      <c r="CK84" s="12"/>
      <c r="CL84" s="12"/>
      <c r="CM84" s="13"/>
      <c r="CN84" s="11"/>
      <c r="CO84" s="11"/>
      <c r="CP84" s="11"/>
    </row>
    <row r="85" spans="1:94" x14ac:dyDescent="0.25">
      <c r="A85" s="19" t="s">
        <v>80</v>
      </c>
      <c r="B85" s="8">
        <v>2163976</v>
      </c>
      <c r="C85" s="8">
        <v>1974.2727272727273</v>
      </c>
      <c r="D85" s="8">
        <v>800</v>
      </c>
      <c r="E85" s="9">
        <v>89264.01</v>
      </c>
      <c r="F85" s="9">
        <v>81.438749999999999</v>
      </c>
      <c r="G85" s="10">
        <v>0.3890909090909091</v>
      </c>
      <c r="H85" s="8">
        <v>2849247.3963636365</v>
      </c>
      <c r="I85" s="8">
        <v>3266.4545454545455</v>
      </c>
      <c r="J85" s="8">
        <v>489</v>
      </c>
      <c r="K85" s="9">
        <v>192280.49914110429</v>
      </c>
      <c r="L85" s="9">
        <v>220.43558282208591</v>
      </c>
      <c r="M85" s="10">
        <v>0.42751857982164831</v>
      </c>
      <c r="N85" s="8">
        <f t="shared" si="14"/>
        <v>6628814.5381818172</v>
      </c>
      <c r="O85" s="8">
        <f t="shared" si="15"/>
        <v>10216.363636363636</v>
      </c>
      <c r="P85" s="8">
        <f t="shared" si="16"/>
        <v>730</v>
      </c>
      <c r="Q85" s="9">
        <f t="shared" si="17"/>
        <v>299658.73939726019</v>
      </c>
      <c r="R85" s="9">
        <f t="shared" si="18"/>
        <v>461.83561643835617</v>
      </c>
      <c r="S85" s="10">
        <f t="shared" si="19"/>
        <v>0.50567007569624123</v>
      </c>
      <c r="T85" s="11">
        <v>5905886</v>
      </c>
      <c r="U85" s="11">
        <v>8835</v>
      </c>
      <c r="V85" s="11">
        <v>77</v>
      </c>
      <c r="W85" s="12">
        <v>230099.4545454545</v>
      </c>
      <c r="X85" s="12">
        <v>344.22077922077932</v>
      </c>
      <c r="Y85" s="13">
        <v>0.48623403095830492</v>
      </c>
      <c r="Z85" s="11">
        <v>1581199.76</v>
      </c>
      <c r="AA85" s="11">
        <v>2804</v>
      </c>
      <c r="AB85" s="11">
        <v>30</v>
      </c>
      <c r="AC85" s="12">
        <v>158119.976</v>
      </c>
      <c r="AD85" s="12">
        <v>280.39999999999998</v>
      </c>
      <c r="AE85" s="13">
        <v>0.52882001758808594</v>
      </c>
      <c r="AF85" s="11">
        <v>7528569</v>
      </c>
      <c r="AG85" s="11">
        <v>6711</v>
      </c>
      <c r="AH85" s="11">
        <v>58</v>
      </c>
      <c r="AI85" s="12">
        <v>389408.74137931038</v>
      </c>
      <c r="AJ85" s="12">
        <v>347.12068965517238</v>
      </c>
      <c r="AK85" s="13">
        <v>0.37893953732384472</v>
      </c>
      <c r="AL85" s="11">
        <v>5721351</v>
      </c>
      <c r="AM85" s="11">
        <v>10819</v>
      </c>
      <c r="AN85" s="11">
        <v>78</v>
      </c>
      <c r="AO85" s="12">
        <v>220051.9615384615</v>
      </c>
      <c r="AP85" s="12">
        <v>416.11538461538458</v>
      </c>
      <c r="AQ85" s="13">
        <v>0.54667391497059448</v>
      </c>
      <c r="AR85" s="11">
        <v>6318059</v>
      </c>
      <c r="AS85" s="11">
        <v>11924</v>
      </c>
      <c r="AT85" s="11">
        <v>77</v>
      </c>
      <c r="AU85" s="12">
        <v>246158.1428571429</v>
      </c>
      <c r="AV85" s="12">
        <v>464.57142857142861</v>
      </c>
      <c r="AW85" s="13">
        <v>0.55209392129764634</v>
      </c>
      <c r="AX85" s="11">
        <v>5437588</v>
      </c>
      <c r="AY85" s="11">
        <v>11322</v>
      </c>
      <c r="AZ85" s="11">
        <v>66</v>
      </c>
      <c r="BA85" s="12">
        <v>247163.09090909091</v>
      </c>
      <c r="BB85" s="12">
        <v>514.63636363636363</v>
      </c>
      <c r="BC85" s="13">
        <v>0.57942760365788126</v>
      </c>
      <c r="BD85" s="11">
        <v>7365642</v>
      </c>
      <c r="BE85" s="11">
        <v>16798</v>
      </c>
      <c r="BF85" s="11">
        <v>74</v>
      </c>
      <c r="BG85" s="12">
        <v>298607.10810810811</v>
      </c>
      <c r="BH85" s="12">
        <v>681</v>
      </c>
      <c r="BI85" s="13">
        <v>0.60484351586355301</v>
      </c>
      <c r="BJ85" s="11">
        <v>5345581.84</v>
      </c>
      <c r="BK85" s="11">
        <v>12520</v>
      </c>
      <c r="BL85" s="11">
        <v>59</v>
      </c>
      <c r="BM85" s="12">
        <v>271809.24610169488</v>
      </c>
      <c r="BN85" s="12">
        <v>636.61016949152543</v>
      </c>
      <c r="BO85" s="13">
        <v>0.61246525774581384</v>
      </c>
      <c r="BP85" s="11">
        <v>8935753.3200000003</v>
      </c>
      <c r="BQ85" s="11">
        <v>9788</v>
      </c>
      <c r="BR85" s="11">
        <v>66</v>
      </c>
      <c r="BS85" s="12">
        <v>406170.60545454553</v>
      </c>
      <c r="BT85" s="12">
        <v>444.90909090909088</v>
      </c>
      <c r="BU85" s="13">
        <v>0.42027657795625112</v>
      </c>
      <c r="BV85" s="11">
        <v>8477604</v>
      </c>
      <c r="BW85" s="11">
        <v>10837</v>
      </c>
      <c r="BX85" s="11">
        <v>76</v>
      </c>
      <c r="BY85" s="12">
        <v>334642.26315789472</v>
      </c>
      <c r="BZ85" s="12">
        <v>427.77631578947359</v>
      </c>
      <c r="CA85" s="13">
        <v>0.45586805408253672</v>
      </c>
      <c r="CB85" s="11">
        <v>10299726</v>
      </c>
      <c r="CC85" s="11">
        <v>10022</v>
      </c>
      <c r="CD85" s="11">
        <v>69</v>
      </c>
      <c r="CE85" s="12">
        <v>447814.17391304352</v>
      </c>
      <c r="CF85" s="12">
        <v>435.73913043478262</v>
      </c>
      <c r="CG85" s="13">
        <v>0.39672840121414138</v>
      </c>
      <c r="CJ85" s="11"/>
      <c r="CK85" s="12"/>
      <c r="CL85" s="12"/>
      <c r="CM85" s="13"/>
      <c r="CN85" s="11"/>
      <c r="CO85" s="11"/>
      <c r="CP85" s="11"/>
    </row>
    <row r="86" spans="1:94" x14ac:dyDescent="0.25">
      <c r="A86" s="19" t="s">
        <v>81</v>
      </c>
      <c r="B86" s="8">
        <v>3844017.6363636362</v>
      </c>
      <c r="C86" s="8">
        <v>8775.181818181818</v>
      </c>
      <c r="D86" s="8">
        <v>792</v>
      </c>
      <c r="E86" s="9">
        <v>160167.40151515152</v>
      </c>
      <c r="F86" s="9">
        <v>365.63257575757575</v>
      </c>
      <c r="G86" s="10">
        <v>0.60181818181818192</v>
      </c>
      <c r="H86" s="8">
        <v>3328188.8333333335</v>
      </c>
      <c r="I86" s="8">
        <v>8862.5833333333339</v>
      </c>
      <c r="J86" s="8">
        <v>733</v>
      </c>
      <c r="K86" s="9">
        <v>163458.11459754434</v>
      </c>
      <c r="L86" s="9">
        <v>435.27012278308325</v>
      </c>
      <c r="M86" s="10">
        <v>0.65322637637873149</v>
      </c>
      <c r="N86" s="8">
        <f t="shared" si="14"/>
        <v>4045569.0367272724</v>
      </c>
      <c r="O86" s="8">
        <f t="shared" si="15"/>
        <v>9298</v>
      </c>
      <c r="P86" s="8">
        <f t="shared" si="16"/>
        <v>783</v>
      </c>
      <c r="Q86" s="9">
        <f t="shared" si="17"/>
        <v>170502.90959386973</v>
      </c>
      <c r="R86" s="9">
        <f t="shared" si="18"/>
        <v>391.86973180076626</v>
      </c>
      <c r="S86" s="10">
        <f t="shared" si="19"/>
        <v>0.60683315123948656</v>
      </c>
      <c r="T86" s="11">
        <v>3294316.2</v>
      </c>
      <c r="U86" s="11">
        <v>9304</v>
      </c>
      <c r="V86" s="11">
        <v>76</v>
      </c>
      <c r="W86" s="12">
        <v>130038.797368421</v>
      </c>
      <c r="X86" s="12">
        <v>367.26315789473682</v>
      </c>
      <c r="Y86" s="13">
        <v>0.67053951832642988</v>
      </c>
      <c r="Z86" s="11">
        <v>3771506</v>
      </c>
      <c r="AA86" s="11">
        <v>8329</v>
      </c>
      <c r="AB86" s="11">
        <v>63</v>
      </c>
      <c r="AC86" s="12">
        <v>179595.52380952379</v>
      </c>
      <c r="AD86" s="12">
        <v>396.61904761904759</v>
      </c>
      <c r="AE86" s="13">
        <v>0.59345999467035448</v>
      </c>
      <c r="AF86" s="11">
        <v>4344024</v>
      </c>
      <c r="AG86" s="11">
        <v>9770</v>
      </c>
      <c r="AH86" s="11">
        <v>73</v>
      </c>
      <c r="AI86" s="12">
        <v>178521.53424657529</v>
      </c>
      <c r="AJ86" s="12">
        <v>401.50684931506851</v>
      </c>
      <c r="AK86" s="13">
        <v>0.59845710139070141</v>
      </c>
      <c r="AL86" s="11">
        <v>4614023</v>
      </c>
      <c r="AM86" s="11">
        <v>9968</v>
      </c>
      <c r="AN86" s="11">
        <v>75</v>
      </c>
      <c r="AO86" s="12">
        <v>184560.92</v>
      </c>
      <c r="AP86" s="12">
        <v>398.72</v>
      </c>
      <c r="AQ86" s="13">
        <v>0.5840346280173726</v>
      </c>
      <c r="AR86" s="11">
        <v>3928840</v>
      </c>
      <c r="AS86" s="11">
        <v>9883</v>
      </c>
      <c r="AT86" s="11">
        <v>74</v>
      </c>
      <c r="AU86" s="12">
        <v>159277.29729729731</v>
      </c>
      <c r="AV86" s="12">
        <v>400.66216216216219</v>
      </c>
      <c r="AW86" s="13">
        <v>0.64061698721740257</v>
      </c>
      <c r="AX86" s="11">
        <v>3231807</v>
      </c>
      <c r="AY86" s="11">
        <v>7391</v>
      </c>
      <c r="AZ86" s="11">
        <v>64</v>
      </c>
      <c r="BA86" s="12">
        <v>151490.953125</v>
      </c>
      <c r="BB86" s="12">
        <v>346.453125</v>
      </c>
      <c r="BC86" s="13">
        <v>0.61051595693749827</v>
      </c>
      <c r="BD86" s="11">
        <v>3943158</v>
      </c>
      <c r="BE86" s="11">
        <v>7316</v>
      </c>
      <c r="BF86" s="11">
        <v>70</v>
      </c>
      <c r="BG86" s="12">
        <v>168992.48571428569</v>
      </c>
      <c r="BH86" s="12">
        <v>313.54285714285709</v>
      </c>
      <c r="BI86" s="13">
        <v>0.54777588665978638</v>
      </c>
      <c r="BJ86" s="11">
        <v>4478076</v>
      </c>
      <c r="BK86" s="11">
        <v>11516</v>
      </c>
      <c r="BL86" s="11">
        <v>66</v>
      </c>
      <c r="BM86" s="12">
        <v>203548.90909090909</v>
      </c>
      <c r="BN86" s="12">
        <v>523.4545454545455</v>
      </c>
      <c r="BO86" s="13">
        <v>0.64397997508670812</v>
      </c>
      <c r="BP86" s="11">
        <v>3985997.2039999999</v>
      </c>
      <c r="BQ86" s="11">
        <v>6464</v>
      </c>
      <c r="BR86" s="11">
        <v>75</v>
      </c>
      <c r="BS86" s="12">
        <v>159439.88816</v>
      </c>
      <c r="BT86" s="12">
        <v>258.56</v>
      </c>
      <c r="BU86" s="13">
        <v>0.51426302917551492</v>
      </c>
      <c r="BV86" s="11">
        <v>4194135</v>
      </c>
      <c r="BW86" s="11">
        <v>10764</v>
      </c>
      <c r="BX86" s="11">
        <v>75</v>
      </c>
      <c r="BY86" s="12">
        <v>167765.4</v>
      </c>
      <c r="BZ86" s="12">
        <v>430.56000000000012</v>
      </c>
      <c r="CA86" s="13">
        <v>0.64276465456109111</v>
      </c>
      <c r="CB86" s="11">
        <v>4715377</v>
      </c>
      <c r="CC86" s="11">
        <v>11573</v>
      </c>
      <c r="CD86" s="11">
        <v>72</v>
      </c>
      <c r="CE86" s="12">
        <v>196474.04166666669</v>
      </c>
      <c r="CF86" s="12">
        <v>482.20833333333343</v>
      </c>
      <c r="CG86" s="13">
        <v>0.62875693159149304</v>
      </c>
      <c r="CJ86" s="11"/>
      <c r="CK86" s="12"/>
      <c r="CL86" s="12"/>
      <c r="CM86" s="13"/>
      <c r="CN86" s="11"/>
      <c r="CO86" s="11"/>
      <c r="CP86" s="11"/>
    </row>
    <row r="87" spans="1:94" x14ac:dyDescent="0.25">
      <c r="A87" s="20" t="s">
        <v>82</v>
      </c>
      <c r="B87" s="8">
        <v>4352482.2727272725</v>
      </c>
      <c r="C87" s="8">
        <v>9462.636363636364</v>
      </c>
      <c r="D87" s="8">
        <v>811</v>
      </c>
      <c r="E87" s="9">
        <v>177104.70406905055</v>
      </c>
      <c r="F87" s="9">
        <v>385.03945745992598</v>
      </c>
      <c r="G87" s="10">
        <v>0.59090909090909094</v>
      </c>
      <c r="H87" s="8">
        <v>3824829.5</v>
      </c>
      <c r="I87" s="8">
        <v>10479.666666666666</v>
      </c>
      <c r="J87" s="8">
        <v>747</v>
      </c>
      <c r="K87" s="9">
        <v>184329.13253012049</v>
      </c>
      <c r="L87" s="9">
        <v>505.04417670682733</v>
      </c>
      <c r="M87" s="10">
        <v>0.66293595305784758</v>
      </c>
      <c r="N87" s="8">
        <f t="shared" si="14"/>
        <v>4636881.47</v>
      </c>
      <c r="O87" s="8">
        <f t="shared" si="15"/>
        <v>11950.90909090909</v>
      </c>
      <c r="P87" s="8">
        <f t="shared" si="16"/>
        <v>778</v>
      </c>
      <c r="Q87" s="9">
        <f t="shared" si="17"/>
        <v>196680.06235218508</v>
      </c>
      <c r="R87" s="9">
        <f t="shared" si="18"/>
        <v>506.91516709511575</v>
      </c>
      <c r="S87" s="10">
        <f t="shared" si="19"/>
        <v>0.64647992442261726</v>
      </c>
      <c r="T87" s="11">
        <v>3330630</v>
      </c>
      <c r="U87" s="11">
        <v>10261</v>
      </c>
      <c r="V87" s="11">
        <v>77</v>
      </c>
      <c r="W87" s="12">
        <v>129764.8051948052</v>
      </c>
      <c r="X87" s="12">
        <v>399.77922077922068</v>
      </c>
      <c r="Y87" s="13">
        <v>0.70281407931827988</v>
      </c>
      <c r="Z87" s="11">
        <v>3338002</v>
      </c>
      <c r="AA87" s="11">
        <v>7560</v>
      </c>
      <c r="AB87" s="11">
        <v>61</v>
      </c>
      <c r="AC87" s="12">
        <v>164164.03278688519</v>
      </c>
      <c r="AD87" s="12">
        <v>371.80327868852459</v>
      </c>
      <c r="AE87" s="13">
        <v>0.5997530043318775</v>
      </c>
      <c r="AF87" s="11">
        <v>4281666</v>
      </c>
      <c r="AG87" s="11">
        <v>11479</v>
      </c>
      <c r="AH87" s="11">
        <v>64</v>
      </c>
      <c r="AI87" s="12">
        <v>200703.09375</v>
      </c>
      <c r="AJ87" s="12">
        <v>538.078125</v>
      </c>
      <c r="AK87" s="13">
        <v>0.6568101492993148</v>
      </c>
      <c r="AL87" s="11">
        <v>4926897</v>
      </c>
      <c r="AM87" s="11">
        <v>13778</v>
      </c>
      <c r="AN87" s="11">
        <v>75</v>
      </c>
      <c r="AO87" s="12">
        <v>197075.88</v>
      </c>
      <c r="AP87" s="12">
        <v>551.12</v>
      </c>
      <c r="AQ87" s="13">
        <v>0.66843236533871442</v>
      </c>
      <c r="AR87" s="11">
        <v>5511662</v>
      </c>
      <c r="AS87" s="11">
        <v>15479</v>
      </c>
      <c r="AT87" s="11">
        <v>77</v>
      </c>
      <c r="AU87" s="12">
        <v>214740.07792207791</v>
      </c>
      <c r="AV87" s="12">
        <v>603.07792207792204</v>
      </c>
      <c r="AW87" s="13">
        <v>0.67215103560205391</v>
      </c>
      <c r="AX87" s="11">
        <v>3024110</v>
      </c>
      <c r="AY87" s="11">
        <v>9619</v>
      </c>
      <c r="AZ87" s="11">
        <v>64</v>
      </c>
      <c r="BA87" s="12">
        <v>141755.15625</v>
      </c>
      <c r="BB87" s="12">
        <v>450.890625</v>
      </c>
      <c r="BC87" s="13">
        <v>0.71958407617155096</v>
      </c>
      <c r="BD87" s="11">
        <v>5246841</v>
      </c>
      <c r="BE87" s="11">
        <v>14374</v>
      </c>
      <c r="BF87" s="11">
        <v>73</v>
      </c>
      <c r="BG87" s="12">
        <v>215623.60273972599</v>
      </c>
      <c r="BH87" s="12">
        <v>590.71232876712327</v>
      </c>
      <c r="BI87" s="13">
        <v>0.66485963779111945</v>
      </c>
      <c r="BJ87" s="11">
        <v>5404480</v>
      </c>
      <c r="BK87" s="11">
        <v>14642</v>
      </c>
      <c r="BL87" s="11">
        <v>71</v>
      </c>
      <c r="BM87" s="12">
        <v>228358.30985915489</v>
      </c>
      <c r="BN87" s="12">
        <v>618.67605633802816</v>
      </c>
      <c r="BO87" s="13">
        <v>0.66019228584091583</v>
      </c>
      <c r="BP87" s="11">
        <v>5844630.1699999999</v>
      </c>
      <c r="BQ87" s="11">
        <v>9474</v>
      </c>
      <c r="BR87" s="11">
        <v>73</v>
      </c>
      <c r="BS87" s="12">
        <v>240190.2809589041</v>
      </c>
      <c r="BT87" s="12">
        <v>389.34246575342468</v>
      </c>
      <c r="BU87" s="13">
        <v>0.51055383060583481</v>
      </c>
      <c r="BV87" s="11">
        <v>4825137</v>
      </c>
      <c r="BW87" s="11">
        <v>11972</v>
      </c>
      <c r="BX87" s="11">
        <v>73</v>
      </c>
      <c r="BY87" s="12">
        <v>198293.30136986301</v>
      </c>
      <c r="BZ87" s="12">
        <v>492</v>
      </c>
      <c r="CA87" s="13">
        <v>0.63079578624707955</v>
      </c>
      <c r="CB87" s="11">
        <v>5271641</v>
      </c>
      <c r="CC87" s="11">
        <v>12822</v>
      </c>
      <c r="CD87" s="11">
        <v>70</v>
      </c>
      <c r="CE87" s="12">
        <v>225927.47142857141</v>
      </c>
      <c r="CF87" s="12">
        <v>549.51428571428573</v>
      </c>
      <c r="CG87" s="13">
        <v>0.62533291810204872</v>
      </c>
      <c r="CJ87" s="11"/>
      <c r="CK87" s="12"/>
      <c r="CL87" s="12"/>
      <c r="CM87" s="13"/>
      <c r="CN87" s="11"/>
      <c r="CO87" s="11"/>
      <c r="CP87" s="11"/>
    </row>
    <row r="88" spans="1:94" x14ac:dyDescent="0.25">
      <c r="A88" s="20" t="s">
        <v>83</v>
      </c>
      <c r="B88" s="8">
        <v>3837255.9090909092</v>
      </c>
      <c r="C88" s="8">
        <v>9134.2727272727279</v>
      </c>
      <c r="D88" s="8">
        <v>820</v>
      </c>
      <c r="E88" s="9">
        <v>154426.15243902439</v>
      </c>
      <c r="F88" s="9">
        <v>367.5987804878049</v>
      </c>
      <c r="G88" s="10">
        <v>0.61363636363636365</v>
      </c>
      <c r="H88" s="8">
        <v>3613505.9166666665</v>
      </c>
      <c r="I88" s="8">
        <v>9675.5833333333339</v>
      </c>
      <c r="J88" s="8">
        <v>767</v>
      </c>
      <c r="K88" s="9">
        <v>169603.92829204694</v>
      </c>
      <c r="L88" s="9">
        <v>454.13428943937419</v>
      </c>
      <c r="M88" s="10">
        <v>0.65506674611564086</v>
      </c>
      <c r="N88" s="8">
        <f t="shared" si="14"/>
        <v>3692007.7214545459</v>
      </c>
      <c r="O88" s="8">
        <f t="shared" si="15"/>
        <v>9453.818181818182</v>
      </c>
      <c r="P88" s="8">
        <f t="shared" si="16"/>
        <v>778</v>
      </c>
      <c r="Q88" s="9">
        <f t="shared" si="17"/>
        <v>156601.86993316197</v>
      </c>
      <c r="R88" s="9">
        <f t="shared" si="18"/>
        <v>400.99742930591259</v>
      </c>
      <c r="S88" s="10">
        <f t="shared" si="19"/>
        <v>0.64002194896263453</v>
      </c>
      <c r="T88" s="11">
        <v>3521856</v>
      </c>
      <c r="U88" s="11">
        <v>10152</v>
      </c>
      <c r="V88" s="11">
        <v>81</v>
      </c>
      <c r="W88" s="12">
        <v>130439.11111111109</v>
      </c>
      <c r="X88" s="12">
        <v>376</v>
      </c>
      <c r="Y88" s="13">
        <v>0.68017754650434281</v>
      </c>
      <c r="Z88" s="11">
        <v>3454102</v>
      </c>
      <c r="AA88" s="11">
        <v>8814</v>
      </c>
      <c r="AB88" s="11">
        <v>64</v>
      </c>
      <c r="AC88" s="12">
        <v>161911.03125</v>
      </c>
      <c r="AD88" s="12">
        <v>413.15625</v>
      </c>
      <c r="AE88" s="13">
        <v>0.63456402194459427</v>
      </c>
      <c r="AF88" s="11">
        <v>3999415</v>
      </c>
      <c r="AG88" s="11">
        <v>9035</v>
      </c>
      <c r="AH88" s="11">
        <v>71</v>
      </c>
      <c r="AI88" s="12">
        <v>168989.36619718309</v>
      </c>
      <c r="AJ88" s="12">
        <v>381.76056338028172</v>
      </c>
      <c r="AK88" s="13">
        <v>0.59973324269586736</v>
      </c>
      <c r="AL88" s="11">
        <v>3930221</v>
      </c>
      <c r="AM88" s="11">
        <v>9296</v>
      </c>
      <c r="AN88" s="11">
        <v>73</v>
      </c>
      <c r="AO88" s="12">
        <v>161515.9315068493</v>
      </c>
      <c r="AP88" s="12">
        <v>382.02739726027397</v>
      </c>
      <c r="AQ88" s="13">
        <v>0.61211809522402116</v>
      </c>
      <c r="AR88" s="11">
        <v>3737418</v>
      </c>
      <c r="AS88" s="11">
        <v>11888</v>
      </c>
      <c r="AT88" s="11">
        <v>77</v>
      </c>
      <c r="AU88" s="12">
        <v>145613.68831168831</v>
      </c>
      <c r="AV88" s="12">
        <v>463.16883116883122</v>
      </c>
      <c r="AW88" s="13">
        <v>0.71313889861845936</v>
      </c>
      <c r="AX88" s="11">
        <v>3382259</v>
      </c>
      <c r="AY88" s="11">
        <v>9961</v>
      </c>
      <c r="AZ88" s="11">
        <v>67</v>
      </c>
      <c r="BA88" s="12">
        <v>151444.43283582089</v>
      </c>
      <c r="BB88" s="12">
        <v>446.01492537313442</v>
      </c>
      <c r="BC88" s="13">
        <v>0.69028596664761122</v>
      </c>
      <c r="BD88" s="11">
        <v>3819322</v>
      </c>
      <c r="BE88" s="11">
        <v>10142</v>
      </c>
      <c r="BF88" s="11">
        <v>73</v>
      </c>
      <c r="BG88" s="12">
        <v>156958.43835616441</v>
      </c>
      <c r="BH88" s="12">
        <v>416.79452054794518</v>
      </c>
      <c r="BI88" s="13">
        <v>0.65377438176408142</v>
      </c>
      <c r="BJ88" s="11">
        <v>2881757</v>
      </c>
      <c r="BK88" s="11">
        <v>6225</v>
      </c>
      <c r="BL88" s="11">
        <v>57</v>
      </c>
      <c r="BM88" s="12">
        <v>151671.4210526316</v>
      </c>
      <c r="BN88" s="12">
        <v>327.63157894736838</v>
      </c>
      <c r="BO88" s="13">
        <v>0.59254064884388735</v>
      </c>
      <c r="BP88" s="11">
        <v>3916461.9360000002</v>
      </c>
      <c r="BQ88" s="11">
        <v>8176</v>
      </c>
      <c r="BR88" s="11">
        <v>76</v>
      </c>
      <c r="BS88" s="12">
        <v>154597.18168421049</v>
      </c>
      <c r="BT88" s="12">
        <v>322.73684210526318</v>
      </c>
      <c r="BU88" s="13">
        <v>0.58107818177364945</v>
      </c>
      <c r="BV88" s="11">
        <v>3596455</v>
      </c>
      <c r="BW88" s="11">
        <v>8963</v>
      </c>
      <c r="BX88" s="11">
        <v>68</v>
      </c>
      <c r="BY88" s="12">
        <v>158667.1323529412</v>
      </c>
      <c r="BZ88" s="12">
        <v>395.4264705882353</v>
      </c>
      <c r="CA88" s="13">
        <v>0.63455312680192344</v>
      </c>
      <c r="CB88" s="11">
        <v>4372818</v>
      </c>
      <c r="CC88" s="11">
        <v>11340</v>
      </c>
      <c r="CD88" s="11">
        <v>71</v>
      </c>
      <c r="CE88" s="12">
        <v>184766.9577464789</v>
      </c>
      <c r="CF88" s="12">
        <v>479.15492957746483</v>
      </c>
      <c r="CG88" s="13">
        <v>0.6482773277705427</v>
      </c>
      <c r="CJ88" s="11"/>
      <c r="CK88" s="12"/>
      <c r="CL88" s="12"/>
      <c r="CM88" s="13"/>
      <c r="CN88" s="11"/>
      <c r="CO88" s="11"/>
      <c r="CP88" s="11"/>
    </row>
    <row r="89" spans="1:94" x14ac:dyDescent="0.25">
      <c r="A89" s="20" t="s">
        <v>84</v>
      </c>
      <c r="B89" s="8">
        <v>3063851.3636363638</v>
      </c>
      <c r="C89" s="8">
        <v>5438.545454545455</v>
      </c>
      <c r="D89" s="8">
        <v>768</v>
      </c>
      <c r="E89" s="9">
        <v>131649.86328125</v>
      </c>
      <c r="F89" s="9">
        <v>233.6875</v>
      </c>
      <c r="G89" s="10">
        <v>0.53545454545454552</v>
      </c>
      <c r="H89" s="8">
        <v>2988880.1666666665</v>
      </c>
      <c r="I89" s="8">
        <v>7278.666666666667</v>
      </c>
      <c r="J89" s="8">
        <v>686</v>
      </c>
      <c r="K89" s="9">
        <v>156850.85422740525</v>
      </c>
      <c r="L89" s="9">
        <v>381.97084548104959</v>
      </c>
      <c r="M89" s="10">
        <v>0.62392209474257676</v>
      </c>
      <c r="N89" s="8">
        <f t="shared" si="14"/>
        <v>3313148.005272727</v>
      </c>
      <c r="O89" s="8">
        <f t="shared" si="15"/>
        <v>8302.454545454546</v>
      </c>
      <c r="P89" s="8">
        <f t="shared" si="16"/>
        <v>563</v>
      </c>
      <c r="Q89" s="9">
        <f t="shared" si="17"/>
        <v>194198.72855062166</v>
      </c>
      <c r="R89" s="9">
        <f t="shared" si="18"/>
        <v>486.64476021314391</v>
      </c>
      <c r="S89" s="10">
        <f t="shared" si="19"/>
        <v>0.63040483369146039</v>
      </c>
      <c r="T89" s="11">
        <v>4874199</v>
      </c>
      <c r="U89" s="11">
        <v>12037</v>
      </c>
      <c r="V89" s="11">
        <v>77</v>
      </c>
      <c r="W89" s="12">
        <v>189903.85714285719</v>
      </c>
      <c r="X89" s="12">
        <v>468.97402597402589</v>
      </c>
      <c r="Y89" s="13">
        <v>0.62874443686348824</v>
      </c>
      <c r="Z89" s="11">
        <v>3671598</v>
      </c>
      <c r="AA89" s="11">
        <v>9951</v>
      </c>
      <c r="AB89" s="11">
        <v>47</v>
      </c>
      <c r="AC89" s="12">
        <v>234357.31914893611</v>
      </c>
      <c r="AD89" s="12">
        <v>635.17021276595744</v>
      </c>
      <c r="AE89" s="13">
        <v>0.66</v>
      </c>
      <c r="AF89" s="11">
        <v>5720231</v>
      </c>
      <c r="AG89" s="11">
        <v>15503</v>
      </c>
      <c r="AH89" s="11">
        <v>61</v>
      </c>
      <c r="AI89" s="12">
        <v>281322.83606557368</v>
      </c>
      <c r="AJ89" s="12">
        <v>762.44262295081967</v>
      </c>
      <c r="AK89" s="13">
        <v>0.66</v>
      </c>
      <c r="AL89" s="11">
        <v>3957795</v>
      </c>
      <c r="AM89" s="11">
        <v>10055</v>
      </c>
      <c r="AN89" s="11">
        <v>72</v>
      </c>
      <c r="AO89" s="12">
        <v>164908.125</v>
      </c>
      <c r="AP89" s="12">
        <v>418.95833333333331</v>
      </c>
      <c r="AQ89" s="13">
        <v>0.637069698954709</v>
      </c>
      <c r="AR89" s="11">
        <v>4263659</v>
      </c>
      <c r="AS89" s="11">
        <v>11439</v>
      </c>
      <c r="AT89" s="11">
        <v>66</v>
      </c>
      <c r="AU89" s="12">
        <v>193802.68181818179</v>
      </c>
      <c r="AV89" s="12">
        <v>519.9545454545455</v>
      </c>
      <c r="AW89" s="13">
        <v>0.65669484504924225</v>
      </c>
      <c r="AX89" s="11">
        <v>2009435</v>
      </c>
      <c r="AY89" s="11">
        <v>5132</v>
      </c>
      <c r="AZ89" s="11">
        <v>45</v>
      </c>
      <c r="BA89" s="12">
        <v>133962.33333333331</v>
      </c>
      <c r="BB89" s="12">
        <v>342.13333333333333</v>
      </c>
      <c r="BC89" s="13">
        <v>0.64447534984809129</v>
      </c>
      <c r="BD89" s="11">
        <v>767375.62</v>
      </c>
      <c r="BE89" s="11">
        <v>1844</v>
      </c>
      <c r="BF89" s="11">
        <v>20</v>
      </c>
      <c r="BG89" s="12">
        <v>115106.34299999999</v>
      </c>
      <c r="BH89" s="12">
        <v>276.60000000000002</v>
      </c>
      <c r="BI89" s="13">
        <v>0.6247336118178809</v>
      </c>
      <c r="BJ89" s="11">
        <v>5318303.4380000001</v>
      </c>
      <c r="BK89" s="11">
        <v>13917</v>
      </c>
      <c r="BL89" s="11">
        <v>67</v>
      </c>
      <c r="BM89" s="12">
        <v>238132.98976119401</v>
      </c>
      <c r="BN89" s="12">
        <v>623.14925373134338</v>
      </c>
      <c r="BO89" s="13">
        <v>0.64860310243068364</v>
      </c>
      <c r="BP89" s="11">
        <v>3766729</v>
      </c>
      <c r="BQ89" s="11">
        <v>7684</v>
      </c>
      <c r="BR89" s="11">
        <v>66</v>
      </c>
      <c r="BS89" s="12">
        <v>171214.9545454545</v>
      </c>
      <c r="BT89" s="12">
        <v>349.27272727272731</v>
      </c>
      <c r="BU89" s="13">
        <v>0.57727390897062614</v>
      </c>
      <c r="BV89" s="11">
        <v>2040119</v>
      </c>
      <c r="BW89" s="11">
        <v>3613</v>
      </c>
      <c r="BX89" s="11">
        <v>40</v>
      </c>
      <c r="BY89" s="12">
        <v>153008.92499999999</v>
      </c>
      <c r="BZ89" s="12">
        <v>270.97500000000002</v>
      </c>
      <c r="CA89" s="13">
        <v>0.53685821667134181</v>
      </c>
      <c r="CB89" s="11">
        <v>55184</v>
      </c>
      <c r="CC89" s="11">
        <v>152</v>
      </c>
      <c r="CD89" s="11">
        <v>2</v>
      </c>
      <c r="CE89" s="12">
        <v>82776</v>
      </c>
      <c r="CF89" s="12">
        <v>228</v>
      </c>
      <c r="CG89" s="13">
        <v>0.66</v>
      </c>
      <c r="CJ89" s="11"/>
      <c r="CK89" s="12"/>
      <c r="CL89" s="12"/>
      <c r="CM89" s="13"/>
      <c r="CN89" s="11"/>
      <c r="CO89" s="11"/>
      <c r="CP89" s="11"/>
    </row>
    <row r="90" spans="1:94" x14ac:dyDescent="0.25">
      <c r="A90" s="20" t="s">
        <v>85</v>
      </c>
      <c r="B90" s="8">
        <v>4417116</v>
      </c>
      <c r="C90" s="8">
        <v>3854.818181818182</v>
      </c>
      <c r="D90" s="8">
        <v>767</v>
      </c>
      <c r="E90" s="9">
        <v>190045.40808344199</v>
      </c>
      <c r="F90" s="9">
        <v>165.85267275097783</v>
      </c>
      <c r="G90" s="10">
        <v>0.37727272727272732</v>
      </c>
      <c r="H90" s="8">
        <v>3649223.0366666671</v>
      </c>
      <c r="I90" s="8">
        <v>3701.8333333333335</v>
      </c>
      <c r="J90" s="8">
        <v>609</v>
      </c>
      <c r="K90" s="9">
        <v>215717.61793103453</v>
      </c>
      <c r="L90" s="9">
        <v>218.82758620689654</v>
      </c>
      <c r="M90" s="10">
        <v>0.40230894131422618</v>
      </c>
      <c r="N90" s="8">
        <f t="shared" si="14"/>
        <v>4612340.852</v>
      </c>
      <c r="O90" s="8">
        <f t="shared" si="15"/>
        <v>5398</v>
      </c>
      <c r="P90" s="8">
        <f t="shared" si="16"/>
        <v>585</v>
      </c>
      <c r="Q90" s="9">
        <f t="shared" si="17"/>
        <v>236530.30010256407</v>
      </c>
      <c r="R90" s="9">
        <f t="shared" si="18"/>
        <v>276.82051282051282</v>
      </c>
      <c r="S90" s="10">
        <f t="shared" si="19"/>
        <v>0.44556120208282746</v>
      </c>
      <c r="T90" s="11">
        <v>7621503.5199999996</v>
      </c>
      <c r="U90" s="11">
        <v>7560</v>
      </c>
      <c r="V90" s="11">
        <v>67</v>
      </c>
      <c r="W90" s="12">
        <v>341261.35164179112</v>
      </c>
      <c r="X90" s="12">
        <v>338.50746268656718</v>
      </c>
      <c r="Y90" s="13">
        <v>0.39997399680506168</v>
      </c>
      <c r="Z90" s="11">
        <v>4472459</v>
      </c>
      <c r="AA90" s="11">
        <v>4006</v>
      </c>
      <c r="AB90" s="11">
        <v>42</v>
      </c>
      <c r="AC90" s="12">
        <v>319461.35714285722</v>
      </c>
      <c r="AD90" s="12">
        <v>286.14285714285711</v>
      </c>
      <c r="AE90" s="13">
        <v>0.37999999999999989</v>
      </c>
      <c r="AF90" s="11">
        <v>5763075</v>
      </c>
      <c r="AG90" s="11">
        <v>5081</v>
      </c>
      <c r="AH90" s="11">
        <v>62</v>
      </c>
      <c r="AI90" s="12">
        <v>278858.46774193551</v>
      </c>
      <c r="AJ90" s="12">
        <v>245.85483870967741</v>
      </c>
      <c r="AK90" s="13">
        <v>0.37630506783129458</v>
      </c>
      <c r="AL90" s="11">
        <v>5969866</v>
      </c>
      <c r="AM90" s="11">
        <v>5639</v>
      </c>
      <c r="AN90" s="11">
        <v>66</v>
      </c>
      <c r="AO90" s="12">
        <v>271357.54545454553</v>
      </c>
      <c r="AP90" s="12">
        <v>256.31818181818181</v>
      </c>
      <c r="AQ90" s="13">
        <v>0.39040553691136071</v>
      </c>
      <c r="AR90" s="11">
        <v>3682193</v>
      </c>
      <c r="AS90" s="11">
        <v>5316</v>
      </c>
      <c r="AT90" s="11">
        <v>67</v>
      </c>
      <c r="AU90" s="12">
        <v>164874.3134328358</v>
      </c>
      <c r="AV90" s="12">
        <v>238.02985074626869</v>
      </c>
      <c r="AW90" s="13">
        <v>0.48490805178091728</v>
      </c>
      <c r="AX90" s="11">
        <v>3547494</v>
      </c>
      <c r="AY90" s="11">
        <v>3217</v>
      </c>
      <c r="AZ90" s="11">
        <v>55</v>
      </c>
      <c r="BA90" s="12">
        <v>193499.6727272727</v>
      </c>
      <c r="BB90" s="12">
        <v>175.4727272727273</v>
      </c>
      <c r="BC90" s="13">
        <v>0.38276373959915921</v>
      </c>
      <c r="BD90" s="11">
        <v>4057373</v>
      </c>
      <c r="BE90" s="11">
        <v>3899</v>
      </c>
      <c r="BF90" s="11">
        <v>67</v>
      </c>
      <c r="BG90" s="12">
        <v>181673.41791044781</v>
      </c>
      <c r="BH90" s="12">
        <v>174.58208955223881</v>
      </c>
      <c r="BI90" s="13">
        <v>0.39258185057831979</v>
      </c>
      <c r="BJ90" s="11">
        <v>5452739</v>
      </c>
      <c r="BK90" s="11">
        <v>5828</v>
      </c>
      <c r="BL90" s="11">
        <v>68</v>
      </c>
      <c r="BM90" s="12">
        <v>240562.01470588229</v>
      </c>
      <c r="BN90" s="12">
        <v>257.11764705882348</v>
      </c>
      <c r="BO90" s="13">
        <v>0.41560958119648089</v>
      </c>
      <c r="BP90" s="11">
        <v>4467201</v>
      </c>
      <c r="BQ90" s="11">
        <v>10940</v>
      </c>
      <c r="BR90" s="11">
        <v>72</v>
      </c>
      <c r="BS90" s="12">
        <v>186133.375</v>
      </c>
      <c r="BT90" s="12">
        <v>455.83333333333343</v>
      </c>
      <c r="BU90" s="13">
        <v>0.62589188059109901</v>
      </c>
      <c r="BV90" s="11">
        <v>1089505</v>
      </c>
      <c r="BW90" s="11">
        <v>2494</v>
      </c>
      <c r="BX90" s="11">
        <v>19</v>
      </c>
      <c r="BY90" s="12">
        <v>172027.10526315789</v>
      </c>
      <c r="BZ90" s="12">
        <v>393.78947368421052</v>
      </c>
      <c r="CA90" s="13">
        <v>0.60717231553458173</v>
      </c>
      <c r="CB90" s="11"/>
      <c r="CC90" s="11"/>
      <c r="CD90" s="11"/>
      <c r="CE90" s="12"/>
      <c r="CF90" s="12"/>
      <c r="CG90" s="13"/>
      <c r="CJ90" s="11"/>
      <c r="CK90" s="12"/>
      <c r="CL90" s="12"/>
      <c r="CM90" s="13"/>
      <c r="CN90" s="11"/>
      <c r="CO90" s="11"/>
      <c r="CP90" s="11"/>
    </row>
    <row r="91" spans="1:94" x14ac:dyDescent="0.25">
      <c r="A91" s="20" t="s">
        <v>86</v>
      </c>
      <c r="B91" s="8">
        <v>3300186.1818181816</v>
      </c>
      <c r="C91" s="8">
        <v>8298.363636363636</v>
      </c>
      <c r="D91" s="8">
        <v>642</v>
      </c>
      <c r="E91" s="9">
        <v>169635.738317757</v>
      </c>
      <c r="F91" s="9">
        <v>426.55140186915884</v>
      </c>
      <c r="G91" s="10">
        <v>0.63818181818181818</v>
      </c>
      <c r="H91" s="8">
        <v>3193589.2583333333</v>
      </c>
      <c r="I91" s="8">
        <v>10061.5</v>
      </c>
      <c r="J91" s="8">
        <v>620</v>
      </c>
      <c r="K91" s="9">
        <v>185434.215</v>
      </c>
      <c r="L91" s="9">
        <v>584.2161290322581</v>
      </c>
      <c r="M91" s="10">
        <v>0.71103914592190176</v>
      </c>
      <c r="N91" s="8">
        <f t="shared" si="14"/>
        <v>3989135.368888889</v>
      </c>
      <c r="O91" s="8">
        <f t="shared" si="15"/>
        <v>10782.666666666666</v>
      </c>
      <c r="P91" s="8">
        <f t="shared" si="16"/>
        <v>460</v>
      </c>
      <c r="Q91" s="9">
        <f t="shared" si="17"/>
        <v>234144.90208695651</v>
      </c>
      <c r="R91" s="9">
        <f t="shared" si="18"/>
        <v>632.89565217391305</v>
      </c>
      <c r="S91" s="10">
        <f t="shared" si="19"/>
        <v>0.65624341450862111</v>
      </c>
      <c r="T91" s="11">
        <v>6426416</v>
      </c>
      <c r="U91" s="11">
        <v>19336</v>
      </c>
      <c r="V91" s="11">
        <v>72</v>
      </c>
      <c r="W91" s="12">
        <v>267767.33333333337</v>
      </c>
      <c r="X91" s="12">
        <v>805.66666666666663</v>
      </c>
      <c r="Y91" s="13">
        <v>0.69544462065980128</v>
      </c>
      <c r="Z91" s="11">
        <v>3336403</v>
      </c>
      <c r="AA91" s="11">
        <v>8818</v>
      </c>
      <c r="AB91" s="11">
        <v>45</v>
      </c>
      <c r="AC91" s="12">
        <v>222426.86666666661</v>
      </c>
      <c r="AD91" s="12">
        <v>587.86666666666667</v>
      </c>
      <c r="AE91" s="13">
        <v>0.64937174773105799</v>
      </c>
      <c r="AF91" s="11">
        <v>3866044</v>
      </c>
      <c r="AG91" s="11">
        <v>10478</v>
      </c>
      <c r="AH91" s="11">
        <v>43</v>
      </c>
      <c r="AI91" s="12">
        <v>269724</v>
      </c>
      <c r="AJ91" s="12">
        <v>731.02325581395348</v>
      </c>
      <c r="AK91" s="13">
        <v>0.66</v>
      </c>
      <c r="AL91" s="11">
        <v>3935201</v>
      </c>
      <c r="AM91" s="11">
        <v>9723</v>
      </c>
      <c r="AN91" s="11">
        <v>61</v>
      </c>
      <c r="AO91" s="12">
        <v>193534.4754098361</v>
      </c>
      <c r="AP91" s="12">
        <v>478.18032786885249</v>
      </c>
      <c r="AQ91" s="13">
        <v>0.63206690757257622</v>
      </c>
      <c r="AR91" s="11">
        <v>6085428</v>
      </c>
      <c r="AS91" s="11">
        <v>16506</v>
      </c>
      <c r="AT91" s="11">
        <v>69</v>
      </c>
      <c r="AU91" s="12">
        <v>264583.82608695648</v>
      </c>
      <c r="AV91" s="12">
        <v>717.6521739130435</v>
      </c>
      <c r="AW91" s="13">
        <v>0.66</v>
      </c>
      <c r="AX91" s="11">
        <v>3732317.1880000001</v>
      </c>
      <c r="AY91" s="11">
        <v>10141</v>
      </c>
      <c r="AZ91" s="11">
        <v>52</v>
      </c>
      <c r="BA91" s="12">
        <v>215325.99161538461</v>
      </c>
      <c r="BB91" s="12">
        <v>585.05769230769238</v>
      </c>
      <c r="BC91" s="13">
        <v>0.66</v>
      </c>
      <c r="BD91" s="11">
        <v>4219883.6940000001</v>
      </c>
      <c r="BE91" s="11">
        <v>11304</v>
      </c>
      <c r="BF91" s="11">
        <v>62</v>
      </c>
      <c r="BG91" s="12">
        <v>204187.92067741929</v>
      </c>
      <c r="BH91" s="12">
        <v>546.9677419354839</v>
      </c>
      <c r="BI91" s="13">
        <v>0.6562582630095406</v>
      </c>
      <c r="BJ91" s="11">
        <v>4174707.4380000001</v>
      </c>
      <c r="BK91" s="11">
        <v>10397</v>
      </c>
      <c r="BL91" s="11">
        <v>53</v>
      </c>
      <c r="BM91" s="12">
        <v>236304.19460377359</v>
      </c>
      <c r="BN91" s="12">
        <v>588.50943396226421</v>
      </c>
      <c r="BO91" s="13">
        <v>0.63304919160461282</v>
      </c>
      <c r="BP91" s="11">
        <v>125818</v>
      </c>
      <c r="BQ91" s="11">
        <v>341</v>
      </c>
      <c r="BR91" s="11">
        <v>3</v>
      </c>
      <c r="BS91" s="12">
        <v>125818</v>
      </c>
      <c r="BT91" s="12">
        <v>341</v>
      </c>
      <c r="BU91" s="13">
        <v>0.66</v>
      </c>
      <c r="BV91" s="11"/>
      <c r="BW91" s="11"/>
      <c r="BX91" s="11"/>
      <c r="BY91" s="12"/>
      <c r="BZ91" s="12"/>
      <c r="CA91" s="13"/>
      <c r="CB91" s="11"/>
      <c r="CC91" s="11"/>
      <c r="CD91" s="11"/>
      <c r="CE91" s="12"/>
      <c r="CF91" s="12"/>
      <c r="CG91" s="13"/>
      <c r="CJ91" s="11"/>
      <c r="CK91" s="12"/>
      <c r="CL91" s="12"/>
      <c r="CM91" s="13"/>
      <c r="CN91" s="11"/>
      <c r="CO91" s="11"/>
      <c r="CP91" s="11"/>
    </row>
    <row r="92" spans="1:94" x14ac:dyDescent="0.25">
      <c r="A92" s="20" t="s">
        <v>87</v>
      </c>
      <c r="B92" s="8">
        <v>5125001.1818181816</v>
      </c>
      <c r="C92" s="8">
        <v>5588.636363636364</v>
      </c>
      <c r="D92" s="8">
        <v>778</v>
      </c>
      <c r="E92" s="9">
        <v>217384.36889460153</v>
      </c>
      <c r="F92" s="9">
        <v>237.05012853470436</v>
      </c>
      <c r="G92" s="10">
        <v>0.43636363636363634</v>
      </c>
      <c r="H92" s="8">
        <v>3803898.9490909087</v>
      </c>
      <c r="I92" s="8">
        <v>6240.272727272727</v>
      </c>
      <c r="J92" s="8">
        <v>509</v>
      </c>
      <c r="K92" s="9">
        <v>246618.20298624755</v>
      </c>
      <c r="L92" s="9">
        <v>404.57563850687626</v>
      </c>
      <c r="M92" s="10">
        <v>0.51267456076467433</v>
      </c>
      <c r="N92" s="8">
        <f t="shared" si="14"/>
        <v>8707874.1818181816</v>
      </c>
      <c r="O92" s="8">
        <f t="shared" si="15"/>
        <v>13634.454545454546</v>
      </c>
      <c r="P92" s="8">
        <f t="shared" si="16"/>
        <v>787</v>
      </c>
      <c r="Q92" s="9">
        <f t="shared" si="17"/>
        <v>365133.2249047014</v>
      </c>
      <c r="R92" s="9">
        <f t="shared" si="18"/>
        <v>571.71156289707756</v>
      </c>
      <c r="S92" s="10">
        <f t="shared" si="19"/>
        <v>0.50692762295830418</v>
      </c>
      <c r="T92" s="11">
        <v>9900279</v>
      </c>
      <c r="U92" s="11">
        <v>19973</v>
      </c>
      <c r="V92" s="11">
        <v>82</v>
      </c>
      <c r="W92" s="12">
        <v>362205.3292682927</v>
      </c>
      <c r="X92" s="12">
        <v>730.71951219512198</v>
      </c>
      <c r="Y92" s="13">
        <v>0.56918392119692962</v>
      </c>
      <c r="Z92" s="11">
        <v>7809956</v>
      </c>
      <c r="AA92" s="11">
        <v>9078</v>
      </c>
      <c r="AB92" s="11">
        <v>65</v>
      </c>
      <c r="AC92" s="12">
        <v>360459.5076923077</v>
      </c>
      <c r="AD92" s="12">
        <v>418.98461538461538</v>
      </c>
      <c r="AE92" s="13">
        <v>0.43211364343434538</v>
      </c>
      <c r="AF92" s="11">
        <v>11156242</v>
      </c>
      <c r="AG92" s="11">
        <v>12308</v>
      </c>
      <c r="AH92" s="11">
        <v>70</v>
      </c>
      <c r="AI92" s="12">
        <v>478124.65714285709</v>
      </c>
      <c r="AJ92" s="12">
        <v>527.48571428571427</v>
      </c>
      <c r="AK92" s="13">
        <v>0.42117878583125579</v>
      </c>
      <c r="AL92" s="11">
        <v>6916274</v>
      </c>
      <c r="AM92" s="11">
        <v>16686</v>
      </c>
      <c r="AN92" s="11">
        <v>75</v>
      </c>
      <c r="AO92" s="12">
        <v>276650.96000000002</v>
      </c>
      <c r="AP92" s="12">
        <v>667.43999999999994</v>
      </c>
      <c r="AQ92" s="13">
        <v>0.62132812545724003</v>
      </c>
      <c r="AR92" s="11">
        <v>7014185</v>
      </c>
      <c r="AS92" s="11">
        <v>15132</v>
      </c>
      <c r="AT92" s="11">
        <v>72</v>
      </c>
      <c r="AU92" s="12">
        <v>292257.70833333331</v>
      </c>
      <c r="AV92" s="12">
        <v>630.5</v>
      </c>
      <c r="AW92" s="13">
        <v>0.58831570982808967</v>
      </c>
      <c r="AX92" s="11">
        <v>6699260</v>
      </c>
      <c r="AY92" s="11">
        <v>15420</v>
      </c>
      <c r="AZ92" s="11">
        <v>66</v>
      </c>
      <c r="BA92" s="12">
        <v>304511.81818181818</v>
      </c>
      <c r="BB92" s="12">
        <v>700.90909090909088</v>
      </c>
      <c r="BC92" s="13">
        <v>0.60851600490104518</v>
      </c>
      <c r="BD92" s="11">
        <v>8004366</v>
      </c>
      <c r="BE92" s="11">
        <v>13244</v>
      </c>
      <c r="BF92" s="11">
        <v>65</v>
      </c>
      <c r="BG92" s="12">
        <v>369432.27692307689</v>
      </c>
      <c r="BH92" s="12">
        <v>611.26153846153852</v>
      </c>
      <c r="BI92" s="13">
        <v>0.51546056109922789</v>
      </c>
      <c r="BJ92" s="11">
        <v>10683386</v>
      </c>
      <c r="BK92" s="11">
        <v>12829</v>
      </c>
      <c r="BL92" s="11">
        <v>74</v>
      </c>
      <c r="BM92" s="12">
        <v>433110.24324324331</v>
      </c>
      <c r="BN92" s="12">
        <v>520.09459459459458</v>
      </c>
      <c r="BO92" s="13">
        <v>0.43936959174770879</v>
      </c>
      <c r="BP92" s="11">
        <v>11806191</v>
      </c>
      <c r="BQ92" s="11">
        <v>11211</v>
      </c>
      <c r="BR92" s="11">
        <v>75</v>
      </c>
      <c r="BS92" s="12">
        <v>472247.64</v>
      </c>
      <c r="BT92" s="12">
        <v>448.43999999999988</v>
      </c>
      <c r="BU92" s="13">
        <v>0.38996846069738339</v>
      </c>
      <c r="BV92" s="11">
        <v>8853576</v>
      </c>
      <c r="BW92" s="11">
        <v>13153</v>
      </c>
      <c r="BX92" s="11">
        <v>73</v>
      </c>
      <c r="BY92" s="12">
        <v>363845.58904109593</v>
      </c>
      <c r="BZ92" s="12">
        <v>540.53424657534242</v>
      </c>
      <c r="CA92" s="13">
        <v>0.48800523943299201</v>
      </c>
      <c r="CB92" s="11">
        <v>6942901</v>
      </c>
      <c r="CC92" s="11">
        <v>10945</v>
      </c>
      <c r="CD92" s="11">
        <v>70</v>
      </c>
      <c r="CE92" s="12">
        <v>297552.90000000002</v>
      </c>
      <c r="CF92" s="12">
        <v>469.07142857142861</v>
      </c>
      <c r="CG92" s="13">
        <v>0.5027638089151284</v>
      </c>
      <c r="CJ92" s="11"/>
      <c r="CK92" s="12"/>
      <c r="CL92" s="12"/>
      <c r="CM92" s="13"/>
      <c r="CN92" s="11"/>
      <c r="CO92" s="11"/>
      <c r="CP92" s="11"/>
    </row>
    <row r="93" spans="1:94" x14ac:dyDescent="0.25">
      <c r="A93" s="20" t="s">
        <v>88</v>
      </c>
      <c r="B93" s="8">
        <v>2474632.1818181816</v>
      </c>
      <c r="C93" s="8">
        <v>3008.4545454545455</v>
      </c>
      <c r="D93" s="8">
        <v>771</v>
      </c>
      <c r="E93" s="9">
        <v>105918.10894941635</v>
      </c>
      <c r="F93" s="9">
        <v>128.76653696498056</v>
      </c>
      <c r="G93" s="10">
        <v>0.44545454545454549</v>
      </c>
      <c r="H93" s="8">
        <v>3800719.5072727264</v>
      </c>
      <c r="I93" s="8">
        <v>4214.090909090909</v>
      </c>
      <c r="J93" s="8">
        <v>477</v>
      </c>
      <c r="K93" s="9">
        <v>262942.85899371066</v>
      </c>
      <c r="L93" s="9">
        <v>291.54088050314465</v>
      </c>
      <c r="M93" s="10">
        <v>0.42120874231268918</v>
      </c>
      <c r="N93" s="8">
        <f t="shared" si="14"/>
        <v>5643479.8372727279</v>
      </c>
      <c r="O93" s="8">
        <f t="shared" si="15"/>
        <v>9080.181818181818</v>
      </c>
      <c r="P93" s="8">
        <f t="shared" si="16"/>
        <v>746</v>
      </c>
      <c r="Q93" s="9">
        <f t="shared" si="17"/>
        <v>249644.55044235929</v>
      </c>
      <c r="R93" s="9">
        <f t="shared" si="18"/>
        <v>401.6702412868633</v>
      </c>
      <c r="S93" s="10">
        <f t="shared" si="19"/>
        <v>0.49066424109490908</v>
      </c>
      <c r="T93" s="11">
        <v>2929766.3999999999</v>
      </c>
      <c r="U93" s="11">
        <v>3068</v>
      </c>
      <c r="V93" s="11">
        <v>57</v>
      </c>
      <c r="W93" s="12">
        <v>154198.23157894739</v>
      </c>
      <c r="X93" s="12">
        <v>161.4736842105263</v>
      </c>
      <c r="Y93" s="13">
        <v>0.40229017434314002</v>
      </c>
      <c r="Z93" s="11">
        <v>2951858.92</v>
      </c>
      <c r="AA93" s="11">
        <v>3929</v>
      </c>
      <c r="AB93" s="11">
        <v>68</v>
      </c>
      <c r="AC93" s="12">
        <v>130229.07</v>
      </c>
      <c r="AD93" s="12">
        <v>173.33823529411771</v>
      </c>
      <c r="AE93" s="13">
        <v>0.45390163824784679</v>
      </c>
      <c r="AF93" s="11">
        <v>4674239.04</v>
      </c>
      <c r="AG93" s="11">
        <v>5417</v>
      </c>
      <c r="AH93" s="11">
        <v>66</v>
      </c>
      <c r="AI93" s="12">
        <v>212465.41090909089</v>
      </c>
      <c r="AJ93" s="12">
        <v>246.22727272727269</v>
      </c>
      <c r="AK93" s="13">
        <v>0.42656879583700391</v>
      </c>
      <c r="AL93" s="11">
        <v>8640313.5600000005</v>
      </c>
      <c r="AM93" s="11">
        <v>8866</v>
      </c>
      <c r="AN93" s="11">
        <v>71</v>
      </c>
      <c r="AO93" s="12">
        <v>365083.67154929577</v>
      </c>
      <c r="AP93" s="12">
        <v>374.61971830985908</v>
      </c>
      <c r="AQ93" s="13">
        <v>0.40500633640042721</v>
      </c>
      <c r="AR93" s="11">
        <v>8517112.6400000006</v>
      </c>
      <c r="AS93" s="11">
        <v>16870</v>
      </c>
      <c r="AT93" s="11">
        <v>72</v>
      </c>
      <c r="AU93" s="12">
        <v>354879.69333333342</v>
      </c>
      <c r="AV93" s="12">
        <v>702.91666666666663</v>
      </c>
      <c r="AW93" s="13">
        <v>0.56424562304417147</v>
      </c>
      <c r="AX93" s="11">
        <v>7234538</v>
      </c>
      <c r="AY93" s="11">
        <v>13050</v>
      </c>
      <c r="AZ93" s="11">
        <v>67</v>
      </c>
      <c r="BA93" s="12">
        <v>323934.53731343278</v>
      </c>
      <c r="BB93" s="12">
        <v>584.32835820895525</v>
      </c>
      <c r="BC93" s="13">
        <v>0.53895181146365145</v>
      </c>
      <c r="BD93" s="11">
        <v>7059657</v>
      </c>
      <c r="BE93" s="11">
        <v>18261</v>
      </c>
      <c r="BF93" s="11">
        <v>71</v>
      </c>
      <c r="BG93" s="12">
        <v>298295.36619718309</v>
      </c>
      <c r="BH93" s="12">
        <v>771.59154929577471</v>
      </c>
      <c r="BI93" s="13">
        <v>0.6441870287651118</v>
      </c>
      <c r="BJ93" s="11">
        <v>4305449.34</v>
      </c>
      <c r="BK93" s="11">
        <v>7967</v>
      </c>
      <c r="BL93" s="11">
        <v>65</v>
      </c>
      <c r="BM93" s="12">
        <v>198713.0464615385</v>
      </c>
      <c r="BN93" s="12">
        <v>367.7076923076923</v>
      </c>
      <c r="BO93" s="13">
        <v>0.54668824702846985</v>
      </c>
      <c r="BP93" s="11">
        <v>3329777.47</v>
      </c>
      <c r="BQ93" s="11">
        <v>4162</v>
      </c>
      <c r="BR93" s="11">
        <v>63</v>
      </c>
      <c r="BS93" s="12">
        <v>158560.8319047619</v>
      </c>
      <c r="BT93" s="12">
        <v>198.1904761904762</v>
      </c>
      <c r="BU93" s="13">
        <v>0.44639694218685899</v>
      </c>
      <c r="BV93" s="11">
        <v>6517887.8399999999</v>
      </c>
      <c r="BW93" s="11">
        <v>7263</v>
      </c>
      <c r="BX93" s="11">
        <v>74</v>
      </c>
      <c r="BY93" s="12">
        <v>264238.69621621619</v>
      </c>
      <c r="BZ93" s="12">
        <v>294.44594594594588</v>
      </c>
      <c r="CA93" s="13">
        <v>0.42092297613406188</v>
      </c>
      <c r="CB93" s="11">
        <v>5917678</v>
      </c>
      <c r="CC93" s="11">
        <v>11029</v>
      </c>
      <c r="CD93" s="11">
        <v>72</v>
      </c>
      <c r="CE93" s="12">
        <v>246569.91666666669</v>
      </c>
      <c r="CF93" s="12">
        <v>459.54166666666657</v>
      </c>
      <c r="CG93" s="13">
        <v>0.54814707859325684</v>
      </c>
      <c r="CJ93" s="11"/>
      <c r="CK93" s="12"/>
      <c r="CL93" s="12"/>
      <c r="CM93" s="13"/>
      <c r="CN93" s="11"/>
      <c r="CO93" s="11"/>
      <c r="CP93" s="11"/>
    </row>
    <row r="94" spans="1:94" x14ac:dyDescent="0.25">
      <c r="A94" s="20" t="s">
        <v>89</v>
      </c>
      <c r="B94" s="8" t="s">
        <v>27</v>
      </c>
      <c r="C94" s="8" t="s">
        <v>27</v>
      </c>
      <c r="D94" s="8">
        <v>0</v>
      </c>
      <c r="E94" s="9" t="s">
        <v>27</v>
      </c>
      <c r="F94" s="9" t="s">
        <v>27</v>
      </c>
      <c r="G94" s="10" t="s">
        <v>27</v>
      </c>
      <c r="H94" s="8" t="s">
        <v>27</v>
      </c>
      <c r="I94" s="8" t="s">
        <v>27</v>
      </c>
      <c r="J94" s="8">
        <v>0</v>
      </c>
      <c r="K94" s="9" t="s">
        <v>27</v>
      </c>
      <c r="L94" s="9" t="s">
        <v>27</v>
      </c>
      <c r="M94" s="10"/>
      <c r="N94" s="8" t="str">
        <f t="shared" si="14"/>
        <v xml:space="preserve"> </v>
      </c>
      <c r="O94" s="8" t="str">
        <f t="shared" si="15"/>
        <v xml:space="preserve"> </v>
      </c>
      <c r="P94" s="8">
        <f t="shared" si="16"/>
        <v>0</v>
      </c>
      <c r="Q94" s="9" t="str">
        <f t="shared" si="17"/>
        <v xml:space="preserve"> </v>
      </c>
      <c r="R94" s="9" t="str">
        <f t="shared" si="18"/>
        <v xml:space="preserve"> </v>
      </c>
      <c r="S94" s="10" t="str">
        <f t="shared" si="19"/>
        <v xml:space="preserve"> </v>
      </c>
      <c r="T94" s="11"/>
      <c r="U94" s="11"/>
      <c r="V94" s="11"/>
      <c r="W94" s="12"/>
      <c r="X94" s="12"/>
      <c r="Y94" s="13"/>
      <c r="Z94" s="11"/>
      <c r="AA94" s="11"/>
      <c r="AB94" s="11"/>
      <c r="AC94" s="12"/>
      <c r="AD94" s="12"/>
      <c r="AE94" s="13"/>
      <c r="AF94" s="11"/>
      <c r="AG94" s="11"/>
      <c r="AH94" s="11"/>
      <c r="AI94" s="12"/>
      <c r="AJ94" s="12"/>
      <c r="AK94" s="13"/>
      <c r="AL94" s="11"/>
      <c r="AM94" s="11"/>
      <c r="AN94" s="11"/>
      <c r="AO94" s="12"/>
      <c r="AP94" s="12"/>
      <c r="AQ94" s="13"/>
      <c r="AR94" s="11"/>
      <c r="AS94" s="11"/>
      <c r="AT94" s="11"/>
      <c r="AU94" s="12"/>
      <c r="AV94" s="12"/>
      <c r="AW94" s="13"/>
      <c r="AX94" s="11"/>
      <c r="AY94" s="11"/>
      <c r="AZ94" s="11"/>
      <c r="BA94" s="12"/>
      <c r="BB94" s="12"/>
      <c r="BC94" s="13"/>
      <c r="BD94" s="11"/>
      <c r="BE94" s="11"/>
      <c r="BF94" s="11"/>
      <c r="BG94" s="12"/>
      <c r="BH94" s="12"/>
      <c r="BI94" s="13"/>
      <c r="BJ94" s="11"/>
      <c r="BK94" s="11"/>
      <c r="BL94" s="11"/>
      <c r="BM94" s="12"/>
      <c r="BN94" s="12"/>
      <c r="BO94" s="13"/>
      <c r="BP94" s="11"/>
      <c r="BQ94" s="11"/>
      <c r="BR94" s="11"/>
      <c r="BS94" s="12"/>
      <c r="BT94" s="12"/>
      <c r="BU94" s="13"/>
      <c r="BV94" s="11"/>
      <c r="BW94" s="11"/>
      <c r="BX94" s="11"/>
      <c r="BY94" s="12"/>
      <c r="BZ94" s="12"/>
      <c r="CA94" s="13"/>
      <c r="CB94" s="11"/>
      <c r="CC94" s="11"/>
      <c r="CD94" s="11"/>
      <c r="CE94" s="12"/>
      <c r="CF94" s="12"/>
      <c r="CG94" s="13"/>
      <c r="CJ94" s="11"/>
      <c r="CK94" s="12"/>
      <c r="CL94" s="12"/>
      <c r="CM94" s="13"/>
      <c r="CN94" s="11"/>
      <c r="CO94" s="11"/>
      <c r="CP94" s="11"/>
    </row>
    <row r="95" spans="1:94" x14ac:dyDescent="0.25">
      <c r="A95" s="20" t="s">
        <v>90</v>
      </c>
      <c r="B95" s="8">
        <v>1008433.4545454546</v>
      </c>
      <c r="C95" s="8">
        <v>130521.18181818182</v>
      </c>
      <c r="D95" s="8">
        <v>638</v>
      </c>
      <c r="E95" s="9">
        <v>52160.351097178682</v>
      </c>
      <c r="F95" s="9">
        <v>6751.0956112852655</v>
      </c>
      <c r="G95" s="10">
        <v>5.6036363636363644</v>
      </c>
      <c r="H95" s="8">
        <v>1058937.9745833329</v>
      </c>
      <c r="I95" s="8">
        <v>156535.16666666666</v>
      </c>
      <c r="J95" s="8">
        <v>787</v>
      </c>
      <c r="K95" s="9">
        <v>48439.348265565415</v>
      </c>
      <c r="L95" s="9">
        <v>7160.4396442185516</v>
      </c>
      <c r="M95" s="10">
        <v>4.90495064574446</v>
      </c>
      <c r="N95" s="8">
        <f t="shared" si="14"/>
        <v>1233286.499090909</v>
      </c>
      <c r="O95" s="8">
        <f t="shared" si="15"/>
        <v>169380.72727272726</v>
      </c>
      <c r="P95" s="8">
        <f t="shared" si="16"/>
        <v>800</v>
      </c>
      <c r="Q95" s="9">
        <f t="shared" si="17"/>
        <v>50873.068087499996</v>
      </c>
      <c r="R95" s="9">
        <f t="shared" si="18"/>
        <v>6986.9549999999999</v>
      </c>
      <c r="S95" s="10">
        <f t="shared" si="19"/>
        <v>4.7770728045703716</v>
      </c>
      <c r="T95" s="11">
        <v>1330711.48</v>
      </c>
      <c r="U95" s="11">
        <v>192827</v>
      </c>
      <c r="V95" s="11">
        <v>78</v>
      </c>
      <c r="W95" s="12">
        <v>51181.210769230769</v>
      </c>
      <c r="X95" s="12">
        <v>7416.423076923078</v>
      </c>
      <c r="Y95" s="13">
        <v>4.847081360697814</v>
      </c>
      <c r="Z95" s="11">
        <v>1505134.7649999999</v>
      </c>
      <c r="AA95" s="11">
        <v>176307</v>
      </c>
      <c r="AB95" s="11">
        <v>71</v>
      </c>
      <c r="AC95" s="12">
        <v>63597.243591549282</v>
      </c>
      <c r="AD95" s="12">
        <v>7449.5915492957756</v>
      </c>
      <c r="AE95" s="13">
        <v>4.3575408432904199</v>
      </c>
      <c r="AF95" s="11">
        <v>1415874.125</v>
      </c>
      <c r="AG95" s="11">
        <v>182444</v>
      </c>
      <c r="AH95" s="11">
        <v>70</v>
      </c>
      <c r="AI95" s="12">
        <v>60680.319642857139</v>
      </c>
      <c r="AJ95" s="12">
        <v>7819.028571428571</v>
      </c>
      <c r="AK95" s="13">
        <v>4.5706402567479696</v>
      </c>
      <c r="AL95" s="11">
        <v>1657217.64</v>
      </c>
      <c r="AM95" s="11">
        <v>186999</v>
      </c>
      <c r="AN95" s="11">
        <v>80</v>
      </c>
      <c r="AO95" s="12">
        <v>62145.661500000002</v>
      </c>
      <c r="AP95" s="12">
        <v>7012.4625000000005</v>
      </c>
      <c r="AQ95" s="13">
        <v>4.2770044838985557</v>
      </c>
      <c r="AR95" s="11">
        <v>893295.7</v>
      </c>
      <c r="AS95" s="11">
        <v>128798</v>
      </c>
      <c r="AT95" s="11">
        <v>81</v>
      </c>
      <c r="AU95" s="12">
        <v>33085.025925925933</v>
      </c>
      <c r="AV95" s="12">
        <v>4770.2962962962974</v>
      </c>
      <c r="AW95" s="13">
        <v>4.8355863762069999</v>
      </c>
      <c r="AX95" s="11">
        <v>870486.17</v>
      </c>
      <c r="AY95" s="11">
        <v>135844</v>
      </c>
      <c r="AZ95" s="11">
        <v>64</v>
      </c>
      <c r="BA95" s="12">
        <v>40804.039218749997</v>
      </c>
      <c r="BB95" s="12">
        <v>6367.6875</v>
      </c>
      <c r="BC95" s="13">
        <v>5.0302264708828508</v>
      </c>
      <c r="BD95" s="11">
        <v>1195518.7749999999</v>
      </c>
      <c r="BE95" s="11">
        <v>154608</v>
      </c>
      <c r="BF95" s="11">
        <v>68</v>
      </c>
      <c r="BG95" s="12">
        <v>52743.475367647057</v>
      </c>
      <c r="BH95" s="12">
        <v>6820.9411764705874</v>
      </c>
      <c r="BI95" s="13">
        <v>4.5789717991168244</v>
      </c>
      <c r="BJ95" s="11">
        <v>1552480.575</v>
      </c>
      <c r="BK95" s="11">
        <v>199686</v>
      </c>
      <c r="BL95" s="11">
        <v>70</v>
      </c>
      <c r="BM95" s="12">
        <v>66534.881785714286</v>
      </c>
      <c r="BN95" s="12">
        <v>8557.971428571429</v>
      </c>
      <c r="BO95" s="13">
        <v>4.5666556088539219</v>
      </c>
      <c r="BP95" s="11">
        <v>1302915.5</v>
      </c>
      <c r="BQ95" s="11">
        <v>192635</v>
      </c>
      <c r="BR95" s="11">
        <v>77</v>
      </c>
      <c r="BS95" s="12">
        <v>50762.941558441547</v>
      </c>
      <c r="BT95" s="12">
        <v>7505.2597402597403</v>
      </c>
      <c r="BU95" s="13">
        <v>4.8961258145347806</v>
      </c>
      <c r="BV95" s="11">
        <v>783728.4</v>
      </c>
      <c r="BW95" s="11">
        <v>157080</v>
      </c>
      <c r="BX95" s="11">
        <v>68</v>
      </c>
      <c r="BY95" s="12">
        <v>34576.25294117647</v>
      </c>
      <c r="BZ95" s="12">
        <v>6930</v>
      </c>
      <c r="CA95" s="13">
        <v>5.7009642183926168</v>
      </c>
      <c r="CB95" s="11">
        <v>1058788.3600000001</v>
      </c>
      <c r="CC95" s="11">
        <v>155960</v>
      </c>
      <c r="CD95" s="11">
        <v>73</v>
      </c>
      <c r="CE95" s="12">
        <v>43511.850410958912</v>
      </c>
      <c r="CF95" s="12">
        <v>6409.3150684931506</v>
      </c>
      <c r="CG95" s="13">
        <v>4.8870036176513336</v>
      </c>
      <c r="CJ95" s="11"/>
      <c r="CK95" s="12"/>
      <c r="CL95" s="12"/>
      <c r="CM95" s="13"/>
      <c r="CN95" s="11"/>
      <c r="CO95" s="11"/>
      <c r="CP95" s="11"/>
    </row>
    <row r="96" spans="1:94" x14ac:dyDescent="0.25">
      <c r="A96" s="20" t="s">
        <v>91</v>
      </c>
      <c r="B96" s="8">
        <v>3430787.6363636362</v>
      </c>
      <c r="C96" s="8">
        <v>56173.36363636364</v>
      </c>
      <c r="D96" s="8">
        <v>849</v>
      </c>
      <c r="E96" s="9">
        <v>133352.16961130744</v>
      </c>
      <c r="F96" s="9">
        <v>2183.416961130742</v>
      </c>
      <c r="G96" s="10">
        <v>1.6409090909090909</v>
      </c>
      <c r="H96" s="8">
        <v>2931812.9741666666</v>
      </c>
      <c r="I96" s="8">
        <v>49616</v>
      </c>
      <c r="J96" s="8">
        <v>850</v>
      </c>
      <c r="K96" s="9">
        <v>124170.90243529412</v>
      </c>
      <c r="L96" s="9">
        <v>2101.3835294117648</v>
      </c>
      <c r="M96" s="10">
        <v>1.6557346495190179</v>
      </c>
      <c r="N96" s="8">
        <f t="shared" si="14"/>
        <v>3164422.0363636361</v>
      </c>
      <c r="O96" s="8">
        <f t="shared" si="15"/>
        <v>53450.181818181816</v>
      </c>
      <c r="P96" s="8">
        <f t="shared" si="16"/>
        <v>829</v>
      </c>
      <c r="Q96" s="9">
        <f t="shared" si="17"/>
        <v>125966.1365500603</v>
      </c>
      <c r="R96" s="9">
        <f t="shared" si="18"/>
        <v>2127.6911942098914</v>
      </c>
      <c r="S96" s="10">
        <f t="shared" si="19"/>
        <v>1.6575952352691343</v>
      </c>
      <c r="T96" s="11">
        <v>3147444.45</v>
      </c>
      <c r="U96" s="11">
        <v>48940</v>
      </c>
      <c r="V96" s="11">
        <v>73</v>
      </c>
      <c r="W96" s="12">
        <v>129347.0321917808</v>
      </c>
      <c r="X96" s="12">
        <v>2011.232876712329</v>
      </c>
      <c r="Y96" s="13">
        <v>1.58742554268902</v>
      </c>
      <c r="Z96" s="11">
        <v>3084128.3</v>
      </c>
      <c r="AA96" s="11">
        <v>52016</v>
      </c>
      <c r="AB96" s="11">
        <v>72</v>
      </c>
      <c r="AC96" s="12">
        <v>128505.3458333334</v>
      </c>
      <c r="AD96" s="12">
        <v>2167.333333333333</v>
      </c>
      <c r="AE96" s="13">
        <v>1.6532659151004681</v>
      </c>
      <c r="AF96" s="11">
        <v>3338519.05</v>
      </c>
      <c r="AG96" s="11">
        <v>60379</v>
      </c>
      <c r="AH96" s="11">
        <v>78</v>
      </c>
      <c r="AI96" s="12">
        <v>128404.5788461538</v>
      </c>
      <c r="AJ96" s="12">
        <v>2322.26923076923</v>
      </c>
      <c r="AK96" s="13">
        <v>1.7113556774399881</v>
      </c>
      <c r="AL96" s="11">
        <v>3431935.7</v>
      </c>
      <c r="AM96" s="11">
        <v>55291</v>
      </c>
      <c r="AN96" s="11">
        <v>81</v>
      </c>
      <c r="AO96" s="12">
        <v>127108.7296296296</v>
      </c>
      <c r="AP96" s="12">
        <v>2047.814814814815</v>
      </c>
      <c r="AQ96" s="13">
        <v>1.6152234676632931</v>
      </c>
      <c r="AR96" s="11">
        <v>3182766.25</v>
      </c>
      <c r="AS96" s="11">
        <v>55722</v>
      </c>
      <c r="AT96" s="11">
        <v>82</v>
      </c>
      <c r="AU96" s="12">
        <v>116442.6676829268</v>
      </c>
      <c r="AV96" s="12">
        <v>2038.6097560975611</v>
      </c>
      <c r="AW96" s="13">
        <v>1.6838789113804</v>
      </c>
      <c r="AX96" s="11">
        <v>2446652.75</v>
      </c>
      <c r="AY96" s="11">
        <v>48495</v>
      </c>
      <c r="AZ96" s="11">
        <v>69</v>
      </c>
      <c r="BA96" s="12">
        <v>106376.20652173911</v>
      </c>
      <c r="BB96" s="12">
        <v>2108.478260869565</v>
      </c>
      <c r="BC96" s="13">
        <v>1.792830402793852</v>
      </c>
      <c r="BD96" s="11">
        <v>3294349.95</v>
      </c>
      <c r="BE96" s="11">
        <v>53657</v>
      </c>
      <c r="BF96" s="11">
        <v>74</v>
      </c>
      <c r="BG96" s="12">
        <v>133554.72770270269</v>
      </c>
      <c r="BH96" s="12">
        <v>2175.2837837837842</v>
      </c>
      <c r="BI96" s="13">
        <v>1.6246176147856279</v>
      </c>
      <c r="BJ96" s="11">
        <v>3123212.2</v>
      </c>
      <c r="BK96" s="11">
        <v>54927</v>
      </c>
      <c r="BL96" s="11">
        <v>73</v>
      </c>
      <c r="BM96" s="12">
        <v>128351.1863013699</v>
      </c>
      <c r="BN96" s="12">
        <v>2257.2739726027389</v>
      </c>
      <c r="BO96" s="13">
        <v>1.687383693774148</v>
      </c>
      <c r="BP96" s="11">
        <v>3237135.75</v>
      </c>
      <c r="BQ96" s="11">
        <v>49820</v>
      </c>
      <c r="BR96" s="11">
        <v>77</v>
      </c>
      <c r="BS96" s="12">
        <v>126122.17207792211</v>
      </c>
      <c r="BT96" s="12">
        <v>1941.0389610389609</v>
      </c>
      <c r="BU96" s="13">
        <v>1.5791861234803981</v>
      </c>
      <c r="BV96" s="11">
        <v>3607501.7</v>
      </c>
      <c r="BW96" s="11">
        <v>55498</v>
      </c>
      <c r="BX96" s="11">
        <v>78</v>
      </c>
      <c r="BY96" s="12">
        <v>138750.06538461539</v>
      </c>
      <c r="BZ96" s="12">
        <v>2134.5384615384619</v>
      </c>
      <c r="CA96" s="13">
        <v>1.579001142790134</v>
      </c>
      <c r="CB96" s="11">
        <v>2914996.3</v>
      </c>
      <c r="CC96" s="11">
        <v>53207</v>
      </c>
      <c r="CD96" s="11">
        <v>72</v>
      </c>
      <c r="CE96" s="12">
        <v>121458.1791666667</v>
      </c>
      <c r="CF96" s="12">
        <v>2216.958333333333</v>
      </c>
      <c r="CG96" s="13">
        <v>1.719379096063147</v>
      </c>
      <c r="CJ96" s="11"/>
      <c r="CK96" s="12"/>
      <c r="CL96" s="12"/>
      <c r="CM96" s="13"/>
      <c r="CN96" s="11"/>
      <c r="CO96" s="11"/>
      <c r="CP96" s="11"/>
    </row>
    <row r="97" spans="1:94" x14ac:dyDescent="0.25">
      <c r="A97" s="20" t="s">
        <v>92</v>
      </c>
      <c r="B97" s="8">
        <v>4559038.1818181816</v>
      </c>
      <c r="C97" s="8">
        <v>24393.81818181818</v>
      </c>
      <c r="D97" s="8">
        <v>801</v>
      </c>
      <c r="E97" s="9">
        <v>187825.54307116105</v>
      </c>
      <c r="F97" s="9">
        <v>1004.9887640449438</v>
      </c>
      <c r="G97" s="10">
        <v>0.92454545454545434</v>
      </c>
      <c r="H97" s="8">
        <v>3431882.3333333335</v>
      </c>
      <c r="I97" s="8">
        <v>19954.666666666668</v>
      </c>
      <c r="J97" s="8">
        <v>751</v>
      </c>
      <c r="K97" s="9">
        <v>164511.00399467375</v>
      </c>
      <c r="L97" s="9">
        <v>956.54860186418102</v>
      </c>
      <c r="M97" s="10">
        <v>0.96788889160744351</v>
      </c>
      <c r="N97" s="8">
        <f t="shared" si="14"/>
        <v>4670339.9090909092</v>
      </c>
      <c r="O97" s="8">
        <f t="shared" si="15"/>
        <v>22483.18181818182</v>
      </c>
      <c r="P97" s="8">
        <f t="shared" si="16"/>
        <v>853</v>
      </c>
      <c r="Q97" s="9">
        <f t="shared" si="17"/>
        <v>180681.37983587341</v>
      </c>
      <c r="R97" s="9">
        <f t="shared" si="18"/>
        <v>869.80656506447826</v>
      </c>
      <c r="S97" s="10">
        <f t="shared" si="19"/>
        <v>0.88184514226560851</v>
      </c>
      <c r="T97" s="11">
        <v>4665522</v>
      </c>
      <c r="U97" s="11">
        <v>20848</v>
      </c>
      <c r="V97" s="11">
        <v>77</v>
      </c>
      <c r="W97" s="12">
        <v>181773.5844155844</v>
      </c>
      <c r="X97" s="12">
        <v>812.25974025974028</v>
      </c>
      <c r="Y97" s="13">
        <v>0.84770493196714358</v>
      </c>
      <c r="Z97" s="11">
        <v>4585271</v>
      </c>
      <c r="AA97" s="11">
        <v>26861</v>
      </c>
      <c r="AB97" s="11">
        <v>78</v>
      </c>
      <c r="AC97" s="12">
        <v>176356.57692307691</v>
      </c>
      <c r="AD97" s="12">
        <v>1033.115384615385</v>
      </c>
      <c r="AE97" s="13">
        <v>0.97135312959776865</v>
      </c>
      <c r="AF97" s="11">
        <v>4481771</v>
      </c>
      <c r="AG97" s="11">
        <v>25171</v>
      </c>
      <c r="AH97" s="11">
        <v>78</v>
      </c>
      <c r="AI97" s="12">
        <v>172375.80769230769</v>
      </c>
      <c r="AJ97" s="12">
        <v>968.11538461538476</v>
      </c>
      <c r="AK97" s="13">
        <v>0.95152181978808503</v>
      </c>
      <c r="AL97" s="11">
        <v>6122162</v>
      </c>
      <c r="AM97" s="11">
        <v>26674</v>
      </c>
      <c r="AN97" s="11">
        <v>85</v>
      </c>
      <c r="AO97" s="12">
        <v>216076.3058823529</v>
      </c>
      <c r="AP97" s="12">
        <v>941.43529411764712</v>
      </c>
      <c r="AQ97" s="13">
        <v>0.83628097358507181</v>
      </c>
      <c r="AR97" s="11">
        <v>4891357</v>
      </c>
      <c r="AS97" s="11">
        <v>23562</v>
      </c>
      <c r="AT97" s="11">
        <v>88</v>
      </c>
      <c r="AU97" s="12">
        <v>166750.80681818179</v>
      </c>
      <c r="AV97" s="12">
        <v>803.25</v>
      </c>
      <c r="AW97" s="13">
        <v>0.88097696820378879</v>
      </c>
      <c r="AX97" s="11">
        <v>4271771</v>
      </c>
      <c r="AY97" s="11">
        <v>22815</v>
      </c>
      <c r="AZ97" s="11">
        <v>72</v>
      </c>
      <c r="BA97" s="12">
        <v>177990.45833333331</v>
      </c>
      <c r="BB97" s="12">
        <v>950.625</v>
      </c>
      <c r="BC97" s="13">
        <v>0.92826476419422865</v>
      </c>
      <c r="BD97" s="11">
        <v>4208018</v>
      </c>
      <c r="BE97" s="11">
        <v>19076</v>
      </c>
      <c r="BF97" s="11">
        <v>73</v>
      </c>
      <c r="BG97" s="12">
        <v>172932.24657534249</v>
      </c>
      <c r="BH97" s="12">
        <v>783.94520547945217</v>
      </c>
      <c r="BI97" s="13">
        <v>0.85550244061508574</v>
      </c>
      <c r="BJ97" s="11">
        <v>4790571</v>
      </c>
      <c r="BK97" s="11">
        <v>21371</v>
      </c>
      <c r="BL97" s="11">
        <v>75</v>
      </c>
      <c r="BM97" s="12">
        <v>191622.84</v>
      </c>
      <c r="BN97" s="12">
        <v>854.83999999999992</v>
      </c>
      <c r="BO97" s="13">
        <v>0.84728897352370414</v>
      </c>
      <c r="BP97" s="11">
        <v>4258946</v>
      </c>
      <c r="BQ97" s="11">
        <v>21383</v>
      </c>
      <c r="BR97" s="11">
        <v>76</v>
      </c>
      <c r="BS97" s="12">
        <v>168116.28947368421</v>
      </c>
      <c r="BT97" s="12">
        <v>844.06578947368416</v>
      </c>
      <c r="BU97" s="13">
        <v>0.90101140215312392</v>
      </c>
      <c r="BV97" s="11">
        <v>4961937</v>
      </c>
      <c r="BW97" s="11">
        <v>20044</v>
      </c>
      <c r="BX97" s="11">
        <v>76</v>
      </c>
      <c r="BY97" s="12">
        <v>195865.93421052629</v>
      </c>
      <c r="BZ97" s="12">
        <v>791.21052631578959</v>
      </c>
      <c r="CA97" s="13">
        <v>0.80697645125767581</v>
      </c>
      <c r="CB97" s="11">
        <v>4136413</v>
      </c>
      <c r="CC97" s="11">
        <v>19510</v>
      </c>
      <c r="CD97" s="11">
        <v>75</v>
      </c>
      <c r="CE97" s="12">
        <v>165456.51999999999</v>
      </c>
      <c r="CF97" s="12">
        <v>780.4</v>
      </c>
      <c r="CG97" s="13">
        <v>0.87341471003601723</v>
      </c>
      <c r="CJ97" s="11"/>
      <c r="CK97" s="12"/>
      <c r="CL97" s="12"/>
      <c r="CM97" s="13"/>
      <c r="CN97" s="11"/>
      <c r="CO97" s="11"/>
      <c r="CP97" s="11"/>
    </row>
    <row r="98" spans="1:94" x14ac:dyDescent="0.25">
      <c r="A98" s="20" t="s">
        <v>93</v>
      </c>
      <c r="B98" s="8">
        <v>5037910.8181818184</v>
      </c>
      <c r="C98" s="8">
        <v>32095.636363636364</v>
      </c>
      <c r="D98" s="8">
        <v>798</v>
      </c>
      <c r="E98" s="9">
        <v>208334.65789473683</v>
      </c>
      <c r="F98" s="9">
        <v>1327.2631578947369</v>
      </c>
      <c r="G98" s="10">
        <v>1.009090909090909</v>
      </c>
      <c r="H98" s="8">
        <v>4526200.5791666666</v>
      </c>
      <c r="I98" s="8">
        <v>34013.083333333336</v>
      </c>
      <c r="J98" s="8">
        <v>861</v>
      </c>
      <c r="K98" s="9">
        <v>189248.80470383275</v>
      </c>
      <c r="L98" s="9">
        <v>1422.1498257839721</v>
      </c>
      <c r="M98" s="10">
        <v>1.1009587923008251</v>
      </c>
      <c r="N98" s="8">
        <f t="shared" si="14"/>
        <v>5551857.3636363633</v>
      </c>
      <c r="O98" s="8">
        <f t="shared" si="15"/>
        <v>37368</v>
      </c>
      <c r="P98" s="8">
        <f t="shared" si="16"/>
        <v>857</v>
      </c>
      <c r="Q98" s="9">
        <f t="shared" si="17"/>
        <v>213782.13885647606</v>
      </c>
      <c r="R98" s="9">
        <f t="shared" si="18"/>
        <v>1438.9078179696617</v>
      </c>
      <c r="S98" s="10">
        <f t="shared" si="19"/>
        <v>1.0420653074593949</v>
      </c>
      <c r="T98" s="11">
        <v>5106248</v>
      </c>
      <c r="U98" s="11">
        <v>33306</v>
      </c>
      <c r="V98" s="11">
        <v>80</v>
      </c>
      <c r="W98" s="12">
        <v>191484.3</v>
      </c>
      <c r="X98" s="12">
        <v>1248.9749999999999</v>
      </c>
      <c r="Y98" s="13">
        <v>1.025569923349589</v>
      </c>
      <c r="Z98" s="11">
        <v>5684277</v>
      </c>
      <c r="AA98" s="11">
        <v>35113</v>
      </c>
      <c r="AB98" s="11">
        <v>78</v>
      </c>
      <c r="AC98" s="12">
        <v>218626.0384615385</v>
      </c>
      <c r="AD98" s="12">
        <v>1350.5</v>
      </c>
      <c r="AE98" s="13">
        <v>0.99576465517165336</v>
      </c>
      <c r="AF98" s="11">
        <v>5815119</v>
      </c>
      <c r="AG98" s="11">
        <v>45292</v>
      </c>
      <c r="AH98" s="11">
        <v>78</v>
      </c>
      <c r="AI98" s="12">
        <v>223658.42307692309</v>
      </c>
      <c r="AJ98" s="12">
        <v>1742</v>
      </c>
      <c r="AK98" s="13">
        <v>1.120282262418433</v>
      </c>
      <c r="AL98" s="11">
        <v>7064266</v>
      </c>
      <c r="AM98" s="11">
        <v>43412</v>
      </c>
      <c r="AN98" s="11">
        <v>86</v>
      </c>
      <c r="AO98" s="12">
        <v>246427.88372093029</v>
      </c>
      <c r="AP98" s="12">
        <v>1514.372093023256</v>
      </c>
      <c r="AQ98" s="13">
        <v>0.99463244850875687</v>
      </c>
      <c r="AR98" s="11">
        <v>6284886</v>
      </c>
      <c r="AS98" s="11">
        <v>46805</v>
      </c>
      <c r="AT98" s="11">
        <v>88</v>
      </c>
      <c r="AU98" s="12">
        <v>214257.47727272729</v>
      </c>
      <c r="AV98" s="12">
        <v>1595.625</v>
      </c>
      <c r="AW98" s="13">
        <v>1.095714105467988</v>
      </c>
      <c r="AX98" s="11">
        <v>4754465</v>
      </c>
      <c r="AY98" s="11">
        <v>33478</v>
      </c>
      <c r="AZ98" s="11">
        <v>71</v>
      </c>
      <c r="BA98" s="12">
        <v>200892.88732394369</v>
      </c>
      <c r="BB98" s="12">
        <v>1414.5633802816899</v>
      </c>
      <c r="BC98" s="13">
        <v>1.0680362119301781</v>
      </c>
      <c r="BD98" s="11">
        <v>5309749</v>
      </c>
      <c r="BE98" s="11">
        <v>36606</v>
      </c>
      <c r="BF98" s="11">
        <v>74</v>
      </c>
      <c r="BG98" s="12">
        <v>215260.09459459459</v>
      </c>
      <c r="BH98" s="12">
        <v>1484.0270270270271</v>
      </c>
      <c r="BI98" s="13">
        <v>1.055787767163423</v>
      </c>
      <c r="BJ98" s="11">
        <v>5123571</v>
      </c>
      <c r="BK98" s="11">
        <v>31225</v>
      </c>
      <c r="BL98" s="11">
        <v>74</v>
      </c>
      <c r="BM98" s="12">
        <v>207712.33783783781</v>
      </c>
      <c r="BN98" s="12">
        <v>1265.8783783783781</v>
      </c>
      <c r="BO98" s="13">
        <v>0.99442391264675689</v>
      </c>
      <c r="BP98" s="11">
        <v>5928177</v>
      </c>
      <c r="BQ98" s="11">
        <v>38797</v>
      </c>
      <c r="BR98" s="11">
        <v>77</v>
      </c>
      <c r="BS98" s="12">
        <v>230967.9350649351</v>
      </c>
      <c r="BT98" s="12">
        <v>1511.571428571428</v>
      </c>
      <c r="BU98" s="13">
        <v>1.0293028549087559</v>
      </c>
      <c r="BV98" s="11">
        <v>5084036</v>
      </c>
      <c r="BW98" s="11">
        <v>35158</v>
      </c>
      <c r="BX98" s="11">
        <v>76</v>
      </c>
      <c r="BY98" s="12">
        <v>200685.63157894739</v>
      </c>
      <c r="BZ98" s="12">
        <v>1387.8157894736839</v>
      </c>
      <c r="CA98" s="13">
        <v>1.0591108467421171</v>
      </c>
      <c r="CB98" s="11">
        <v>4915637</v>
      </c>
      <c r="CC98" s="11">
        <v>31856</v>
      </c>
      <c r="CD98" s="11">
        <v>75</v>
      </c>
      <c r="CE98" s="12">
        <v>196625.48</v>
      </c>
      <c r="CF98" s="12">
        <v>1274.24</v>
      </c>
      <c r="CG98" s="13">
        <v>1.0240933937456931</v>
      </c>
      <c r="CJ98" s="11"/>
      <c r="CK98" s="12"/>
      <c r="CL98" s="12"/>
      <c r="CM98" s="13"/>
      <c r="CN98" s="11"/>
      <c r="CO98" s="11"/>
      <c r="CP98" s="11"/>
    </row>
    <row r="99" spans="1:94" x14ac:dyDescent="0.25">
      <c r="A99" s="20" t="s">
        <v>94</v>
      </c>
      <c r="B99" s="8">
        <v>5268054.1818181816</v>
      </c>
      <c r="C99" s="8">
        <v>35689.63636363636</v>
      </c>
      <c r="D99" s="8">
        <v>846</v>
      </c>
      <c r="E99" s="9">
        <v>205491.47517730494</v>
      </c>
      <c r="F99" s="9">
        <v>1392.1489361702127</v>
      </c>
      <c r="G99" s="10">
        <v>1.041818181818182</v>
      </c>
      <c r="H99" s="8">
        <v>4575530.0999999996</v>
      </c>
      <c r="I99" s="8">
        <v>33147</v>
      </c>
      <c r="J99" s="8">
        <v>855</v>
      </c>
      <c r="K99" s="9">
        <v>192653.89894736841</v>
      </c>
      <c r="L99" s="9">
        <v>1395.663157894737</v>
      </c>
      <c r="M99" s="10">
        <v>1.0810599064297539</v>
      </c>
      <c r="N99" s="8">
        <f t="shared" ref="N99:N132" si="20">IFERROR(AVERAGE(T99,Z99,AF99,AL99,AR99,AX99,BD99,BJ99,BP99,BV99,CB99,CH99)," ")</f>
        <v>5638737.0909090908</v>
      </c>
      <c r="O99" s="8">
        <f t="shared" ref="O99:O132" si="21">IFERROR(AVERAGE(U99,AA99,AG99,AM99,AS99,AY99,BE99,BK99,BQ99,BW99,CC99,CI99)," ")</f>
        <v>35638.818181818184</v>
      </c>
      <c r="P99" s="8">
        <f t="shared" ref="P99:P132" si="22">IFERROR(SUM(V99,AB99,AH99,AN99,AT99,AZ99,BF99,BL99,BR99,BX99,CD99,CJ99)," ")</f>
        <v>854</v>
      </c>
      <c r="Q99" s="9">
        <f t="shared" ref="Q99:Q130" si="23">IFERROR(SUM(T99,Z99,AF99,AL99,AR99,AX99,BD99,BJ99,BP99,BV99,CB99,CH99)/P99*3," ")</f>
        <v>217890.30913348944</v>
      </c>
      <c r="R99" s="9">
        <f t="shared" ref="R99:R132" si="24">IFERROR(SUM(U99,AA99,AG99,AM99,AS99,AY99,BE99,BK99,BQ99,BW99,CC99,CI99)/P99*3," ")</f>
        <v>1377.1440281030445</v>
      </c>
      <c r="S99" s="10">
        <f t="shared" ref="S99:S132" si="25">IFERROR(AVERAGE(Y99,AE99,AK99,AQ99,AW99,BC99,BI99,BO99,BU99,CA99,CG99,CM99)," ")</f>
        <v>1.0028484251076837</v>
      </c>
      <c r="T99" s="11">
        <v>5194966</v>
      </c>
      <c r="U99" s="11">
        <v>28226</v>
      </c>
      <c r="V99" s="11">
        <v>81</v>
      </c>
      <c r="W99" s="12">
        <v>192406.14814814809</v>
      </c>
      <c r="X99" s="12">
        <v>1045.4074074074069</v>
      </c>
      <c r="Y99" s="13">
        <v>0.93593163626407594</v>
      </c>
      <c r="Z99" s="11">
        <v>5172076</v>
      </c>
      <c r="AA99" s="11">
        <v>31307</v>
      </c>
      <c r="AB99" s="11">
        <v>78</v>
      </c>
      <c r="AC99" s="12">
        <v>198926</v>
      </c>
      <c r="AD99" s="12">
        <v>1204.115384615385</v>
      </c>
      <c r="AE99" s="13">
        <v>0.98704369539176184</v>
      </c>
      <c r="AF99" s="11">
        <v>6117024</v>
      </c>
      <c r="AG99" s="11">
        <v>45833</v>
      </c>
      <c r="AH99" s="11">
        <v>78</v>
      </c>
      <c r="AI99" s="12">
        <v>235270.15384615379</v>
      </c>
      <c r="AJ99" s="12">
        <v>1762.8076923076919</v>
      </c>
      <c r="AK99" s="13">
        <v>1.0990368600745111</v>
      </c>
      <c r="AL99" s="11">
        <v>6438494</v>
      </c>
      <c r="AM99" s="11">
        <v>45215</v>
      </c>
      <c r="AN99" s="11">
        <v>86</v>
      </c>
      <c r="AO99" s="12">
        <v>224598.62790697679</v>
      </c>
      <c r="AP99" s="12">
        <v>1577.2674418604649</v>
      </c>
      <c r="AQ99" s="13">
        <v>1.0628930748010661</v>
      </c>
      <c r="AR99" s="11">
        <v>6753529</v>
      </c>
      <c r="AS99" s="11">
        <v>53214</v>
      </c>
      <c r="AT99" s="11">
        <v>87</v>
      </c>
      <c r="AU99" s="12">
        <v>232880.31034482759</v>
      </c>
      <c r="AV99" s="12">
        <v>1834.96551724138</v>
      </c>
      <c r="AW99" s="13">
        <v>1.1296685898863681</v>
      </c>
      <c r="AX99" s="11">
        <v>5233356</v>
      </c>
      <c r="AY99" s="11">
        <v>34757</v>
      </c>
      <c r="AZ99" s="11">
        <v>70</v>
      </c>
      <c r="BA99" s="12">
        <v>224286.6857142857</v>
      </c>
      <c r="BB99" s="12">
        <v>1489.5857142857139</v>
      </c>
      <c r="BC99" s="13">
        <v>1.037142198950596</v>
      </c>
      <c r="BD99" s="11">
        <v>5402675</v>
      </c>
      <c r="BE99" s="11">
        <v>25069</v>
      </c>
      <c r="BF99" s="11">
        <v>74</v>
      </c>
      <c r="BG99" s="12">
        <v>219027.36486486491</v>
      </c>
      <c r="BH99" s="12">
        <v>1016.3108108108109</v>
      </c>
      <c r="BI99" s="13">
        <v>0.86449434014902815</v>
      </c>
      <c r="BJ99" s="11">
        <v>5638940</v>
      </c>
      <c r="BK99" s="11">
        <v>31984</v>
      </c>
      <c r="BL99" s="11">
        <v>74</v>
      </c>
      <c r="BM99" s="12">
        <v>228605.67567567571</v>
      </c>
      <c r="BN99" s="12">
        <v>1296.648648648649</v>
      </c>
      <c r="BO99" s="13">
        <v>0.9568107851596106</v>
      </c>
      <c r="BP99" s="11">
        <v>5621075</v>
      </c>
      <c r="BQ99" s="11">
        <v>29699</v>
      </c>
      <c r="BR99" s="11">
        <v>77</v>
      </c>
      <c r="BS99" s="12">
        <v>219002.92207792209</v>
      </c>
      <c r="BT99" s="12">
        <v>1157.103896103896</v>
      </c>
      <c r="BU99" s="13">
        <v>0.92360002875477354</v>
      </c>
      <c r="BV99" s="11">
        <v>4843478</v>
      </c>
      <c r="BW99" s="11">
        <v>31503</v>
      </c>
      <c r="BX99" s="11">
        <v>76</v>
      </c>
      <c r="BY99" s="12">
        <v>191189.9210526316</v>
      </c>
      <c r="BZ99" s="12">
        <v>1243.53947368421</v>
      </c>
      <c r="CA99" s="13">
        <v>1.025321246004439</v>
      </c>
      <c r="CB99" s="11">
        <v>5610495</v>
      </c>
      <c r="CC99" s="11">
        <v>35220</v>
      </c>
      <c r="CD99" s="11">
        <v>73</v>
      </c>
      <c r="CE99" s="12">
        <v>230568.28767123289</v>
      </c>
      <c r="CF99" s="12">
        <v>1447.397260273973</v>
      </c>
      <c r="CG99" s="13">
        <v>1.0093902207482921</v>
      </c>
      <c r="CJ99" s="11"/>
      <c r="CK99" s="12"/>
      <c r="CL99" s="12"/>
      <c r="CM99" s="13"/>
      <c r="CN99" s="11"/>
      <c r="CO99" s="11"/>
      <c r="CP99" s="11"/>
    </row>
    <row r="100" spans="1:94" x14ac:dyDescent="0.25">
      <c r="A100" s="20" t="s">
        <v>95</v>
      </c>
      <c r="B100" s="8">
        <v>6607364.7272727275</v>
      </c>
      <c r="C100" s="8">
        <v>204293.72727272726</v>
      </c>
      <c r="D100" s="8">
        <v>792</v>
      </c>
      <c r="E100" s="9">
        <v>275306.86363636365</v>
      </c>
      <c r="F100" s="9">
        <v>8512.238636363636</v>
      </c>
      <c r="G100" s="10">
        <v>2.2236363636363632</v>
      </c>
      <c r="H100" s="8">
        <v>3731119.2333333329</v>
      </c>
      <c r="I100" s="8">
        <v>133914.16666666666</v>
      </c>
      <c r="J100" s="8">
        <v>791</v>
      </c>
      <c r="K100" s="9">
        <v>169810.73628318583</v>
      </c>
      <c r="L100" s="9">
        <v>6094.7029077117577</v>
      </c>
      <c r="M100" s="10">
        <v>2.3910980182768089</v>
      </c>
      <c r="N100" s="8">
        <f t="shared" si="20"/>
        <v>4220573.7272727275</v>
      </c>
      <c r="O100" s="8">
        <f t="shared" si="21"/>
        <v>141613.54545454544</v>
      </c>
      <c r="P100" s="8">
        <f t="shared" si="22"/>
        <v>724</v>
      </c>
      <c r="Q100" s="9">
        <f t="shared" si="23"/>
        <v>192374.21685082873</v>
      </c>
      <c r="R100" s="9">
        <f t="shared" si="24"/>
        <v>6454.7610497237565</v>
      </c>
      <c r="S100" s="10">
        <f t="shared" si="25"/>
        <v>2.3376921032734455</v>
      </c>
      <c r="T100" s="11">
        <v>4112013</v>
      </c>
      <c r="U100" s="11">
        <v>160560</v>
      </c>
      <c r="V100" s="11">
        <v>67</v>
      </c>
      <c r="W100" s="12">
        <v>184119.98507462689</v>
      </c>
      <c r="X100" s="12">
        <v>7189.253731343284</v>
      </c>
      <c r="Y100" s="13">
        <v>2.486255936941284</v>
      </c>
      <c r="Z100" s="11">
        <v>2367168</v>
      </c>
      <c r="AA100" s="11">
        <v>99625</v>
      </c>
      <c r="AB100" s="11">
        <v>39</v>
      </c>
      <c r="AC100" s="12">
        <v>182089.84615384621</v>
      </c>
      <c r="AD100" s="12">
        <v>7663.461538461539</v>
      </c>
      <c r="AE100" s="13">
        <v>2.5929123581511622</v>
      </c>
      <c r="AF100" s="11">
        <v>4856470</v>
      </c>
      <c r="AG100" s="11">
        <v>165455</v>
      </c>
      <c r="AH100" s="11">
        <v>72</v>
      </c>
      <c r="AI100" s="12">
        <v>202352.91666666669</v>
      </c>
      <c r="AJ100" s="12">
        <v>6893.9583333333339</v>
      </c>
      <c r="AK100" s="13">
        <v>2.3208624176086592</v>
      </c>
      <c r="AL100" s="11">
        <v>4728879</v>
      </c>
      <c r="AM100" s="11">
        <v>163631</v>
      </c>
      <c r="AN100" s="11">
        <v>79</v>
      </c>
      <c r="AO100" s="12">
        <v>179577.68354430381</v>
      </c>
      <c r="AP100" s="12">
        <v>6213.835443037975</v>
      </c>
      <c r="AQ100" s="13">
        <v>2.3387977496389758</v>
      </c>
      <c r="AR100" s="11">
        <v>5935099</v>
      </c>
      <c r="AS100" s="11">
        <v>172362</v>
      </c>
      <c r="AT100" s="11">
        <v>86</v>
      </c>
      <c r="AU100" s="12">
        <v>207038.33720930229</v>
      </c>
      <c r="AV100" s="12">
        <v>6012.6279069767443</v>
      </c>
      <c r="AW100" s="13">
        <v>2.1687444454466092</v>
      </c>
      <c r="AX100" s="11">
        <v>4327469</v>
      </c>
      <c r="AY100" s="11">
        <v>141610</v>
      </c>
      <c r="AZ100" s="11">
        <v>69</v>
      </c>
      <c r="BA100" s="12">
        <v>188150.82608695651</v>
      </c>
      <c r="BB100" s="12">
        <v>6156.95652173913</v>
      </c>
      <c r="BC100" s="13">
        <v>2.3018859918260839</v>
      </c>
      <c r="BD100" s="11">
        <v>3779023</v>
      </c>
      <c r="BE100" s="11">
        <v>110048</v>
      </c>
      <c r="BF100" s="11">
        <v>60</v>
      </c>
      <c r="BG100" s="12">
        <v>188951.15</v>
      </c>
      <c r="BH100" s="12">
        <v>5502.4000000000005</v>
      </c>
      <c r="BI100" s="13">
        <v>2.171790482430727</v>
      </c>
      <c r="BJ100" s="11">
        <v>4691809</v>
      </c>
      <c r="BK100" s="11">
        <v>142350</v>
      </c>
      <c r="BL100" s="11">
        <v>63</v>
      </c>
      <c r="BM100" s="12">
        <v>223419.47619047621</v>
      </c>
      <c r="BN100" s="12">
        <v>6778.5714285714294</v>
      </c>
      <c r="BO100" s="13">
        <v>2.216574700762449</v>
      </c>
      <c r="BP100" s="11">
        <v>4352110</v>
      </c>
      <c r="BQ100" s="11">
        <v>137094</v>
      </c>
      <c r="BR100" s="11">
        <v>69</v>
      </c>
      <c r="BS100" s="12">
        <v>189222.17391304349</v>
      </c>
      <c r="BT100" s="12">
        <v>5960.608695652174</v>
      </c>
      <c r="BU100" s="13">
        <v>2.2586750045837669</v>
      </c>
      <c r="BV100" s="11">
        <v>3218550</v>
      </c>
      <c r="BW100" s="11">
        <v>116919</v>
      </c>
      <c r="BX100" s="11">
        <v>58</v>
      </c>
      <c r="BY100" s="12">
        <v>166476.72413793101</v>
      </c>
      <c r="BZ100" s="12">
        <v>6047.5344827586214</v>
      </c>
      <c r="CA100" s="13">
        <v>2.4261021916778609</v>
      </c>
      <c r="CB100" s="11">
        <v>4057721</v>
      </c>
      <c r="CC100" s="11">
        <v>148095</v>
      </c>
      <c r="CD100" s="11">
        <v>62</v>
      </c>
      <c r="CE100" s="12">
        <v>196341.33870967739</v>
      </c>
      <c r="CF100" s="12">
        <v>7165.8870967741932</v>
      </c>
      <c r="CG100" s="13">
        <v>2.4320118569403228</v>
      </c>
      <c r="CJ100" s="11"/>
      <c r="CK100" s="12"/>
      <c r="CL100" s="12"/>
      <c r="CM100" s="13"/>
      <c r="CN100" s="11"/>
      <c r="CO100" s="11"/>
      <c r="CP100" s="11"/>
    </row>
    <row r="101" spans="1:94" x14ac:dyDescent="0.25">
      <c r="A101" s="20" t="s">
        <v>96</v>
      </c>
      <c r="B101" s="8">
        <v>3246285</v>
      </c>
      <c r="C101" s="8">
        <v>64172.909090909088</v>
      </c>
      <c r="D101" s="8">
        <v>766</v>
      </c>
      <c r="E101" s="9">
        <v>139853.00913838123</v>
      </c>
      <c r="F101" s="9">
        <v>2764.6292428198435</v>
      </c>
      <c r="G101" s="10">
        <v>1.7827272727272727</v>
      </c>
      <c r="H101" s="8">
        <v>3660373.5</v>
      </c>
      <c r="I101" s="8">
        <v>70031.75</v>
      </c>
      <c r="J101" s="8">
        <v>922</v>
      </c>
      <c r="K101" s="9">
        <v>142921.30802603037</v>
      </c>
      <c r="L101" s="9">
        <v>2734.4284164859005</v>
      </c>
      <c r="M101" s="10">
        <v>1.7599302936065599</v>
      </c>
      <c r="N101" s="8">
        <f t="shared" si="20"/>
        <v>3833856.0909090908</v>
      </c>
      <c r="O101" s="8">
        <f t="shared" si="21"/>
        <v>72910.636363636368</v>
      </c>
      <c r="P101" s="8">
        <f t="shared" si="22"/>
        <v>844</v>
      </c>
      <c r="Q101" s="9">
        <f t="shared" si="23"/>
        <v>149901.95616113744</v>
      </c>
      <c r="R101" s="9">
        <f t="shared" si="24"/>
        <v>2850.7713270142181</v>
      </c>
      <c r="S101" s="10">
        <f t="shared" si="25"/>
        <v>1.7488642262260969</v>
      </c>
      <c r="T101" s="11">
        <v>4799841</v>
      </c>
      <c r="U101" s="11">
        <v>77782</v>
      </c>
      <c r="V101" s="11">
        <v>75</v>
      </c>
      <c r="W101" s="12">
        <v>191993.64</v>
      </c>
      <c r="X101" s="12">
        <v>3111.28</v>
      </c>
      <c r="Y101" s="13">
        <v>1.619363270261569</v>
      </c>
      <c r="Z101" s="11">
        <v>4480394</v>
      </c>
      <c r="AA101" s="11">
        <v>82207</v>
      </c>
      <c r="AB101" s="11">
        <v>78</v>
      </c>
      <c r="AC101" s="12">
        <v>172322.84615384621</v>
      </c>
      <c r="AD101" s="12">
        <v>3161.8076923076919</v>
      </c>
      <c r="AE101" s="13">
        <v>1.723115560642398</v>
      </c>
      <c r="AF101" s="11">
        <v>4565444</v>
      </c>
      <c r="AG101" s="11">
        <v>82750</v>
      </c>
      <c r="AH101" s="11">
        <v>78</v>
      </c>
      <c r="AI101" s="12">
        <v>175594</v>
      </c>
      <c r="AJ101" s="12">
        <v>3182.6923076923081</v>
      </c>
      <c r="AK101" s="13">
        <v>1.7131247644047261</v>
      </c>
      <c r="AL101" s="11">
        <v>4203936</v>
      </c>
      <c r="AM101" s="11">
        <v>102506</v>
      </c>
      <c r="AN101" s="11">
        <v>85</v>
      </c>
      <c r="AO101" s="12">
        <v>148374.21176470589</v>
      </c>
      <c r="AP101" s="12">
        <v>3617.8588235294119</v>
      </c>
      <c r="AQ101" s="13">
        <v>1.986983522420217</v>
      </c>
      <c r="AR101" s="11">
        <v>4489150</v>
      </c>
      <c r="AS101" s="11">
        <v>97463</v>
      </c>
      <c r="AT101" s="11">
        <v>89</v>
      </c>
      <c r="AU101" s="12">
        <v>151319.6629213483</v>
      </c>
      <c r="AV101" s="12">
        <v>3285.2696629213478</v>
      </c>
      <c r="AW101" s="13">
        <v>1.8743062818020799</v>
      </c>
      <c r="AX101" s="11">
        <v>3361023</v>
      </c>
      <c r="AY101" s="11">
        <v>60335</v>
      </c>
      <c r="AZ101" s="11">
        <v>71</v>
      </c>
      <c r="BA101" s="12">
        <v>142015.0563380282</v>
      </c>
      <c r="BB101" s="12">
        <v>2549.3661971830988</v>
      </c>
      <c r="BC101" s="13">
        <v>1.704897624391587</v>
      </c>
      <c r="BD101" s="11">
        <v>3306163</v>
      </c>
      <c r="BE101" s="11">
        <v>54520</v>
      </c>
      <c r="BF101" s="11">
        <v>74</v>
      </c>
      <c r="BG101" s="12">
        <v>134033.63513513509</v>
      </c>
      <c r="BH101" s="12">
        <v>2210.27027027027</v>
      </c>
      <c r="BI101" s="13">
        <v>1.6346820456145299</v>
      </c>
      <c r="BJ101" s="11">
        <v>3337160</v>
      </c>
      <c r="BK101" s="11">
        <v>69108</v>
      </c>
      <c r="BL101" s="11">
        <v>67</v>
      </c>
      <c r="BM101" s="12">
        <v>149425.07462686571</v>
      </c>
      <c r="BN101" s="12">
        <v>3094.3880597014918</v>
      </c>
      <c r="BO101" s="13">
        <v>1.8297079452832199</v>
      </c>
      <c r="BP101" s="11">
        <v>2896900</v>
      </c>
      <c r="BQ101" s="11">
        <v>54429</v>
      </c>
      <c r="BR101" s="11">
        <v>73</v>
      </c>
      <c r="BS101" s="12">
        <v>119050.6849315068</v>
      </c>
      <c r="BT101" s="12">
        <v>2236.8082191780818</v>
      </c>
      <c r="BU101" s="13">
        <v>1.744445048890775</v>
      </c>
      <c r="BV101" s="11">
        <v>3317339</v>
      </c>
      <c r="BW101" s="11">
        <v>55661</v>
      </c>
      <c r="BX101" s="11">
        <v>79</v>
      </c>
      <c r="BY101" s="12">
        <v>125974.8987341772</v>
      </c>
      <c r="BZ101" s="12">
        <v>2113.7088607594942</v>
      </c>
      <c r="CA101" s="13">
        <v>1.6488335623280621</v>
      </c>
      <c r="CB101" s="11">
        <v>3415067</v>
      </c>
      <c r="CC101" s="11">
        <v>65256</v>
      </c>
      <c r="CD101" s="11">
        <v>75</v>
      </c>
      <c r="CE101" s="12">
        <v>136602.68</v>
      </c>
      <c r="CF101" s="12">
        <v>2610.2399999999998</v>
      </c>
      <c r="CG101" s="13">
        <v>1.758046862447904</v>
      </c>
      <c r="CJ101" s="11"/>
      <c r="CK101" s="12"/>
      <c r="CL101" s="12"/>
      <c r="CM101" s="13"/>
      <c r="CN101" s="11"/>
      <c r="CO101" s="11"/>
      <c r="CP101" s="11"/>
    </row>
    <row r="102" spans="1:94" x14ac:dyDescent="0.25">
      <c r="A102" s="20" t="s">
        <v>97</v>
      </c>
      <c r="B102" s="8">
        <v>3304510.4545454546</v>
      </c>
      <c r="C102" s="8">
        <v>63930</v>
      </c>
      <c r="D102" s="8">
        <v>809</v>
      </c>
      <c r="E102" s="9">
        <v>134794.61681087763</v>
      </c>
      <c r="F102" s="9">
        <v>2607.7750309023486</v>
      </c>
      <c r="G102" s="10">
        <v>1.7909090909090908</v>
      </c>
      <c r="H102" s="8">
        <v>3345655.5</v>
      </c>
      <c r="I102" s="8">
        <v>65452.083333333336</v>
      </c>
      <c r="J102" s="8">
        <v>917</v>
      </c>
      <c r="K102" s="9">
        <v>131345.25408942203</v>
      </c>
      <c r="L102" s="9">
        <v>2569.5474372955287</v>
      </c>
      <c r="M102" s="10">
        <v>1.7798489164592579</v>
      </c>
      <c r="N102" s="8">
        <f t="shared" si="20"/>
        <v>3875024.9040609342</v>
      </c>
      <c r="O102" s="8">
        <f t="shared" si="21"/>
        <v>69221.545454545456</v>
      </c>
      <c r="P102" s="8">
        <f t="shared" si="22"/>
        <v>844</v>
      </c>
      <c r="Q102" s="9">
        <f t="shared" si="23"/>
        <v>151511.63724408866</v>
      </c>
      <c r="R102" s="9">
        <f t="shared" si="24"/>
        <v>2706.5296208530804</v>
      </c>
      <c r="S102" s="10">
        <f t="shared" si="25"/>
        <v>1.6988476664265344</v>
      </c>
      <c r="T102" s="11">
        <v>3557596</v>
      </c>
      <c r="U102" s="11">
        <v>66154</v>
      </c>
      <c r="V102" s="11">
        <v>75</v>
      </c>
      <c r="W102" s="12">
        <v>142303.84</v>
      </c>
      <c r="X102" s="12">
        <v>2646.16</v>
      </c>
      <c r="Y102" s="13">
        <v>1.7349572018316251</v>
      </c>
      <c r="Z102" s="11">
        <v>3825950</v>
      </c>
      <c r="AA102" s="11">
        <v>79856</v>
      </c>
      <c r="AB102" s="11">
        <v>78</v>
      </c>
      <c r="AC102" s="12">
        <v>147151.92307692309</v>
      </c>
      <c r="AD102" s="12">
        <v>3071.3846153846148</v>
      </c>
      <c r="AE102" s="13">
        <v>1.8384941152748659</v>
      </c>
      <c r="AF102" s="11">
        <v>3725399</v>
      </c>
      <c r="AG102" s="11">
        <v>68475</v>
      </c>
      <c r="AH102" s="11">
        <v>78</v>
      </c>
      <c r="AI102" s="12">
        <v>143284.57692307691</v>
      </c>
      <c r="AJ102" s="12">
        <v>2633.6538461538462</v>
      </c>
      <c r="AK102" s="13">
        <v>1.7250225510193831</v>
      </c>
      <c r="AL102" s="11">
        <v>5205795</v>
      </c>
      <c r="AM102" s="11">
        <v>90620</v>
      </c>
      <c r="AN102" s="11">
        <v>86</v>
      </c>
      <c r="AO102" s="12">
        <v>181597.5</v>
      </c>
      <c r="AP102" s="12">
        <v>3161.1627906976751</v>
      </c>
      <c r="AQ102" s="13">
        <v>1.6794876647279531</v>
      </c>
      <c r="AR102" s="11">
        <v>5073939</v>
      </c>
      <c r="AS102" s="11">
        <v>89432</v>
      </c>
      <c r="AT102" s="11">
        <v>89</v>
      </c>
      <c r="AU102" s="12">
        <v>171031.6516853933</v>
      </c>
      <c r="AV102" s="12">
        <v>3014.5617977528091</v>
      </c>
      <c r="AW102" s="13">
        <v>1.6892103650513011</v>
      </c>
      <c r="AX102" s="11">
        <v>3297999</v>
      </c>
      <c r="AY102" s="11">
        <v>55754</v>
      </c>
      <c r="AZ102" s="11">
        <v>71</v>
      </c>
      <c r="BA102" s="12">
        <v>139352.07042253521</v>
      </c>
      <c r="BB102" s="12">
        <v>2355.8028169014092</v>
      </c>
      <c r="BC102" s="13">
        <v>1.654211298598478</v>
      </c>
      <c r="BD102" s="11">
        <v>3715782.9446702758</v>
      </c>
      <c r="BE102" s="11">
        <v>61569</v>
      </c>
      <c r="BF102" s="11">
        <v>74</v>
      </c>
      <c r="BG102" s="12">
        <v>150639.84910825439</v>
      </c>
      <c r="BH102" s="12">
        <v>2496.0405405405409</v>
      </c>
      <c r="BI102" s="13">
        <v>1.6379653811426911</v>
      </c>
      <c r="BJ102" s="11">
        <v>3346423</v>
      </c>
      <c r="BK102" s="11">
        <v>62604</v>
      </c>
      <c r="BL102" s="11">
        <v>66</v>
      </c>
      <c r="BM102" s="12">
        <v>152110.13636363641</v>
      </c>
      <c r="BN102" s="12">
        <v>2845.636363636364</v>
      </c>
      <c r="BO102" s="13">
        <v>1.739573323376248</v>
      </c>
      <c r="BP102" s="11">
        <v>3175187</v>
      </c>
      <c r="BQ102" s="11">
        <v>48741</v>
      </c>
      <c r="BR102" s="11">
        <v>73</v>
      </c>
      <c r="BS102" s="12">
        <v>130487.1369863014</v>
      </c>
      <c r="BT102" s="12">
        <v>2003.0547945205481</v>
      </c>
      <c r="BU102" s="13">
        <v>1.5767038457712499</v>
      </c>
      <c r="BV102" s="11">
        <v>3846342</v>
      </c>
      <c r="BW102" s="11">
        <v>72663</v>
      </c>
      <c r="BX102" s="11">
        <v>79</v>
      </c>
      <c r="BY102" s="12">
        <v>146063.62025316461</v>
      </c>
      <c r="BZ102" s="12">
        <v>2759.3544303797471</v>
      </c>
      <c r="CA102" s="13">
        <v>1.7509979233342481</v>
      </c>
      <c r="CB102" s="11">
        <v>3854861</v>
      </c>
      <c r="CC102" s="11">
        <v>65569</v>
      </c>
      <c r="CD102" s="11">
        <v>75</v>
      </c>
      <c r="CE102" s="12">
        <v>154194.44</v>
      </c>
      <c r="CF102" s="12">
        <v>2622.76</v>
      </c>
      <c r="CG102" s="13">
        <v>1.660700660563837</v>
      </c>
      <c r="CJ102" s="11"/>
      <c r="CK102" s="12"/>
      <c r="CL102" s="12"/>
      <c r="CM102" s="13"/>
      <c r="CN102" s="11"/>
      <c r="CO102" s="11"/>
      <c r="CP102" s="11"/>
    </row>
    <row r="103" spans="1:94" x14ac:dyDescent="0.25">
      <c r="A103" s="20" t="s">
        <v>98</v>
      </c>
      <c r="B103" s="8">
        <v>3914286.8181818184</v>
      </c>
      <c r="C103" s="8">
        <v>82755</v>
      </c>
      <c r="D103" s="8">
        <v>851</v>
      </c>
      <c r="E103" s="9">
        <v>151787.8554641598</v>
      </c>
      <c r="F103" s="9">
        <v>3209.0658049353697</v>
      </c>
      <c r="G103" s="10">
        <v>1.8590909090909091</v>
      </c>
      <c r="H103" s="8">
        <v>3523185.5000000023</v>
      </c>
      <c r="I103" s="8">
        <v>79644.75</v>
      </c>
      <c r="J103" s="8">
        <v>890</v>
      </c>
      <c r="K103" s="9">
        <v>142510.87415730348</v>
      </c>
      <c r="L103" s="9">
        <v>3221.5853932584268</v>
      </c>
      <c r="M103" s="10">
        <v>1.9130517348751199</v>
      </c>
      <c r="N103" s="8">
        <f t="shared" si="20"/>
        <v>3507045.8789181816</v>
      </c>
      <c r="O103" s="8">
        <f t="shared" si="21"/>
        <v>84557</v>
      </c>
      <c r="P103" s="8">
        <f t="shared" si="22"/>
        <v>838</v>
      </c>
      <c r="Q103" s="9">
        <f t="shared" si="23"/>
        <v>138105.62530346061</v>
      </c>
      <c r="R103" s="9">
        <f t="shared" si="24"/>
        <v>3329.8102625298329</v>
      </c>
      <c r="S103" s="10">
        <f t="shared" si="25"/>
        <v>1.9840013997558186</v>
      </c>
      <c r="T103" s="11">
        <v>3372981.7431000001</v>
      </c>
      <c r="U103" s="11">
        <v>80882</v>
      </c>
      <c r="V103" s="11">
        <v>75</v>
      </c>
      <c r="W103" s="12">
        <v>134919.26972400001</v>
      </c>
      <c r="X103" s="12">
        <v>3235.28</v>
      </c>
      <c r="Y103" s="13">
        <v>1.971984638348496</v>
      </c>
      <c r="Z103" s="11">
        <v>4045840.9</v>
      </c>
      <c r="AA103" s="11">
        <v>96790</v>
      </c>
      <c r="AB103" s="11">
        <v>78</v>
      </c>
      <c r="AC103" s="12">
        <v>155609.2653846154</v>
      </c>
      <c r="AD103" s="12">
        <v>3722.6923076923081</v>
      </c>
      <c r="AE103" s="13">
        <v>1.9693275805434589</v>
      </c>
      <c r="AF103" s="11">
        <v>3979981.9</v>
      </c>
      <c r="AG103" s="11">
        <v>95436</v>
      </c>
      <c r="AH103" s="11">
        <v>76</v>
      </c>
      <c r="AI103" s="12">
        <v>157104.54868421049</v>
      </c>
      <c r="AJ103" s="12">
        <v>3767.2105263157891</v>
      </c>
      <c r="AK103" s="13">
        <v>1.9710489081054421</v>
      </c>
      <c r="AL103" s="11">
        <v>4918799.0999999996</v>
      </c>
      <c r="AM103" s="11">
        <v>108670</v>
      </c>
      <c r="AN103" s="11">
        <v>85</v>
      </c>
      <c r="AO103" s="12">
        <v>173604.67411764711</v>
      </c>
      <c r="AP103" s="12">
        <v>3835.411764705882</v>
      </c>
      <c r="AQ103" s="13">
        <v>1.890863086391982</v>
      </c>
      <c r="AR103" s="11">
        <v>4088980.1</v>
      </c>
      <c r="AS103" s="11">
        <v>100244</v>
      </c>
      <c r="AT103" s="11">
        <v>88</v>
      </c>
      <c r="AU103" s="12">
        <v>139397.04886363639</v>
      </c>
      <c r="AV103" s="12">
        <v>3417.409090909091</v>
      </c>
      <c r="AW103" s="13">
        <v>1.9928766920662659</v>
      </c>
      <c r="AX103" s="11">
        <v>2983862.7</v>
      </c>
      <c r="AY103" s="11">
        <v>75379</v>
      </c>
      <c r="AZ103" s="11">
        <v>72</v>
      </c>
      <c r="BA103" s="12">
        <v>124327.6125</v>
      </c>
      <c r="BB103" s="12">
        <v>3140.791666666667</v>
      </c>
      <c r="BC103" s="13">
        <v>2.0234242433167049</v>
      </c>
      <c r="BD103" s="11">
        <v>3066797.9</v>
      </c>
      <c r="BE103" s="11">
        <v>84402</v>
      </c>
      <c r="BF103" s="11">
        <v>73</v>
      </c>
      <c r="BG103" s="12">
        <v>126032.7904109589</v>
      </c>
      <c r="BH103" s="12">
        <v>3468.5753424657528</v>
      </c>
      <c r="BI103" s="13">
        <v>2.1125789945799949</v>
      </c>
      <c r="BJ103" s="11">
        <v>2935436.55</v>
      </c>
      <c r="BK103" s="11">
        <v>72957</v>
      </c>
      <c r="BL103" s="11">
        <v>66</v>
      </c>
      <c r="BM103" s="12">
        <v>133428.93409090911</v>
      </c>
      <c r="BN103" s="12">
        <v>3316.227272727273</v>
      </c>
      <c r="BO103" s="13">
        <v>2.0074290553751939</v>
      </c>
      <c r="BP103" s="11">
        <v>2811905.55</v>
      </c>
      <c r="BQ103" s="11">
        <v>78695</v>
      </c>
      <c r="BR103" s="11">
        <v>73</v>
      </c>
      <c r="BS103" s="12">
        <v>115557.7623287671</v>
      </c>
      <c r="BT103" s="12">
        <v>3234.0410958904108</v>
      </c>
      <c r="BU103" s="13">
        <v>2.1298305250429652</v>
      </c>
      <c r="BV103" s="11">
        <v>3569246.25</v>
      </c>
      <c r="BW103" s="11">
        <v>63868</v>
      </c>
      <c r="BX103" s="11">
        <v>78</v>
      </c>
      <c r="BY103" s="12">
        <v>137278.70192307691</v>
      </c>
      <c r="BZ103" s="12">
        <v>2456.461538461539</v>
      </c>
      <c r="CA103" s="13">
        <v>1.702951174165839</v>
      </c>
      <c r="CB103" s="11">
        <v>2803671.9750000001</v>
      </c>
      <c r="CC103" s="11">
        <v>72804</v>
      </c>
      <c r="CD103" s="11">
        <v>74</v>
      </c>
      <c r="CE103" s="12">
        <v>113662.37736486489</v>
      </c>
      <c r="CF103" s="12">
        <v>2951.5135135135129</v>
      </c>
      <c r="CG103" s="13">
        <v>2.0517004993776609</v>
      </c>
      <c r="CJ103" s="11"/>
      <c r="CK103" s="12"/>
      <c r="CL103" s="12"/>
      <c r="CM103" s="13"/>
      <c r="CN103" s="11"/>
      <c r="CO103" s="11"/>
      <c r="CP103" s="11"/>
    </row>
    <row r="104" spans="1:94" x14ac:dyDescent="0.25">
      <c r="A104" s="20" t="s">
        <v>99</v>
      </c>
      <c r="B104" s="8">
        <v>2290068</v>
      </c>
      <c r="C104" s="8">
        <v>183004.63636363635</v>
      </c>
      <c r="D104" s="8">
        <v>837</v>
      </c>
      <c r="E104" s="9">
        <v>90289.419354838712</v>
      </c>
      <c r="F104" s="9">
        <v>7215.2365591397847</v>
      </c>
      <c r="G104" s="10">
        <v>3.6236363636363635</v>
      </c>
      <c r="H104" s="8">
        <v>1716712.0320833351</v>
      </c>
      <c r="I104" s="8">
        <v>139719.25</v>
      </c>
      <c r="J104" s="8">
        <v>768</v>
      </c>
      <c r="K104" s="9">
        <v>80470.876503906329</v>
      </c>
      <c r="L104" s="9">
        <v>6549.33984375</v>
      </c>
      <c r="M104" s="10">
        <v>3.6322334022345149</v>
      </c>
      <c r="N104" s="8">
        <f t="shared" si="20"/>
        <v>2078975.3745454543</v>
      </c>
      <c r="O104" s="8">
        <f t="shared" si="21"/>
        <v>164365.81818181818</v>
      </c>
      <c r="P104" s="8">
        <f t="shared" si="22"/>
        <v>846</v>
      </c>
      <c r="Q104" s="9">
        <f t="shared" si="23"/>
        <v>81094.784113475165</v>
      </c>
      <c r="R104" s="9">
        <f t="shared" si="24"/>
        <v>6411.432624113475</v>
      </c>
      <c r="S104" s="10">
        <f t="shared" si="25"/>
        <v>3.5921020820477554</v>
      </c>
      <c r="T104" s="11">
        <v>2131852.875</v>
      </c>
      <c r="U104" s="11">
        <v>171813</v>
      </c>
      <c r="V104" s="11">
        <v>78</v>
      </c>
      <c r="W104" s="12">
        <v>81994.341346153844</v>
      </c>
      <c r="X104" s="12">
        <v>6608.1923076923067</v>
      </c>
      <c r="Y104" s="13">
        <v>3.614379573257271</v>
      </c>
      <c r="Z104" s="11">
        <v>2165711.4750000001</v>
      </c>
      <c r="AA104" s="11">
        <v>174253</v>
      </c>
      <c r="AB104" s="11">
        <v>75</v>
      </c>
      <c r="AC104" s="12">
        <v>86628.459000000003</v>
      </c>
      <c r="AD104" s="12">
        <v>6970.1200000000008</v>
      </c>
      <c r="AE104" s="13">
        <v>3.6121159804674261</v>
      </c>
      <c r="AF104" s="11">
        <v>1833012.825</v>
      </c>
      <c r="AG104" s="11">
        <v>175646</v>
      </c>
      <c r="AH104" s="11">
        <v>77</v>
      </c>
      <c r="AI104" s="12">
        <v>71416.084090909091</v>
      </c>
      <c r="AJ104" s="12">
        <v>6843.3506493506484</v>
      </c>
      <c r="AK104" s="13">
        <v>3.9420827490662038</v>
      </c>
      <c r="AL104" s="11">
        <v>2327607.4249999998</v>
      </c>
      <c r="AM104" s="11">
        <v>155735</v>
      </c>
      <c r="AN104" s="11">
        <v>86</v>
      </c>
      <c r="AO104" s="12">
        <v>81195.6078488372</v>
      </c>
      <c r="AP104" s="12">
        <v>5432.6162790697672</v>
      </c>
      <c r="AQ104" s="13">
        <v>3.2935328790759821</v>
      </c>
      <c r="AR104" s="11">
        <v>2538756.1</v>
      </c>
      <c r="AS104" s="11">
        <v>174602</v>
      </c>
      <c r="AT104" s="11">
        <v>88</v>
      </c>
      <c r="AU104" s="12">
        <v>86548.503409090918</v>
      </c>
      <c r="AV104" s="12">
        <v>5952.340909090909</v>
      </c>
      <c r="AW104" s="13">
        <v>3.3392183156425599</v>
      </c>
      <c r="AX104" s="11">
        <v>1709985.9</v>
      </c>
      <c r="AY104" s="11">
        <v>131879</v>
      </c>
      <c r="AZ104" s="11">
        <v>69</v>
      </c>
      <c r="BA104" s="12">
        <v>74347.213043478259</v>
      </c>
      <c r="BB104" s="12">
        <v>5733.869565217391</v>
      </c>
      <c r="BC104" s="13">
        <v>3.5357838198085259</v>
      </c>
      <c r="BD104" s="11">
        <v>1701861.125</v>
      </c>
      <c r="BE104" s="11">
        <v>167490</v>
      </c>
      <c r="BF104" s="11">
        <v>74</v>
      </c>
      <c r="BG104" s="12">
        <v>68994.369932432426</v>
      </c>
      <c r="BH104" s="12">
        <v>6790.135135135135</v>
      </c>
      <c r="BI104" s="13">
        <v>3.9947360260088489</v>
      </c>
      <c r="BJ104" s="11">
        <v>1975276.095</v>
      </c>
      <c r="BK104" s="11">
        <v>148568</v>
      </c>
      <c r="BL104" s="11">
        <v>74</v>
      </c>
      <c r="BM104" s="12">
        <v>80078.760608108103</v>
      </c>
      <c r="BN104" s="12">
        <v>6023.0270270270266</v>
      </c>
      <c r="BO104" s="13">
        <v>3.4918555947887211</v>
      </c>
      <c r="BP104" s="11">
        <v>2195957.4</v>
      </c>
      <c r="BQ104" s="11">
        <v>167901</v>
      </c>
      <c r="BR104" s="11">
        <v>77</v>
      </c>
      <c r="BS104" s="12">
        <v>85556.781818181815</v>
      </c>
      <c r="BT104" s="12">
        <v>6541.5974025974019</v>
      </c>
      <c r="BU104" s="13">
        <v>3.52061902272083</v>
      </c>
      <c r="BV104" s="11">
        <v>2133981.65</v>
      </c>
      <c r="BW104" s="11">
        <v>180501</v>
      </c>
      <c r="BX104" s="11">
        <v>76</v>
      </c>
      <c r="BY104" s="12">
        <v>84236.11776315789</v>
      </c>
      <c r="BZ104" s="12">
        <v>7125.03947368421</v>
      </c>
      <c r="CA104" s="13">
        <v>3.7028437512545622</v>
      </c>
      <c r="CB104" s="11">
        <v>2154726.25</v>
      </c>
      <c r="CC104" s="11">
        <v>159636</v>
      </c>
      <c r="CD104" s="11">
        <v>72</v>
      </c>
      <c r="CE104" s="12">
        <v>89780.260416666672</v>
      </c>
      <c r="CF104" s="12">
        <v>6651.5</v>
      </c>
      <c r="CG104" s="13">
        <v>3.4659551904343782</v>
      </c>
      <c r="CJ104" s="11"/>
      <c r="CK104" s="12"/>
      <c r="CL104" s="12"/>
      <c r="CM104" s="13"/>
      <c r="CN104" s="11"/>
      <c r="CO104" s="11"/>
      <c r="CP104" s="11"/>
    </row>
    <row r="105" spans="1:94" x14ac:dyDescent="0.25">
      <c r="A105" s="20" t="s">
        <v>100</v>
      </c>
      <c r="B105" s="8">
        <v>1760045.5454545454</v>
      </c>
      <c r="C105" s="8">
        <v>159796.72727272726</v>
      </c>
      <c r="D105" s="8">
        <v>866</v>
      </c>
      <c r="E105" s="9">
        <v>67068.710161662821</v>
      </c>
      <c r="F105" s="9">
        <v>6089.2517321016167</v>
      </c>
      <c r="G105" s="10">
        <v>3.8481818181818181</v>
      </c>
      <c r="H105" s="8">
        <v>1805374.4733333329</v>
      </c>
      <c r="I105" s="8">
        <v>139534.66666666666</v>
      </c>
      <c r="J105" s="8">
        <v>887</v>
      </c>
      <c r="K105" s="9">
        <v>73273.372085682058</v>
      </c>
      <c r="L105" s="9">
        <v>5663.1882750845552</v>
      </c>
      <c r="M105" s="10">
        <v>3.5398416238521819</v>
      </c>
      <c r="N105" s="8">
        <f t="shared" si="20"/>
        <v>1741391.0649999999</v>
      </c>
      <c r="O105" s="8">
        <f t="shared" si="21"/>
        <v>133831.72727272726</v>
      </c>
      <c r="P105" s="8">
        <f t="shared" si="22"/>
        <v>817</v>
      </c>
      <c r="Q105" s="9">
        <f t="shared" si="23"/>
        <v>70337.70519583844</v>
      </c>
      <c r="R105" s="9">
        <f t="shared" si="24"/>
        <v>5405.6878824969408</v>
      </c>
      <c r="S105" s="10">
        <f t="shared" si="25"/>
        <v>3.5511642699121135</v>
      </c>
      <c r="T105" s="11">
        <v>1866502.7749999999</v>
      </c>
      <c r="U105" s="11">
        <v>129330</v>
      </c>
      <c r="V105" s="11">
        <v>72</v>
      </c>
      <c r="W105" s="12">
        <v>77770.948958333334</v>
      </c>
      <c r="X105" s="12">
        <v>5388.75</v>
      </c>
      <c r="Y105" s="13">
        <v>3.3512893786386009</v>
      </c>
      <c r="Z105" s="11">
        <v>1435719.2250000001</v>
      </c>
      <c r="AA105" s="11">
        <v>154569</v>
      </c>
      <c r="AB105" s="11">
        <v>71</v>
      </c>
      <c r="AC105" s="12">
        <v>60664.192605633812</v>
      </c>
      <c r="AD105" s="12">
        <v>6531.0845070422538</v>
      </c>
      <c r="AE105" s="13">
        <v>4.1779439082985128</v>
      </c>
      <c r="AF105" s="11">
        <v>1495464.55</v>
      </c>
      <c r="AG105" s="11">
        <v>136418</v>
      </c>
      <c r="AH105" s="11">
        <v>75</v>
      </c>
      <c r="AI105" s="12">
        <v>59818.582000000009</v>
      </c>
      <c r="AJ105" s="12">
        <v>5456.72</v>
      </c>
      <c r="AK105" s="13">
        <v>3.8459367912301161</v>
      </c>
      <c r="AL105" s="11">
        <v>1729012.825</v>
      </c>
      <c r="AM105" s="11">
        <v>156221</v>
      </c>
      <c r="AN105" s="11">
        <v>82</v>
      </c>
      <c r="AO105" s="12">
        <v>63256.56676829268</v>
      </c>
      <c r="AP105" s="12">
        <v>5715.4024390243903</v>
      </c>
      <c r="AQ105" s="13">
        <v>3.8278889893664929</v>
      </c>
      <c r="AR105" s="11">
        <v>2144938.2749999999</v>
      </c>
      <c r="AS105" s="11">
        <v>132703</v>
      </c>
      <c r="AT105" s="11">
        <v>84</v>
      </c>
      <c r="AU105" s="12">
        <v>76604.938392857133</v>
      </c>
      <c r="AV105" s="12">
        <v>4739.3928571428569</v>
      </c>
      <c r="AW105" s="13">
        <v>3.1672900734005749</v>
      </c>
      <c r="AX105" s="11">
        <v>1773121.4</v>
      </c>
      <c r="AY105" s="11">
        <v>100658</v>
      </c>
      <c r="AZ105" s="11">
        <v>62</v>
      </c>
      <c r="BA105" s="12">
        <v>85796.196774193551</v>
      </c>
      <c r="BB105" s="12">
        <v>4870.5483870967746</v>
      </c>
      <c r="BC105" s="13">
        <v>3.0339623715367812</v>
      </c>
      <c r="BD105" s="11">
        <v>1708190.9</v>
      </c>
      <c r="BE105" s="11">
        <v>113065</v>
      </c>
      <c r="BF105" s="11">
        <v>72</v>
      </c>
      <c r="BG105" s="12">
        <v>71174.620833333334</v>
      </c>
      <c r="BH105" s="12">
        <v>4711.0416666666661</v>
      </c>
      <c r="BI105" s="13">
        <v>3.2759178926526542</v>
      </c>
      <c r="BJ105" s="11">
        <v>1911018.5</v>
      </c>
      <c r="BK105" s="11">
        <v>125750</v>
      </c>
      <c r="BL105" s="11">
        <v>74</v>
      </c>
      <c r="BM105" s="12">
        <v>77473.722972972973</v>
      </c>
      <c r="BN105" s="12">
        <v>5097.9729729729734</v>
      </c>
      <c r="BO105" s="13">
        <v>3.2660365140799921</v>
      </c>
      <c r="BP105" s="11">
        <v>1895446.75</v>
      </c>
      <c r="BQ105" s="11">
        <v>132419</v>
      </c>
      <c r="BR105" s="11">
        <v>76</v>
      </c>
      <c r="BS105" s="12">
        <v>74820.266447368427</v>
      </c>
      <c r="BT105" s="12">
        <v>5227.0657894736842</v>
      </c>
      <c r="BU105" s="13">
        <v>3.3657519891188108</v>
      </c>
      <c r="BV105" s="11">
        <v>1856531.0149999999</v>
      </c>
      <c r="BW105" s="11">
        <v>150230</v>
      </c>
      <c r="BX105" s="11">
        <v>79</v>
      </c>
      <c r="BY105" s="12">
        <v>70501.177784810119</v>
      </c>
      <c r="BZ105" s="12">
        <v>5704.9367088607596</v>
      </c>
      <c r="CA105" s="13">
        <v>3.6222328152431871</v>
      </c>
      <c r="CB105" s="11">
        <v>1339355.5</v>
      </c>
      <c r="CC105" s="11">
        <v>140786</v>
      </c>
      <c r="CD105" s="11">
        <v>70</v>
      </c>
      <c r="CE105" s="12">
        <v>57400.95</v>
      </c>
      <c r="CF105" s="12">
        <v>6033.6857142857143</v>
      </c>
      <c r="CG105" s="13">
        <v>4.1285562454675224</v>
      </c>
      <c r="CJ105" s="11"/>
      <c r="CK105" s="12"/>
      <c r="CL105" s="12"/>
      <c r="CM105" s="13"/>
      <c r="CN105" s="11"/>
      <c r="CO105" s="11"/>
      <c r="CP105" s="11"/>
    </row>
    <row r="106" spans="1:94" x14ac:dyDescent="0.25">
      <c r="A106" s="20" t="s">
        <v>101</v>
      </c>
      <c r="B106" s="8">
        <v>3070336.9090909092</v>
      </c>
      <c r="C106" s="8">
        <v>90451.090909090912</v>
      </c>
      <c r="D106" s="8">
        <v>871</v>
      </c>
      <c r="E106" s="9">
        <v>116327.34557979334</v>
      </c>
      <c r="F106" s="9">
        <v>3426.9644087256024</v>
      </c>
      <c r="G106" s="10">
        <v>2.1818181818181817</v>
      </c>
      <c r="H106" s="8">
        <v>2871108.3500000015</v>
      </c>
      <c r="I106" s="8">
        <v>75038.416666666672</v>
      </c>
      <c r="J106" s="8">
        <v>926</v>
      </c>
      <c r="K106" s="9">
        <v>111619.76306695471</v>
      </c>
      <c r="L106" s="9">
        <v>2917.2602591792656</v>
      </c>
      <c r="M106" s="10">
        <v>2.0576079997783618</v>
      </c>
      <c r="N106" s="8">
        <f t="shared" si="20"/>
        <v>2803354.9280000003</v>
      </c>
      <c r="O106" s="8">
        <f t="shared" si="21"/>
        <v>74342.3</v>
      </c>
      <c r="P106" s="8">
        <f t="shared" si="22"/>
        <v>689</v>
      </c>
      <c r="Q106" s="9">
        <f t="shared" si="23"/>
        <v>122061.8981712627</v>
      </c>
      <c r="R106" s="9">
        <f t="shared" si="24"/>
        <v>3236.9651669085633</v>
      </c>
      <c r="S106" s="10">
        <f t="shared" si="25"/>
        <v>2.1146433019709594</v>
      </c>
      <c r="T106" s="11">
        <v>742431.28</v>
      </c>
      <c r="U106" s="11">
        <v>26374</v>
      </c>
      <c r="V106" s="11">
        <v>25</v>
      </c>
      <c r="W106" s="12">
        <v>89091.753600000011</v>
      </c>
      <c r="X106" s="12">
        <v>3164.88</v>
      </c>
      <c r="Y106" s="13">
        <v>2.4001559457307509</v>
      </c>
      <c r="Z106" s="11">
        <v>3720995</v>
      </c>
      <c r="AA106" s="11">
        <v>77954</v>
      </c>
      <c r="AB106" s="11">
        <v>78</v>
      </c>
      <c r="AC106" s="12">
        <v>143115.19230769231</v>
      </c>
      <c r="AD106" s="12">
        <v>2998.23076923077</v>
      </c>
      <c r="AE106" s="13">
        <v>1.843054642539447</v>
      </c>
      <c r="AF106" s="11"/>
      <c r="AG106" s="11"/>
      <c r="AH106" s="11"/>
      <c r="AI106" s="12"/>
      <c r="AJ106" s="12"/>
      <c r="AK106" s="13"/>
      <c r="AL106" s="11">
        <v>1857533.8</v>
      </c>
      <c r="AM106" s="11">
        <v>67415</v>
      </c>
      <c r="AN106" s="11">
        <v>53</v>
      </c>
      <c r="AO106" s="12">
        <v>105143.4226415094</v>
      </c>
      <c r="AP106" s="12">
        <v>3815.9433962264161</v>
      </c>
      <c r="AQ106" s="13">
        <v>2.4253035239571741</v>
      </c>
      <c r="AR106" s="11">
        <v>3744826</v>
      </c>
      <c r="AS106" s="11">
        <v>98336</v>
      </c>
      <c r="AT106" s="11">
        <v>87</v>
      </c>
      <c r="AU106" s="12">
        <v>129131.9310344828</v>
      </c>
      <c r="AV106" s="12">
        <v>3390.8965517241381</v>
      </c>
      <c r="AW106" s="13">
        <v>2.063294621418911</v>
      </c>
      <c r="AX106" s="11">
        <v>3177850.5</v>
      </c>
      <c r="AY106" s="11">
        <v>70105</v>
      </c>
      <c r="AZ106" s="11">
        <v>72</v>
      </c>
      <c r="BA106" s="12">
        <v>132410.4375</v>
      </c>
      <c r="BB106" s="12">
        <v>2921.041666666667</v>
      </c>
      <c r="BC106" s="13">
        <v>1.8903178912860139</v>
      </c>
      <c r="BD106" s="11">
        <v>3261487.4</v>
      </c>
      <c r="BE106" s="11">
        <v>78859</v>
      </c>
      <c r="BF106" s="11">
        <v>73</v>
      </c>
      <c r="BG106" s="12">
        <v>134033.72876712331</v>
      </c>
      <c r="BH106" s="12">
        <v>3240.7808219178091</v>
      </c>
      <c r="BI106" s="13">
        <v>1.9780684073905279</v>
      </c>
      <c r="BJ106" s="11">
        <v>3021847.95</v>
      </c>
      <c r="BK106" s="11">
        <v>87160</v>
      </c>
      <c r="BL106" s="11">
        <v>74</v>
      </c>
      <c r="BM106" s="12">
        <v>122507.3493243243</v>
      </c>
      <c r="BN106" s="12">
        <v>3533.5135135135142</v>
      </c>
      <c r="BO106" s="13">
        <v>2.1630624222569002</v>
      </c>
      <c r="BP106" s="11">
        <v>2682963.35</v>
      </c>
      <c r="BQ106" s="11">
        <v>84022</v>
      </c>
      <c r="BR106" s="11">
        <v>77</v>
      </c>
      <c r="BS106" s="12">
        <v>104531.03961038961</v>
      </c>
      <c r="BT106" s="12">
        <v>3273.5844155844161</v>
      </c>
      <c r="BU106" s="13">
        <v>2.2530032146753771</v>
      </c>
      <c r="BV106" s="11">
        <v>3076344.8</v>
      </c>
      <c r="BW106" s="11">
        <v>79828</v>
      </c>
      <c r="BX106" s="11">
        <v>79</v>
      </c>
      <c r="BY106" s="12">
        <v>116823.2202531646</v>
      </c>
      <c r="BZ106" s="12">
        <v>3031.4430379746841</v>
      </c>
      <c r="CA106" s="13">
        <v>2.050512085235932</v>
      </c>
      <c r="CB106" s="11">
        <v>2747269.2</v>
      </c>
      <c r="CC106" s="11">
        <v>73370</v>
      </c>
      <c r="CD106" s="11">
        <v>71</v>
      </c>
      <c r="CE106" s="12">
        <v>116081.79718309861</v>
      </c>
      <c r="CF106" s="12">
        <v>3100.140845070423</v>
      </c>
      <c r="CG106" s="13">
        <v>2.0796602652185618</v>
      </c>
      <c r="CJ106" s="11"/>
      <c r="CK106" s="12"/>
      <c r="CL106" s="12"/>
      <c r="CM106" s="13"/>
      <c r="CN106" s="11"/>
      <c r="CO106" s="11"/>
      <c r="CP106" s="11"/>
    </row>
    <row r="107" spans="1:94" x14ac:dyDescent="0.25">
      <c r="A107" s="20" t="s">
        <v>102</v>
      </c>
      <c r="B107" s="8">
        <v>5964674.5454545459</v>
      </c>
      <c r="C107" s="8">
        <v>111941</v>
      </c>
      <c r="D107" s="8">
        <v>659</v>
      </c>
      <c r="E107" s="9">
        <v>298686.28224582702</v>
      </c>
      <c r="F107" s="9">
        <v>5605.5432473444616</v>
      </c>
      <c r="G107" s="10">
        <v>1.7490909090909093</v>
      </c>
      <c r="H107" s="8" t="s">
        <v>27</v>
      </c>
      <c r="I107" s="8" t="s">
        <v>27</v>
      </c>
      <c r="J107" s="8">
        <v>0</v>
      </c>
      <c r="K107" s="9" t="s">
        <v>27</v>
      </c>
      <c r="L107" s="9" t="s">
        <v>27</v>
      </c>
      <c r="M107" s="10"/>
      <c r="N107" s="8" t="str">
        <f t="shared" si="20"/>
        <v xml:space="preserve"> </v>
      </c>
      <c r="O107" s="8" t="str">
        <f t="shared" si="21"/>
        <v xml:space="preserve"> </v>
      </c>
      <c r="P107" s="8">
        <f t="shared" si="22"/>
        <v>0</v>
      </c>
      <c r="Q107" s="9" t="str">
        <f t="shared" si="23"/>
        <v xml:space="preserve"> </v>
      </c>
      <c r="R107" s="9" t="str">
        <f t="shared" si="24"/>
        <v xml:space="preserve"> </v>
      </c>
      <c r="S107" s="10" t="str">
        <f t="shared" si="25"/>
        <v xml:space="preserve"> </v>
      </c>
      <c r="T107" s="11"/>
      <c r="U107" s="11"/>
      <c r="V107" s="11"/>
      <c r="W107" s="12"/>
      <c r="X107" s="12"/>
      <c r="Y107" s="13"/>
      <c r="Z107" s="11"/>
      <c r="AA107" s="11"/>
      <c r="AB107" s="11"/>
      <c r="AC107" s="12"/>
      <c r="AD107" s="12"/>
      <c r="AE107" s="13"/>
      <c r="AF107" s="11"/>
      <c r="AG107" s="11"/>
      <c r="AH107" s="11"/>
      <c r="AI107" s="12"/>
      <c r="AJ107" s="12"/>
      <c r="AK107" s="13"/>
      <c r="AL107" s="11"/>
      <c r="AM107" s="11"/>
      <c r="AN107" s="11"/>
      <c r="AO107" s="12"/>
      <c r="AP107" s="12"/>
      <c r="AQ107" s="13"/>
      <c r="AR107" s="11"/>
      <c r="AS107" s="11"/>
      <c r="AT107" s="11"/>
      <c r="AU107" s="12"/>
      <c r="AV107" s="12"/>
      <c r="AW107" s="13"/>
      <c r="AX107" s="11"/>
      <c r="AY107" s="11"/>
      <c r="AZ107" s="11"/>
      <c r="BA107" s="12"/>
      <c r="BB107" s="12"/>
      <c r="BC107" s="13"/>
      <c r="BD107" s="11"/>
      <c r="BE107" s="11"/>
      <c r="BF107" s="11"/>
      <c r="BG107" s="12"/>
      <c r="BH107" s="12"/>
      <c r="BI107" s="13"/>
      <c r="BJ107" s="11"/>
      <c r="BK107" s="11"/>
      <c r="BL107" s="11"/>
      <c r="BM107" s="12"/>
      <c r="BN107" s="12"/>
      <c r="BO107" s="13"/>
      <c r="BP107" s="11"/>
      <c r="BQ107" s="11"/>
      <c r="BR107" s="11"/>
      <c r="BS107" s="12"/>
      <c r="BT107" s="12"/>
      <c r="BU107" s="13"/>
      <c r="BV107" s="11"/>
      <c r="BW107" s="11"/>
      <c r="BX107" s="11"/>
      <c r="BY107" s="12"/>
      <c r="BZ107" s="12"/>
      <c r="CA107" s="13"/>
      <c r="CB107" s="11"/>
      <c r="CC107" s="11"/>
      <c r="CD107" s="11"/>
      <c r="CE107" s="12"/>
      <c r="CF107" s="12"/>
      <c r="CG107" s="13"/>
      <c r="CJ107" s="11"/>
      <c r="CK107" s="12"/>
      <c r="CL107" s="12"/>
      <c r="CM107" s="13"/>
      <c r="CN107" s="11"/>
      <c r="CO107" s="11"/>
      <c r="CP107" s="11"/>
    </row>
    <row r="108" spans="1:94" x14ac:dyDescent="0.25">
      <c r="A108" s="20" t="s">
        <v>103</v>
      </c>
      <c r="B108" s="8">
        <v>2972072.1818181816</v>
      </c>
      <c r="C108" s="8">
        <v>67392.181818181823</v>
      </c>
      <c r="D108" s="8">
        <v>781</v>
      </c>
      <c r="E108" s="9">
        <v>125580.51472471192</v>
      </c>
      <c r="F108" s="9">
        <v>2847.5569782330349</v>
      </c>
      <c r="G108" s="10">
        <v>1.9427272727272724</v>
      </c>
      <c r="H108" s="8">
        <v>2745136.2666666671</v>
      </c>
      <c r="I108" s="8">
        <v>76929.333333333328</v>
      </c>
      <c r="J108" s="8">
        <v>926</v>
      </c>
      <c r="K108" s="9">
        <v>106722.36025917929</v>
      </c>
      <c r="L108" s="9">
        <v>2990.7732181425486</v>
      </c>
      <c r="M108" s="10">
        <v>2.1303961544764878</v>
      </c>
      <c r="N108" s="8">
        <f t="shared" si="20"/>
        <v>3390411.4249999998</v>
      </c>
      <c r="O108" s="8">
        <f t="shared" si="21"/>
        <v>76574.600000000006</v>
      </c>
      <c r="P108" s="8">
        <f t="shared" si="22"/>
        <v>771</v>
      </c>
      <c r="Q108" s="9">
        <f t="shared" si="23"/>
        <v>131922.62354085603</v>
      </c>
      <c r="R108" s="9">
        <f t="shared" si="24"/>
        <v>2979.5564202334631</v>
      </c>
      <c r="S108" s="10">
        <f t="shared" si="25"/>
        <v>1.9250873973886642</v>
      </c>
      <c r="T108" s="11">
        <v>3195378.4</v>
      </c>
      <c r="U108" s="11">
        <v>63581</v>
      </c>
      <c r="V108" s="11">
        <v>74</v>
      </c>
      <c r="W108" s="12">
        <v>129542.36756756761</v>
      </c>
      <c r="X108" s="12">
        <v>2577.6081081081079</v>
      </c>
      <c r="Y108" s="13">
        <v>1.7961909059401691</v>
      </c>
      <c r="Z108" s="11"/>
      <c r="AA108" s="11"/>
      <c r="AB108" s="11"/>
      <c r="AC108" s="12"/>
      <c r="AD108" s="12"/>
      <c r="AE108" s="13"/>
      <c r="AF108" s="11">
        <v>3567094</v>
      </c>
      <c r="AG108" s="11">
        <v>79333</v>
      </c>
      <c r="AH108" s="11">
        <v>78</v>
      </c>
      <c r="AI108" s="12">
        <v>137195.92307692309</v>
      </c>
      <c r="AJ108" s="12">
        <v>3051.26923076923</v>
      </c>
      <c r="AK108" s="13">
        <v>1.898229821249005</v>
      </c>
      <c r="AL108" s="11">
        <v>3912900.25</v>
      </c>
      <c r="AM108" s="11">
        <v>94140</v>
      </c>
      <c r="AN108" s="11">
        <v>86</v>
      </c>
      <c r="AO108" s="12">
        <v>136496.52034883719</v>
      </c>
      <c r="AP108" s="12">
        <v>3283.953488372093</v>
      </c>
      <c r="AQ108" s="13">
        <v>1.9735108935488259</v>
      </c>
      <c r="AR108" s="11">
        <v>4691237.25</v>
      </c>
      <c r="AS108" s="11">
        <v>93630</v>
      </c>
      <c r="AT108" s="11">
        <v>89</v>
      </c>
      <c r="AU108" s="12">
        <v>158131.5926966292</v>
      </c>
      <c r="AV108" s="12">
        <v>3156.067415730337</v>
      </c>
      <c r="AW108" s="13">
        <v>1.7989846125513429</v>
      </c>
      <c r="AX108" s="11">
        <v>2491104</v>
      </c>
      <c r="AY108" s="11">
        <v>63845</v>
      </c>
      <c r="AZ108" s="11">
        <v>70</v>
      </c>
      <c r="BA108" s="12">
        <v>106761.60000000001</v>
      </c>
      <c r="BB108" s="12">
        <v>2736.2142857142858</v>
      </c>
      <c r="BC108" s="13">
        <v>2.0396750151426741</v>
      </c>
      <c r="BD108" s="11">
        <v>2902756</v>
      </c>
      <c r="BE108" s="11">
        <v>68512</v>
      </c>
      <c r="BF108" s="11">
        <v>73</v>
      </c>
      <c r="BG108" s="12">
        <v>119291.34246575341</v>
      </c>
      <c r="BH108" s="12">
        <v>2815.561643835616</v>
      </c>
      <c r="BI108" s="13">
        <v>1.954715608794261</v>
      </c>
      <c r="BJ108" s="11">
        <v>3866538</v>
      </c>
      <c r="BK108" s="11">
        <v>73124</v>
      </c>
      <c r="BL108" s="11">
        <v>74</v>
      </c>
      <c r="BM108" s="12">
        <v>156751.5405405405</v>
      </c>
      <c r="BN108" s="12">
        <v>2964.4864864864871</v>
      </c>
      <c r="BO108" s="13">
        <v>1.7519414885104769</v>
      </c>
      <c r="BP108" s="11">
        <v>3178825.35</v>
      </c>
      <c r="BQ108" s="11">
        <v>71775</v>
      </c>
      <c r="BR108" s="11">
        <v>77</v>
      </c>
      <c r="BS108" s="12">
        <v>123850.33831168831</v>
      </c>
      <c r="BT108" s="12">
        <v>2796.428571428572</v>
      </c>
      <c r="BU108" s="13">
        <v>1.9123930996983229</v>
      </c>
      <c r="BV108" s="11">
        <v>2651852</v>
      </c>
      <c r="BW108" s="11">
        <v>83291</v>
      </c>
      <c r="BX108" s="11">
        <v>79</v>
      </c>
      <c r="BY108" s="12">
        <v>100703.24050632909</v>
      </c>
      <c r="BZ108" s="12">
        <v>3162.9493670886081</v>
      </c>
      <c r="CA108" s="13">
        <v>2.254546049814568</v>
      </c>
      <c r="CB108" s="11">
        <v>3446429</v>
      </c>
      <c r="CC108" s="11">
        <v>74515</v>
      </c>
      <c r="CD108" s="11">
        <v>71</v>
      </c>
      <c r="CE108" s="12">
        <v>145623.76056338029</v>
      </c>
      <c r="CF108" s="12">
        <v>3148.5211267605641</v>
      </c>
      <c r="CG108" s="13">
        <v>1.870686478636997</v>
      </c>
      <c r="CJ108" s="11"/>
      <c r="CK108" s="12"/>
      <c r="CL108" s="12"/>
      <c r="CM108" s="13"/>
      <c r="CN108" s="11"/>
      <c r="CO108" s="11"/>
      <c r="CP108" s="11"/>
    </row>
    <row r="109" spans="1:94" x14ac:dyDescent="0.25">
      <c r="A109" s="20" t="s">
        <v>104</v>
      </c>
      <c r="B109" s="8">
        <v>2382104.2727272729</v>
      </c>
      <c r="C109" s="8">
        <v>73109.181818181823</v>
      </c>
      <c r="D109" s="8">
        <v>850</v>
      </c>
      <c r="E109" s="9">
        <v>92481.695294117642</v>
      </c>
      <c r="F109" s="9">
        <v>2838.3564705882354</v>
      </c>
      <c r="G109" s="10">
        <v>2.229090909090909</v>
      </c>
      <c r="H109" s="8">
        <v>2137130.3666666667</v>
      </c>
      <c r="I109" s="8">
        <v>73435.666666666672</v>
      </c>
      <c r="J109" s="8">
        <v>919</v>
      </c>
      <c r="K109" s="9">
        <v>83717.838084874849</v>
      </c>
      <c r="L109" s="9">
        <v>2876.6964091403702</v>
      </c>
      <c r="M109" s="10">
        <v>2.3588738876759612</v>
      </c>
      <c r="N109" s="8">
        <f t="shared" si="20"/>
        <v>2780750.8863636362</v>
      </c>
      <c r="O109" s="8">
        <f t="shared" si="21"/>
        <v>75845.909090909088</v>
      </c>
      <c r="P109" s="8">
        <f t="shared" si="22"/>
        <v>843</v>
      </c>
      <c r="Q109" s="9">
        <f t="shared" si="23"/>
        <v>108855.0169039146</v>
      </c>
      <c r="R109" s="9">
        <f t="shared" si="24"/>
        <v>2969.0569395017792</v>
      </c>
      <c r="S109" s="10">
        <f t="shared" si="25"/>
        <v>2.1205676897802856</v>
      </c>
      <c r="T109" s="11">
        <v>2534506.75</v>
      </c>
      <c r="U109" s="11">
        <v>63941</v>
      </c>
      <c r="V109" s="11">
        <v>75</v>
      </c>
      <c r="W109" s="12">
        <v>101380.27</v>
      </c>
      <c r="X109" s="12">
        <v>2557.64</v>
      </c>
      <c r="Y109" s="13">
        <v>2.02045076780206</v>
      </c>
      <c r="Z109" s="11">
        <v>2966666.5</v>
      </c>
      <c r="AA109" s="11">
        <v>75487</v>
      </c>
      <c r="AB109" s="11">
        <v>77</v>
      </c>
      <c r="AC109" s="12">
        <v>115584.4090909091</v>
      </c>
      <c r="AD109" s="12">
        <v>2941.0519480519479</v>
      </c>
      <c r="AE109" s="13">
        <v>2.0314778996453118</v>
      </c>
      <c r="AF109" s="11">
        <v>2736754.15</v>
      </c>
      <c r="AG109" s="11">
        <v>84881</v>
      </c>
      <c r="AH109" s="11">
        <v>78</v>
      </c>
      <c r="AI109" s="12">
        <v>105259.77499999999</v>
      </c>
      <c r="AJ109" s="12">
        <v>3264.6538461538462</v>
      </c>
      <c r="AK109" s="13">
        <v>2.2423176877643738</v>
      </c>
      <c r="AL109" s="11">
        <v>3136110.55</v>
      </c>
      <c r="AM109" s="11">
        <v>88414</v>
      </c>
      <c r="AN109" s="11">
        <v>83</v>
      </c>
      <c r="AO109" s="12">
        <v>113353.39337349399</v>
      </c>
      <c r="AP109" s="12">
        <v>3195.6867469879521</v>
      </c>
      <c r="AQ109" s="13">
        <v>2.1370834275919992</v>
      </c>
      <c r="AR109" s="11">
        <v>3929226</v>
      </c>
      <c r="AS109" s="11">
        <v>91256</v>
      </c>
      <c r="AT109" s="11">
        <v>86</v>
      </c>
      <c r="AU109" s="12">
        <v>137066.02325581401</v>
      </c>
      <c r="AV109" s="12">
        <v>3183.348837209302</v>
      </c>
      <c r="AW109" s="13">
        <v>1.9387662675884461</v>
      </c>
      <c r="AX109" s="11">
        <v>1854909</v>
      </c>
      <c r="AY109" s="11">
        <v>64469</v>
      </c>
      <c r="AZ109" s="11">
        <v>72</v>
      </c>
      <c r="BA109" s="12">
        <v>77287.875</v>
      </c>
      <c r="BB109" s="12">
        <v>2686.208333333333</v>
      </c>
      <c r="BC109" s="13">
        <v>2.3724289984758702</v>
      </c>
      <c r="BD109" s="11">
        <v>1997232.5</v>
      </c>
      <c r="BE109" s="11">
        <v>68945</v>
      </c>
      <c r="BF109" s="11">
        <v>74</v>
      </c>
      <c r="BG109" s="12">
        <v>80968.885135135148</v>
      </c>
      <c r="BH109" s="12">
        <v>2795.067567567567</v>
      </c>
      <c r="BI109" s="13">
        <v>2.364280355253277</v>
      </c>
      <c r="BJ109" s="11">
        <v>2369582</v>
      </c>
      <c r="BK109" s="11">
        <v>64913</v>
      </c>
      <c r="BL109" s="11">
        <v>72</v>
      </c>
      <c r="BM109" s="12">
        <v>98732.583333333328</v>
      </c>
      <c r="BN109" s="12">
        <v>2704.708333333333</v>
      </c>
      <c r="BO109" s="13">
        <v>2.1062066589626531</v>
      </c>
      <c r="BP109" s="11">
        <v>2898448</v>
      </c>
      <c r="BQ109" s="11">
        <v>75069</v>
      </c>
      <c r="BR109" s="11">
        <v>77</v>
      </c>
      <c r="BS109" s="12">
        <v>112926.5454545454</v>
      </c>
      <c r="BT109" s="12">
        <v>2924.7662337662341</v>
      </c>
      <c r="BU109" s="13">
        <v>2.0483161953271338</v>
      </c>
      <c r="BV109" s="11">
        <v>2920739</v>
      </c>
      <c r="BW109" s="11">
        <v>87487</v>
      </c>
      <c r="BX109" s="11">
        <v>78</v>
      </c>
      <c r="BY109" s="12">
        <v>112336.1153846154</v>
      </c>
      <c r="BZ109" s="12">
        <v>3364.8846153846148</v>
      </c>
      <c r="CA109" s="13">
        <v>2.203434963880726</v>
      </c>
      <c r="CB109" s="11">
        <v>3244085.3</v>
      </c>
      <c r="CC109" s="11">
        <v>69443</v>
      </c>
      <c r="CD109" s="11">
        <v>71</v>
      </c>
      <c r="CE109" s="12">
        <v>137074.0267605634</v>
      </c>
      <c r="CF109" s="12">
        <v>2934.211267605634</v>
      </c>
      <c r="CG109" s="13">
        <v>1.8614813652912909</v>
      </c>
      <c r="CJ109" s="11"/>
      <c r="CK109" s="12"/>
      <c r="CL109" s="12"/>
      <c r="CM109" s="13"/>
      <c r="CN109" s="11"/>
      <c r="CO109" s="11"/>
      <c r="CP109" s="11"/>
    </row>
    <row r="110" spans="1:94" x14ac:dyDescent="0.25">
      <c r="A110" s="20" t="s">
        <v>105</v>
      </c>
      <c r="B110" s="8">
        <v>3648302.9090909092</v>
      </c>
      <c r="C110" s="8">
        <v>31228.272727272728</v>
      </c>
      <c r="D110" s="8">
        <v>846</v>
      </c>
      <c r="E110" s="9">
        <v>142309.6879432624</v>
      </c>
      <c r="F110" s="9">
        <v>1218.1241134751774</v>
      </c>
      <c r="G110" s="10">
        <v>1.1836363636363634</v>
      </c>
      <c r="H110" s="8">
        <v>3547028.0616666712</v>
      </c>
      <c r="I110" s="8">
        <v>35039.166666666664</v>
      </c>
      <c r="J110" s="8">
        <v>868</v>
      </c>
      <c r="K110" s="9">
        <v>147111.76292626746</v>
      </c>
      <c r="L110" s="9">
        <v>1453.2373271889401</v>
      </c>
      <c r="M110" s="10">
        <v>1.263405001606297</v>
      </c>
      <c r="N110" s="8">
        <f t="shared" si="20"/>
        <v>3810603.1772727277</v>
      </c>
      <c r="O110" s="8">
        <f t="shared" si="21"/>
        <v>36420.272727272728</v>
      </c>
      <c r="P110" s="8">
        <f t="shared" si="22"/>
        <v>827</v>
      </c>
      <c r="Q110" s="9">
        <f t="shared" si="23"/>
        <v>152055.5076783555</v>
      </c>
      <c r="R110" s="9">
        <f t="shared" si="24"/>
        <v>1453.2877871825876</v>
      </c>
      <c r="S110" s="10">
        <f t="shared" si="25"/>
        <v>1.2387751027555647</v>
      </c>
      <c r="T110" s="11">
        <v>3668431.82</v>
      </c>
      <c r="U110" s="11">
        <v>36018</v>
      </c>
      <c r="V110" s="11">
        <v>84</v>
      </c>
      <c r="W110" s="12">
        <v>131015.4221428571</v>
      </c>
      <c r="X110" s="12">
        <v>1286.3571428571429</v>
      </c>
      <c r="Y110" s="13">
        <v>1.2601610679802879</v>
      </c>
      <c r="Z110" s="11">
        <v>4820325.5</v>
      </c>
      <c r="AA110" s="11">
        <v>51585</v>
      </c>
      <c r="AB110" s="11">
        <v>73</v>
      </c>
      <c r="AC110" s="12">
        <v>198095.5684931507</v>
      </c>
      <c r="AD110" s="12">
        <v>2119.9315068493152</v>
      </c>
      <c r="AE110" s="13">
        <v>1.3150558004026911</v>
      </c>
      <c r="AF110" s="11">
        <v>3346120.9</v>
      </c>
      <c r="AG110" s="11">
        <v>26673</v>
      </c>
      <c r="AH110" s="11">
        <v>77</v>
      </c>
      <c r="AI110" s="12">
        <v>130368.3467532467</v>
      </c>
      <c r="AJ110" s="12">
        <v>1039.207792207792</v>
      </c>
      <c r="AK110" s="13">
        <v>1.135760668181361</v>
      </c>
      <c r="AL110" s="11">
        <v>4237926.33</v>
      </c>
      <c r="AM110" s="11">
        <v>43144</v>
      </c>
      <c r="AN110" s="11">
        <v>85</v>
      </c>
      <c r="AO110" s="12">
        <v>149573.87047058821</v>
      </c>
      <c r="AP110" s="12">
        <v>1522.7294117647059</v>
      </c>
      <c r="AQ110" s="13">
        <v>1.2827642745376739</v>
      </c>
      <c r="AR110" s="11">
        <v>3904156.49</v>
      </c>
      <c r="AS110" s="11">
        <v>35591</v>
      </c>
      <c r="AT110" s="11">
        <v>81</v>
      </c>
      <c r="AU110" s="12">
        <v>144598.38851851851</v>
      </c>
      <c r="AV110" s="12">
        <v>1318.185185185185</v>
      </c>
      <c r="AW110" s="13">
        <v>1.2142006553844971</v>
      </c>
      <c r="AX110" s="11">
        <v>3394020.14</v>
      </c>
      <c r="AY110" s="11">
        <v>29410</v>
      </c>
      <c r="AZ110" s="11">
        <v>67</v>
      </c>
      <c r="BA110" s="12">
        <v>151971.0510447761</v>
      </c>
      <c r="BB110" s="12">
        <v>1316.8656716417911</v>
      </c>
      <c r="BC110" s="13">
        <v>1.1848224224628601</v>
      </c>
      <c r="BD110" s="11">
        <v>3395452.85</v>
      </c>
      <c r="BE110" s="11">
        <v>37361</v>
      </c>
      <c r="BF110" s="11">
        <v>65</v>
      </c>
      <c r="BG110" s="12">
        <v>156713.20846153851</v>
      </c>
      <c r="BH110" s="12">
        <v>1724.353846153846</v>
      </c>
      <c r="BI110" s="13">
        <v>1.3350620772441191</v>
      </c>
      <c r="BJ110" s="11">
        <v>3590410.11</v>
      </c>
      <c r="BK110" s="11">
        <v>31807</v>
      </c>
      <c r="BL110" s="11">
        <v>71</v>
      </c>
      <c r="BM110" s="12">
        <v>151707.46943661969</v>
      </c>
      <c r="BN110" s="12">
        <v>1343.9577464788731</v>
      </c>
      <c r="BO110" s="13">
        <v>1.1973433925699131</v>
      </c>
      <c r="BP110" s="11">
        <v>4703187.8099999996</v>
      </c>
      <c r="BQ110" s="11">
        <v>45341</v>
      </c>
      <c r="BR110" s="11">
        <v>77</v>
      </c>
      <c r="BS110" s="12">
        <v>183241.08350649351</v>
      </c>
      <c r="BT110" s="12">
        <v>1766.5324675324671</v>
      </c>
      <c r="BU110" s="13">
        <v>1.2497087542261109</v>
      </c>
      <c r="BV110" s="11">
        <v>3435391.14</v>
      </c>
      <c r="BW110" s="11">
        <v>34174</v>
      </c>
      <c r="BX110" s="11">
        <v>76</v>
      </c>
      <c r="BY110" s="12">
        <v>135607.54500000001</v>
      </c>
      <c r="BZ110" s="12">
        <v>1348.973684210526</v>
      </c>
      <c r="CA110" s="13">
        <v>1.2692361228006199</v>
      </c>
      <c r="CB110" s="11">
        <v>3421211.86</v>
      </c>
      <c r="CC110" s="11">
        <v>29519</v>
      </c>
      <c r="CD110" s="11">
        <v>71</v>
      </c>
      <c r="CE110" s="12">
        <v>144558.24760563381</v>
      </c>
      <c r="CF110" s="12">
        <v>1247.2816901408451</v>
      </c>
      <c r="CG110" s="13">
        <v>1.1824108945210789</v>
      </c>
      <c r="CJ110" s="11"/>
      <c r="CK110" s="12"/>
      <c r="CL110" s="12"/>
      <c r="CM110" s="13"/>
      <c r="CN110" s="11"/>
      <c r="CO110" s="11"/>
      <c r="CP110" s="11"/>
    </row>
    <row r="111" spans="1:94" x14ac:dyDescent="0.25">
      <c r="A111" s="20" t="s">
        <v>106</v>
      </c>
      <c r="B111" s="8">
        <v>4874170</v>
      </c>
      <c r="C111" s="8">
        <v>52667</v>
      </c>
      <c r="D111" s="8">
        <v>854</v>
      </c>
      <c r="E111" s="9">
        <v>188346.14754098363</v>
      </c>
      <c r="F111" s="9">
        <v>2035.1416861826697</v>
      </c>
      <c r="G111" s="10">
        <v>1.3172727272727269</v>
      </c>
      <c r="H111" s="8">
        <v>4418925.0708333328</v>
      </c>
      <c r="I111" s="8">
        <v>49042.166666666664</v>
      </c>
      <c r="J111" s="8">
        <v>855</v>
      </c>
      <c r="K111" s="9">
        <v>186060.00298245612</v>
      </c>
      <c r="L111" s="9">
        <v>2064.9333333333334</v>
      </c>
      <c r="M111" s="10">
        <v>1.338445333252533</v>
      </c>
      <c r="N111" s="8">
        <f t="shared" si="20"/>
        <v>5020995.5318181822</v>
      </c>
      <c r="O111" s="8">
        <f t="shared" si="21"/>
        <v>56723</v>
      </c>
      <c r="P111" s="8">
        <f t="shared" si="22"/>
        <v>855</v>
      </c>
      <c r="Q111" s="9">
        <f t="shared" si="23"/>
        <v>193792.81</v>
      </c>
      <c r="R111" s="9">
        <f t="shared" si="24"/>
        <v>2189.3087719298246</v>
      </c>
      <c r="S111" s="10">
        <f t="shared" si="25"/>
        <v>1.3511203689560221</v>
      </c>
      <c r="T111" s="11">
        <v>5164060.5</v>
      </c>
      <c r="U111" s="11">
        <v>56413</v>
      </c>
      <c r="V111" s="11">
        <v>81</v>
      </c>
      <c r="W111" s="12">
        <v>191261.5</v>
      </c>
      <c r="X111" s="12">
        <v>2089.37037037037</v>
      </c>
      <c r="Y111" s="13">
        <v>1.328976865327848</v>
      </c>
      <c r="Z111" s="11">
        <v>4799640</v>
      </c>
      <c r="AA111" s="11">
        <v>48009</v>
      </c>
      <c r="AB111" s="11">
        <v>75</v>
      </c>
      <c r="AC111" s="12">
        <v>191985.6</v>
      </c>
      <c r="AD111" s="12">
        <v>1920.36</v>
      </c>
      <c r="AE111" s="13">
        <v>1.2715057080285099</v>
      </c>
      <c r="AF111" s="11">
        <v>5445359</v>
      </c>
      <c r="AG111" s="11">
        <v>66464</v>
      </c>
      <c r="AH111" s="11">
        <v>79</v>
      </c>
      <c r="AI111" s="12">
        <v>206785.78481012661</v>
      </c>
      <c r="AJ111" s="12">
        <v>2523.9493670886081</v>
      </c>
      <c r="AK111" s="13">
        <v>1.403327492049252</v>
      </c>
      <c r="AL111" s="11">
        <v>6351316.5999999996</v>
      </c>
      <c r="AM111" s="11">
        <v>74671</v>
      </c>
      <c r="AN111" s="11">
        <v>86</v>
      </c>
      <c r="AO111" s="12">
        <v>221557.55581395351</v>
      </c>
      <c r="AP111" s="12">
        <v>2604.802325581396</v>
      </c>
      <c r="AQ111" s="13">
        <v>1.3786253498537919</v>
      </c>
      <c r="AR111" s="11">
        <v>6013172.75</v>
      </c>
      <c r="AS111" s="11">
        <v>70840</v>
      </c>
      <c r="AT111" s="11">
        <v>88</v>
      </c>
      <c r="AU111" s="12">
        <v>204994.52556818179</v>
      </c>
      <c r="AV111" s="12">
        <v>2415</v>
      </c>
      <c r="AW111" s="13">
        <v>1.3819612261050469</v>
      </c>
      <c r="AX111" s="11">
        <v>3984116</v>
      </c>
      <c r="AY111" s="11">
        <v>48588</v>
      </c>
      <c r="AZ111" s="11">
        <v>72</v>
      </c>
      <c r="BA111" s="12">
        <v>166004.83333333331</v>
      </c>
      <c r="BB111" s="12">
        <v>2024.5</v>
      </c>
      <c r="BC111" s="13">
        <v>1.406094781724279</v>
      </c>
      <c r="BD111" s="11">
        <v>4199991</v>
      </c>
      <c r="BE111" s="11">
        <v>53301</v>
      </c>
      <c r="BF111" s="11">
        <v>74</v>
      </c>
      <c r="BG111" s="12">
        <v>170269.90540540541</v>
      </c>
      <c r="BH111" s="12">
        <v>2160.8513513513508</v>
      </c>
      <c r="BI111" s="13">
        <v>1.432784255495015</v>
      </c>
      <c r="BJ111" s="11">
        <v>4664872</v>
      </c>
      <c r="BK111" s="11">
        <v>43782</v>
      </c>
      <c r="BL111" s="11">
        <v>73</v>
      </c>
      <c r="BM111" s="12">
        <v>191707.0684931507</v>
      </c>
      <c r="BN111" s="12">
        <v>1799.260273972603</v>
      </c>
      <c r="BO111" s="13">
        <v>1.2338187768162061</v>
      </c>
      <c r="BP111" s="11">
        <v>4189331</v>
      </c>
      <c r="BQ111" s="11">
        <v>45948</v>
      </c>
      <c r="BR111" s="11">
        <v>76</v>
      </c>
      <c r="BS111" s="12">
        <v>165368.3289473684</v>
      </c>
      <c r="BT111" s="12">
        <v>1813.7368421052629</v>
      </c>
      <c r="BU111" s="13">
        <v>1.333478078822472</v>
      </c>
      <c r="BV111" s="11">
        <v>5724034</v>
      </c>
      <c r="BW111" s="11">
        <v>61856</v>
      </c>
      <c r="BX111" s="11">
        <v>79</v>
      </c>
      <c r="BY111" s="12">
        <v>217368.37974683539</v>
      </c>
      <c r="BZ111" s="12">
        <v>2348.9620253164562</v>
      </c>
      <c r="CA111" s="13">
        <v>1.3246010290638619</v>
      </c>
      <c r="CB111" s="11">
        <v>4695058</v>
      </c>
      <c r="CC111" s="11">
        <v>54081</v>
      </c>
      <c r="CD111" s="11">
        <v>72</v>
      </c>
      <c r="CE111" s="12">
        <v>195627.41666666669</v>
      </c>
      <c r="CF111" s="12">
        <v>2253.375</v>
      </c>
      <c r="CG111" s="13">
        <v>1.367150495229962</v>
      </c>
      <c r="CJ111" s="11"/>
      <c r="CK111" s="12"/>
      <c r="CL111" s="12"/>
      <c r="CM111" s="13"/>
      <c r="CN111" s="11"/>
      <c r="CO111" s="11"/>
      <c r="CP111" s="11"/>
    </row>
    <row r="112" spans="1:94" x14ac:dyDescent="0.25">
      <c r="A112" s="20" t="s">
        <v>107</v>
      </c>
      <c r="B112" s="8">
        <v>6637630.0909090908</v>
      </c>
      <c r="C112" s="8">
        <v>55005.909090909088</v>
      </c>
      <c r="D112" s="8">
        <v>835</v>
      </c>
      <c r="E112" s="9">
        <v>262325.50059880241</v>
      </c>
      <c r="F112" s="9">
        <v>2173.8862275449101</v>
      </c>
      <c r="G112" s="10">
        <v>1.1590909090909092</v>
      </c>
      <c r="H112" s="8">
        <v>4820727.775833332</v>
      </c>
      <c r="I112" s="8">
        <v>41262.416666666664</v>
      </c>
      <c r="J112" s="8">
        <v>778</v>
      </c>
      <c r="K112" s="9">
        <v>223067.09502570686</v>
      </c>
      <c r="L112" s="9">
        <v>1909.3149100257069</v>
      </c>
      <c r="M112" s="10">
        <v>1.1740627373738539</v>
      </c>
      <c r="N112" s="8">
        <f t="shared" si="20"/>
        <v>6281232.1545454552</v>
      </c>
      <c r="O112" s="8">
        <f t="shared" si="21"/>
        <v>52818.454545454544</v>
      </c>
      <c r="P112" s="8">
        <f t="shared" si="22"/>
        <v>845</v>
      </c>
      <c r="Q112" s="9">
        <f t="shared" si="23"/>
        <v>245302.55751479292</v>
      </c>
      <c r="R112" s="9">
        <f t="shared" si="24"/>
        <v>2062.7325443786981</v>
      </c>
      <c r="S112" s="10">
        <f t="shared" si="25"/>
        <v>1.1581526754280387</v>
      </c>
      <c r="T112" s="11">
        <v>6721992.2000000002</v>
      </c>
      <c r="U112" s="11">
        <v>65058</v>
      </c>
      <c r="V112" s="11">
        <v>83</v>
      </c>
      <c r="W112" s="12">
        <v>242963.57349397591</v>
      </c>
      <c r="X112" s="12">
        <v>2351.4939759036151</v>
      </c>
      <c r="Y112" s="13">
        <v>1.249586334220196</v>
      </c>
      <c r="Z112" s="11">
        <v>5511402</v>
      </c>
      <c r="AA112" s="11">
        <v>49719</v>
      </c>
      <c r="AB112" s="11">
        <v>74</v>
      </c>
      <c r="AC112" s="12">
        <v>223435.21621621621</v>
      </c>
      <c r="AD112" s="12">
        <v>2015.635135135135</v>
      </c>
      <c r="AE112" s="13">
        <v>1.2065540066912379</v>
      </c>
      <c r="AF112" s="11">
        <v>6570841.8999999994</v>
      </c>
      <c r="AG112" s="11">
        <v>59538</v>
      </c>
      <c r="AH112" s="11">
        <v>79</v>
      </c>
      <c r="AI112" s="12">
        <v>249525.6417721519</v>
      </c>
      <c r="AJ112" s="12">
        <v>2260.9367088607601</v>
      </c>
      <c r="AK112" s="13">
        <v>1.2075251628502639</v>
      </c>
      <c r="AL112" s="11">
        <v>7790254.5999999996</v>
      </c>
      <c r="AM112" s="11">
        <v>70213</v>
      </c>
      <c r="AN112" s="11">
        <v>84</v>
      </c>
      <c r="AO112" s="12">
        <v>278223.37857142859</v>
      </c>
      <c r="AP112" s="12">
        <v>2507.6071428571431</v>
      </c>
      <c r="AQ112" s="13">
        <v>1.204397094326108</v>
      </c>
      <c r="AR112" s="11">
        <v>7874195.2000000002</v>
      </c>
      <c r="AS112" s="11">
        <v>66566</v>
      </c>
      <c r="AT112" s="11">
        <v>85</v>
      </c>
      <c r="AU112" s="12">
        <v>277912.77176470589</v>
      </c>
      <c r="AV112" s="12">
        <v>2349.3882352941182</v>
      </c>
      <c r="AW112" s="13">
        <v>1.17303194226466</v>
      </c>
      <c r="AX112" s="11">
        <v>4224097</v>
      </c>
      <c r="AY112" s="11">
        <v>27643</v>
      </c>
      <c r="AZ112" s="11">
        <v>69</v>
      </c>
      <c r="BA112" s="12">
        <v>183656.39130434781</v>
      </c>
      <c r="BB112" s="12">
        <v>1201.869565217391</v>
      </c>
      <c r="BC112" s="13">
        <v>1.0290130373066531</v>
      </c>
      <c r="BD112" s="11">
        <v>5520300.5999999996</v>
      </c>
      <c r="BE112" s="11">
        <v>41595</v>
      </c>
      <c r="BF112" s="11">
        <v>71</v>
      </c>
      <c r="BG112" s="12">
        <v>233252.13802816899</v>
      </c>
      <c r="BH112" s="12">
        <v>1757.535211267606</v>
      </c>
      <c r="BI112" s="13">
        <v>1.106891093507125</v>
      </c>
      <c r="BJ112" s="11">
        <v>5666588.5999999996</v>
      </c>
      <c r="BK112" s="11">
        <v>43970</v>
      </c>
      <c r="BL112" s="11">
        <v>74</v>
      </c>
      <c r="BM112" s="12">
        <v>229726.56486486489</v>
      </c>
      <c r="BN112" s="12">
        <v>1782.567567567567</v>
      </c>
      <c r="BO112" s="13">
        <v>1.1216135489293051</v>
      </c>
      <c r="BP112" s="11">
        <v>6230334</v>
      </c>
      <c r="BQ112" s="11">
        <v>48259</v>
      </c>
      <c r="BR112" s="11">
        <v>76</v>
      </c>
      <c r="BS112" s="12">
        <v>245934.23684210531</v>
      </c>
      <c r="BT112" s="12">
        <v>1904.9605263157889</v>
      </c>
      <c r="BU112" s="13">
        <v>1.121396741559872</v>
      </c>
      <c r="BV112" s="11">
        <v>6807492.3999999994</v>
      </c>
      <c r="BW112" s="11">
        <v>63318</v>
      </c>
      <c r="BX112" s="11">
        <v>79</v>
      </c>
      <c r="BY112" s="12">
        <v>258512.36962025319</v>
      </c>
      <c r="BZ112" s="12">
        <v>2404.4810126582279</v>
      </c>
      <c r="CA112" s="13">
        <v>1.2297155848667101</v>
      </c>
      <c r="CB112" s="11">
        <v>6176055.2000000002</v>
      </c>
      <c r="CC112" s="11">
        <v>45124</v>
      </c>
      <c r="CD112" s="11">
        <v>71</v>
      </c>
      <c r="CE112" s="12">
        <v>260960.0788732394</v>
      </c>
      <c r="CF112" s="12">
        <v>1906.6478873239439</v>
      </c>
      <c r="CG112" s="13">
        <v>1.0899548831862951</v>
      </c>
      <c r="CJ112" s="11"/>
      <c r="CK112" s="12"/>
      <c r="CL112" s="12"/>
      <c r="CM112" s="13"/>
      <c r="CN112" s="11"/>
      <c r="CO112" s="11"/>
      <c r="CP112" s="11"/>
    </row>
    <row r="113" spans="1:94" x14ac:dyDescent="0.25">
      <c r="A113" s="20" t="s">
        <v>108</v>
      </c>
      <c r="B113" s="8">
        <v>5371050.2727272725</v>
      </c>
      <c r="C113" s="8">
        <v>38323.090909090912</v>
      </c>
      <c r="D113" s="8">
        <v>802</v>
      </c>
      <c r="E113" s="9">
        <v>221003.31546134665</v>
      </c>
      <c r="F113" s="9">
        <v>1576.8852867830424</v>
      </c>
      <c r="G113" s="10">
        <v>1.0736363636363639</v>
      </c>
      <c r="H113" s="8">
        <v>4317677.91</v>
      </c>
      <c r="I113" s="8">
        <v>30392.916666666668</v>
      </c>
      <c r="J113" s="8">
        <v>838</v>
      </c>
      <c r="K113" s="9">
        <v>185484.96988066827</v>
      </c>
      <c r="L113" s="9">
        <v>1305.662291169451</v>
      </c>
      <c r="M113" s="10">
        <v>1.0657611136914</v>
      </c>
      <c r="N113" s="8">
        <f t="shared" si="20"/>
        <v>5164162.8181818184</v>
      </c>
      <c r="O113" s="8">
        <f t="shared" si="21"/>
        <v>34247.272727272728</v>
      </c>
      <c r="P113" s="8">
        <f t="shared" si="22"/>
        <v>862</v>
      </c>
      <c r="Q113" s="9">
        <f t="shared" si="23"/>
        <v>197699.96867749421</v>
      </c>
      <c r="R113" s="9">
        <f t="shared" si="24"/>
        <v>1311.0904872389792</v>
      </c>
      <c r="S113" s="10">
        <f t="shared" si="25"/>
        <v>1.0365583689232147</v>
      </c>
      <c r="T113" s="11">
        <v>5240332</v>
      </c>
      <c r="U113" s="11">
        <v>37985</v>
      </c>
      <c r="V113" s="11">
        <v>83</v>
      </c>
      <c r="W113" s="12">
        <v>189409.59036144579</v>
      </c>
      <c r="X113" s="12">
        <v>1372.9518072289161</v>
      </c>
      <c r="Y113" s="13">
        <v>1.0812622480608589</v>
      </c>
      <c r="Z113" s="11">
        <v>5060706</v>
      </c>
      <c r="AA113" s="11">
        <v>40640</v>
      </c>
      <c r="AB113" s="11">
        <v>78</v>
      </c>
      <c r="AC113" s="12">
        <v>194642.5384615385</v>
      </c>
      <c r="AD113" s="12">
        <v>1563.0769230769231</v>
      </c>
      <c r="AE113" s="13">
        <v>1.1363061160162951</v>
      </c>
      <c r="AF113" s="11">
        <v>5226413</v>
      </c>
      <c r="AG113" s="11">
        <v>33263</v>
      </c>
      <c r="AH113" s="11">
        <v>79</v>
      </c>
      <c r="AI113" s="12">
        <v>198471.37974683539</v>
      </c>
      <c r="AJ113" s="12">
        <v>1263.1518987341769</v>
      </c>
      <c r="AK113" s="13">
        <v>1.0132972067731041</v>
      </c>
      <c r="AL113" s="11">
        <v>6424179</v>
      </c>
      <c r="AM113" s="11">
        <v>38321</v>
      </c>
      <c r="AN113" s="11">
        <v>86</v>
      </c>
      <c r="AO113" s="12">
        <v>224099.26744186049</v>
      </c>
      <c r="AP113" s="12">
        <v>1336.779069767442</v>
      </c>
      <c r="AQ113" s="13">
        <v>0.98002190172014514</v>
      </c>
      <c r="AR113" s="11">
        <v>6122759</v>
      </c>
      <c r="AS113" s="11">
        <v>35278</v>
      </c>
      <c r="AT113" s="11">
        <v>88</v>
      </c>
      <c r="AU113" s="12">
        <v>208730.4204545455</v>
      </c>
      <c r="AV113" s="12">
        <v>1202.659090909091</v>
      </c>
      <c r="AW113" s="13">
        <v>0.96477839474434313</v>
      </c>
      <c r="AX113" s="11">
        <v>3410960</v>
      </c>
      <c r="AY113" s="11">
        <v>24377</v>
      </c>
      <c r="AZ113" s="11">
        <v>72</v>
      </c>
      <c r="BA113" s="12">
        <v>142123.33333333331</v>
      </c>
      <c r="BB113" s="12">
        <v>1015.708333333333</v>
      </c>
      <c r="BC113" s="13">
        <v>1.076250133473541</v>
      </c>
      <c r="BD113" s="11">
        <v>4486107</v>
      </c>
      <c r="BE113" s="11">
        <v>26780</v>
      </c>
      <c r="BF113" s="11">
        <v>74</v>
      </c>
      <c r="BG113" s="12">
        <v>181869.20270270269</v>
      </c>
      <c r="BH113" s="12">
        <v>1085.6756756756761</v>
      </c>
      <c r="BI113" s="13">
        <v>0.98325999317186319</v>
      </c>
      <c r="BJ113" s="11">
        <v>5511560</v>
      </c>
      <c r="BK113" s="11">
        <v>40302</v>
      </c>
      <c r="BL113" s="11">
        <v>74</v>
      </c>
      <c r="BM113" s="12">
        <v>223441.62162162171</v>
      </c>
      <c r="BN113" s="12">
        <v>1633.864864864865</v>
      </c>
      <c r="BO113" s="13">
        <v>1.0878212216487251</v>
      </c>
      <c r="BP113" s="11">
        <v>4898020</v>
      </c>
      <c r="BQ113" s="11">
        <v>35694</v>
      </c>
      <c r="BR113" s="11">
        <v>77</v>
      </c>
      <c r="BS113" s="12">
        <v>190831.94805194801</v>
      </c>
      <c r="BT113" s="12">
        <v>1390.6753246753251</v>
      </c>
      <c r="BU113" s="13">
        <v>1.0865781285731599</v>
      </c>
      <c r="BV113" s="11">
        <v>5298339</v>
      </c>
      <c r="BW113" s="11">
        <v>33799</v>
      </c>
      <c r="BX113" s="11">
        <v>79</v>
      </c>
      <c r="BY113" s="12">
        <v>201202.74683544299</v>
      </c>
      <c r="BZ113" s="12">
        <v>1283.506329113924</v>
      </c>
      <c r="CA113" s="13">
        <v>1.0156518013491509</v>
      </c>
      <c r="CB113" s="11">
        <v>5126416</v>
      </c>
      <c r="CC113" s="11">
        <v>30281</v>
      </c>
      <c r="CD113" s="11">
        <v>72</v>
      </c>
      <c r="CE113" s="12">
        <v>213600.66666666669</v>
      </c>
      <c r="CF113" s="12">
        <v>1261.708333333333</v>
      </c>
      <c r="CG113" s="13">
        <v>0.97691491262417607</v>
      </c>
      <c r="CJ113" s="11"/>
      <c r="CK113" s="12"/>
      <c r="CL113" s="12"/>
      <c r="CM113" s="13"/>
      <c r="CN113" s="11"/>
      <c r="CO113" s="11"/>
      <c r="CP113" s="11"/>
    </row>
    <row r="114" spans="1:94" x14ac:dyDescent="0.25">
      <c r="A114" s="20" t="s">
        <v>109</v>
      </c>
      <c r="B114" s="8">
        <v>3129295.3636363638</v>
      </c>
      <c r="C114" s="8">
        <v>15442.90909090909</v>
      </c>
      <c r="D114" s="8">
        <v>839</v>
      </c>
      <c r="E114" s="9">
        <v>123083.13110846245</v>
      </c>
      <c r="F114" s="9">
        <v>607.40882002383796</v>
      </c>
      <c r="G114" s="10">
        <v>0.89090909090909098</v>
      </c>
      <c r="H114" s="8">
        <v>2595063.7913636281</v>
      </c>
      <c r="I114" s="8">
        <v>14393.181818181818</v>
      </c>
      <c r="J114" s="8">
        <v>764</v>
      </c>
      <c r="K114" s="9">
        <v>112090.45172120383</v>
      </c>
      <c r="L114" s="9">
        <v>621.69502617801049</v>
      </c>
      <c r="M114" s="10">
        <v>0.94659556300347325</v>
      </c>
      <c r="N114" s="8">
        <f t="shared" si="20"/>
        <v>3512425.4245454548</v>
      </c>
      <c r="O114" s="8">
        <f t="shared" si="21"/>
        <v>21560.090909090908</v>
      </c>
      <c r="P114" s="8">
        <f t="shared" si="22"/>
        <v>819</v>
      </c>
      <c r="Q114" s="9">
        <f t="shared" si="23"/>
        <v>141526.29915750917</v>
      </c>
      <c r="R114" s="9">
        <f t="shared" si="24"/>
        <v>868.72161172161168</v>
      </c>
      <c r="S114" s="10">
        <f t="shared" si="25"/>
        <v>0.99810803506073453</v>
      </c>
      <c r="T114" s="11">
        <v>3138967.83</v>
      </c>
      <c r="U114" s="11">
        <v>21390</v>
      </c>
      <c r="V114" s="11">
        <v>66</v>
      </c>
      <c r="W114" s="12">
        <v>142680.3559090909</v>
      </c>
      <c r="X114" s="12">
        <v>972.27272727272725</v>
      </c>
      <c r="Y114" s="13">
        <v>1.048487968802333</v>
      </c>
      <c r="Z114" s="11">
        <v>2849239.26</v>
      </c>
      <c r="AA114" s="11">
        <v>15693</v>
      </c>
      <c r="AB114" s="11">
        <v>75</v>
      </c>
      <c r="AC114" s="12">
        <v>113969.5704</v>
      </c>
      <c r="AD114" s="12">
        <v>627.72</v>
      </c>
      <c r="AE114" s="13">
        <v>0.94282071266859291</v>
      </c>
      <c r="AF114" s="11">
        <v>3153001.12</v>
      </c>
      <c r="AG114" s="11">
        <v>19769</v>
      </c>
      <c r="AH114" s="11">
        <v>76</v>
      </c>
      <c r="AI114" s="12">
        <v>124460.5705263158</v>
      </c>
      <c r="AJ114" s="12">
        <v>780.35526315789468</v>
      </c>
      <c r="AK114" s="13">
        <v>1.0062559290266071</v>
      </c>
      <c r="AL114" s="11">
        <v>4597940.18</v>
      </c>
      <c r="AM114" s="11">
        <v>25604</v>
      </c>
      <c r="AN114" s="11">
        <v>83</v>
      </c>
      <c r="AO114" s="12">
        <v>166190.6089156626</v>
      </c>
      <c r="AP114" s="12">
        <v>925.4457831325301</v>
      </c>
      <c r="AQ114" s="13">
        <v>0.94754006881952724</v>
      </c>
      <c r="AR114" s="11">
        <v>4070706.94</v>
      </c>
      <c r="AS114" s="11">
        <v>21992</v>
      </c>
      <c r="AT114" s="11">
        <v>87</v>
      </c>
      <c r="AU114" s="12">
        <v>140369.20482758619</v>
      </c>
      <c r="AV114" s="12">
        <v>758.34482758620686</v>
      </c>
      <c r="AW114" s="13">
        <v>0.93457054786526228</v>
      </c>
      <c r="AX114" s="11">
        <v>3093602.92</v>
      </c>
      <c r="AY114" s="11">
        <v>21752</v>
      </c>
      <c r="AZ114" s="11">
        <v>71</v>
      </c>
      <c r="BA114" s="12">
        <v>130715.61633802819</v>
      </c>
      <c r="BB114" s="12">
        <v>919.09859154929563</v>
      </c>
      <c r="BC114" s="13">
        <v>1.0666713072265159</v>
      </c>
      <c r="BD114" s="11">
        <v>3597316.54</v>
      </c>
      <c r="BE114" s="11">
        <v>22263</v>
      </c>
      <c r="BF114" s="11">
        <v>70</v>
      </c>
      <c r="BG114" s="12">
        <v>154170.70885714289</v>
      </c>
      <c r="BH114" s="12">
        <v>954.12857142857138</v>
      </c>
      <c r="BI114" s="13">
        <v>0.99997928420503035</v>
      </c>
      <c r="BJ114" s="11">
        <v>3126317.74</v>
      </c>
      <c r="BK114" s="11">
        <v>20897</v>
      </c>
      <c r="BL114" s="11">
        <v>74</v>
      </c>
      <c r="BM114" s="12">
        <v>126742.61108108109</v>
      </c>
      <c r="BN114" s="12">
        <v>847.17567567567562</v>
      </c>
      <c r="BO114" s="13">
        <v>1.040074009836651</v>
      </c>
      <c r="BP114" s="11">
        <v>3799979.36</v>
      </c>
      <c r="BQ114" s="11">
        <v>24237</v>
      </c>
      <c r="BR114" s="11">
        <v>76</v>
      </c>
      <c r="BS114" s="12">
        <v>149999.18526315791</v>
      </c>
      <c r="BT114" s="12">
        <v>956.72368421052624</v>
      </c>
      <c r="BU114" s="13">
        <v>1.016153240760586</v>
      </c>
      <c r="BV114" s="11">
        <v>3154936.74</v>
      </c>
      <c r="BW114" s="11">
        <v>18931</v>
      </c>
      <c r="BX114" s="11">
        <v>79</v>
      </c>
      <c r="BY114" s="12">
        <v>119807.7243037975</v>
      </c>
      <c r="BZ114" s="12">
        <v>718.89873417721526</v>
      </c>
      <c r="CA114" s="13">
        <v>0.98529881383493412</v>
      </c>
      <c r="CB114" s="11">
        <v>4054671.04</v>
      </c>
      <c r="CC114" s="11">
        <v>24633</v>
      </c>
      <c r="CD114" s="11">
        <v>62</v>
      </c>
      <c r="CE114" s="12">
        <v>196193.76</v>
      </c>
      <c r="CF114" s="12">
        <v>1191.91935483871</v>
      </c>
      <c r="CG114" s="13">
        <v>0.99133650262203965</v>
      </c>
      <c r="CJ114" s="11"/>
      <c r="CK114" s="12"/>
      <c r="CL114" s="12"/>
      <c r="CM114" s="13"/>
      <c r="CN114" s="11"/>
      <c r="CO114" s="11"/>
      <c r="CP114" s="11"/>
    </row>
    <row r="115" spans="1:94" x14ac:dyDescent="0.25">
      <c r="A115" s="20" t="s">
        <v>110</v>
      </c>
      <c r="B115" s="8">
        <v>4044490.8181818184</v>
      </c>
      <c r="C115" s="8">
        <v>13309.727272727272</v>
      </c>
      <c r="D115" s="8">
        <v>854</v>
      </c>
      <c r="E115" s="9">
        <v>156285.94496487119</v>
      </c>
      <c r="F115" s="9">
        <v>514.3103044496487</v>
      </c>
      <c r="G115" s="10">
        <v>0.72545454545454546</v>
      </c>
      <c r="H115" s="8">
        <v>3431471.2299999991</v>
      </c>
      <c r="I115" s="8">
        <v>17237.333333333332</v>
      </c>
      <c r="J115" s="8">
        <v>737</v>
      </c>
      <c r="K115" s="9">
        <v>167615.96238805968</v>
      </c>
      <c r="L115" s="9">
        <v>841.98643147896871</v>
      </c>
      <c r="M115" s="10">
        <v>0.89743119104535429</v>
      </c>
      <c r="N115" s="8">
        <f t="shared" si="20"/>
        <v>3667482.2568181823</v>
      </c>
      <c r="O115" s="8">
        <f t="shared" si="21"/>
        <v>13066.90909090909</v>
      </c>
      <c r="P115" s="8">
        <f t="shared" si="22"/>
        <v>787</v>
      </c>
      <c r="Q115" s="9">
        <f t="shared" si="23"/>
        <v>153782.61051461246</v>
      </c>
      <c r="R115" s="9">
        <f t="shared" si="24"/>
        <v>547.91359593392622</v>
      </c>
      <c r="S115" s="10">
        <f t="shared" si="25"/>
        <v>0.75136260346396955</v>
      </c>
      <c r="T115" s="11">
        <v>3949118.67</v>
      </c>
      <c r="U115" s="11">
        <v>15437</v>
      </c>
      <c r="V115" s="11">
        <v>77</v>
      </c>
      <c r="W115" s="12">
        <v>153861.76636363639</v>
      </c>
      <c r="X115" s="12">
        <v>601.44155844155853</v>
      </c>
      <c r="Y115" s="13">
        <v>0.78973190625494605</v>
      </c>
      <c r="Z115" s="11">
        <v>3463652.2</v>
      </c>
      <c r="AA115" s="11">
        <v>12014</v>
      </c>
      <c r="AB115" s="11">
        <v>67</v>
      </c>
      <c r="AC115" s="12">
        <v>155088.90447761191</v>
      </c>
      <c r="AD115" s="12">
        <v>537.94029850746267</v>
      </c>
      <c r="AE115" s="13">
        <v>0.74207664910921445</v>
      </c>
      <c r="AF115" s="11">
        <v>3019991.58</v>
      </c>
      <c r="AG115" s="11">
        <v>10197</v>
      </c>
      <c r="AH115" s="11">
        <v>68</v>
      </c>
      <c r="AI115" s="12">
        <v>133234.92264705879</v>
      </c>
      <c r="AJ115" s="12">
        <v>449.86764705882348</v>
      </c>
      <c r="AK115" s="13">
        <v>0.73179646240867824</v>
      </c>
      <c r="AL115" s="11">
        <v>3457733.89</v>
      </c>
      <c r="AM115" s="11">
        <v>10800</v>
      </c>
      <c r="AN115" s="11">
        <v>74</v>
      </c>
      <c r="AO115" s="12">
        <v>140178.4009459459</v>
      </c>
      <c r="AP115" s="12">
        <v>437.83783783783781</v>
      </c>
      <c r="AQ115" s="13">
        <v>0.70248127143063632</v>
      </c>
      <c r="AR115" s="11">
        <v>3301124.12</v>
      </c>
      <c r="AS115" s="11">
        <v>9756</v>
      </c>
      <c r="AT115" s="11">
        <v>72</v>
      </c>
      <c r="AU115" s="12">
        <v>137546.83833333329</v>
      </c>
      <c r="AV115" s="12">
        <v>406.5</v>
      </c>
      <c r="AW115" s="13">
        <v>0.6913895961377613</v>
      </c>
      <c r="AX115" s="11">
        <v>3010402.625</v>
      </c>
      <c r="AY115" s="11">
        <v>9791</v>
      </c>
      <c r="AZ115" s="11">
        <v>64</v>
      </c>
      <c r="BA115" s="12">
        <v>141112.623046875</v>
      </c>
      <c r="BB115" s="12">
        <v>458.953125</v>
      </c>
      <c r="BC115" s="13">
        <v>0.72464307461271638</v>
      </c>
      <c r="BD115" s="11">
        <v>3819325.34</v>
      </c>
      <c r="BE115" s="11">
        <v>12298</v>
      </c>
      <c r="BF115" s="11">
        <v>75</v>
      </c>
      <c r="BG115" s="12">
        <v>152773.01360000001</v>
      </c>
      <c r="BH115" s="12">
        <v>491.92</v>
      </c>
      <c r="BI115" s="13">
        <v>0.7206631958799643</v>
      </c>
      <c r="BJ115" s="11">
        <v>3638825.22</v>
      </c>
      <c r="BK115" s="11">
        <v>14035</v>
      </c>
      <c r="BL115" s="11">
        <v>71</v>
      </c>
      <c r="BM115" s="12">
        <v>153753.1783098591</v>
      </c>
      <c r="BN115" s="12">
        <v>593.02816901408448</v>
      </c>
      <c r="BO115" s="13">
        <v>0.79118933476071207</v>
      </c>
      <c r="BP115" s="11">
        <v>4490335.5</v>
      </c>
      <c r="BQ115" s="11">
        <v>17287</v>
      </c>
      <c r="BR115" s="11">
        <v>77</v>
      </c>
      <c r="BS115" s="12">
        <v>174948.13636363641</v>
      </c>
      <c r="BT115" s="12">
        <v>673.51948051948057</v>
      </c>
      <c r="BU115" s="13">
        <v>0.78612619649179838</v>
      </c>
      <c r="BV115" s="11">
        <v>3943254.36</v>
      </c>
      <c r="BW115" s="11">
        <v>13263</v>
      </c>
      <c r="BX115" s="11">
        <v>74</v>
      </c>
      <c r="BY115" s="12">
        <v>159861.66324324321</v>
      </c>
      <c r="BZ115" s="12">
        <v>537.68918918918916</v>
      </c>
      <c r="CA115" s="13">
        <v>0.73715153241602016</v>
      </c>
      <c r="CB115" s="11">
        <v>4248541.32</v>
      </c>
      <c r="CC115" s="11">
        <v>18858</v>
      </c>
      <c r="CD115" s="11">
        <v>68</v>
      </c>
      <c r="CE115" s="12">
        <v>187435.64647058831</v>
      </c>
      <c r="CF115" s="12">
        <v>831.97058823529414</v>
      </c>
      <c r="CG115" s="13">
        <v>0.84773941860121704</v>
      </c>
      <c r="CJ115" s="11"/>
      <c r="CK115" s="12"/>
      <c r="CL115" s="12"/>
      <c r="CM115" s="13"/>
      <c r="CN115" s="11"/>
      <c r="CO115" s="11"/>
      <c r="CP115" s="11"/>
    </row>
    <row r="116" spans="1:94" x14ac:dyDescent="0.25">
      <c r="A116" s="20" t="s">
        <v>111</v>
      </c>
      <c r="B116" s="8">
        <v>2322358.9090909092</v>
      </c>
      <c r="C116" s="8">
        <v>18749.454545454544</v>
      </c>
      <c r="D116" s="8">
        <v>469</v>
      </c>
      <c r="E116" s="9">
        <v>163406.9168443497</v>
      </c>
      <c r="F116" s="9">
        <v>1319.2579957356077</v>
      </c>
      <c r="G116" s="10">
        <v>1.1209090909090911</v>
      </c>
      <c r="H116" s="8">
        <v>2192414.4109090907</v>
      </c>
      <c r="I116" s="8">
        <v>17530.909090909092</v>
      </c>
      <c r="J116" s="8">
        <v>545</v>
      </c>
      <c r="K116" s="9">
        <v>132751.69827522934</v>
      </c>
      <c r="L116" s="9">
        <v>1061.5045871559632</v>
      </c>
      <c r="M116" s="10">
        <v>1.1357126998653371</v>
      </c>
      <c r="N116" s="8">
        <f t="shared" si="20"/>
        <v>2995571.7609130656</v>
      </c>
      <c r="O116" s="8">
        <f t="shared" si="21"/>
        <v>25863.222222222223</v>
      </c>
      <c r="P116" s="8">
        <f t="shared" si="22"/>
        <v>563</v>
      </c>
      <c r="Q116" s="9">
        <f t="shared" si="23"/>
        <v>143659.74697096407</v>
      </c>
      <c r="R116" s="9">
        <f t="shared" si="24"/>
        <v>1240.3321492007105</v>
      </c>
      <c r="S116" s="10">
        <f t="shared" si="25"/>
        <v>1.2589997588287374</v>
      </c>
      <c r="T116" s="11">
        <v>4159158</v>
      </c>
      <c r="U116" s="11">
        <v>37610</v>
      </c>
      <c r="V116" s="11">
        <v>82</v>
      </c>
      <c r="W116" s="12">
        <v>152164.31707317071</v>
      </c>
      <c r="X116" s="12">
        <v>1375.975609756098</v>
      </c>
      <c r="Y116" s="13">
        <v>1.20793488257226</v>
      </c>
      <c r="Z116" s="11">
        <v>2635468</v>
      </c>
      <c r="AA116" s="11">
        <v>23016</v>
      </c>
      <c r="AB116" s="11">
        <v>58</v>
      </c>
      <c r="AC116" s="12">
        <v>136317.31034482759</v>
      </c>
      <c r="AD116" s="12">
        <v>1190.48275862069</v>
      </c>
      <c r="AE116" s="13">
        <v>1.1869913354088619</v>
      </c>
      <c r="AF116" s="11">
        <v>4206512</v>
      </c>
      <c r="AG116" s="11">
        <v>26865</v>
      </c>
      <c r="AH116" s="11">
        <v>73</v>
      </c>
      <c r="AI116" s="12">
        <v>172870.35616438359</v>
      </c>
      <c r="AJ116" s="12">
        <v>1104.041095890411</v>
      </c>
      <c r="AK116" s="13">
        <v>1.014184163057738</v>
      </c>
      <c r="AL116" s="11">
        <v>4756034</v>
      </c>
      <c r="AM116" s="11">
        <v>43035</v>
      </c>
      <c r="AN116" s="11">
        <v>86</v>
      </c>
      <c r="AO116" s="12">
        <v>165908.16279069771</v>
      </c>
      <c r="AP116" s="12">
        <v>1501.220930232558</v>
      </c>
      <c r="AQ116" s="13">
        <v>1.207800959397525</v>
      </c>
      <c r="AR116" s="11">
        <v>3605622</v>
      </c>
      <c r="AS116" s="11">
        <v>28289</v>
      </c>
      <c r="AT116" s="11">
        <v>83</v>
      </c>
      <c r="AU116" s="12">
        <v>130323.68674698799</v>
      </c>
      <c r="AV116" s="12">
        <v>1022.493975903614</v>
      </c>
      <c r="AW116" s="13">
        <v>1.1271052828862349</v>
      </c>
      <c r="AX116" s="11">
        <v>3231783.848217593</v>
      </c>
      <c r="AY116" s="11">
        <v>33567</v>
      </c>
      <c r="AZ116" s="11">
        <v>72</v>
      </c>
      <c r="BA116" s="12">
        <v>134657.6603423997</v>
      </c>
      <c r="BB116" s="12">
        <v>1398.625</v>
      </c>
      <c r="BC116" s="13">
        <v>1.298777497783451</v>
      </c>
      <c r="BD116" s="11">
        <v>2668097</v>
      </c>
      <c r="BE116" s="11">
        <v>23269</v>
      </c>
      <c r="BF116" s="11">
        <v>67</v>
      </c>
      <c r="BG116" s="12">
        <v>119467.0298507463</v>
      </c>
      <c r="BH116" s="12">
        <v>1041.89552238806</v>
      </c>
      <c r="BI116" s="13">
        <v>1.1896301763450889</v>
      </c>
      <c r="BJ116" s="11"/>
      <c r="BK116" s="11"/>
      <c r="BL116" s="11"/>
      <c r="BM116" s="12"/>
      <c r="BN116" s="12"/>
      <c r="BO116" s="13"/>
      <c r="BP116" s="11"/>
      <c r="BQ116" s="11"/>
      <c r="BR116" s="11"/>
      <c r="BS116" s="12"/>
      <c r="BT116" s="12"/>
      <c r="BU116" s="13"/>
      <c r="BV116" s="11">
        <v>62092</v>
      </c>
      <c r="BW116" s="11">
        <v>1307</v>
      </c>
      <c r="BX116" s="11">
        <v>3</v>
      </c>
      <c r="BY116" s="12">
        <v>62092</v>
      </c>
      <c r="BZ116" s="12">
        <v>1307</v>
      </c>
      <c r="CA116" s="13">
        <v>1.846504428897904</v>
      </c>
      <c r="CB116" s="11">
        <v>1635379</v>
      </c>
      <c r="CC116" s="11">
        <v>15811</v>
      </c>
      <c r="CD116" s="11">
        <v>39</v>
      </c>
      <c r="CE116" s="12">
        <v>125798.3846153846</v>
      </c>
      <c r="CF116" s="12">
        <v>1216.2307692307691</v>
      </c>
      <c r="CG116" s="13">
        <v>1.252069103109573</v>
      </c>
      <c r="CJ116" s="11"/>
      <c r="CK116" s="12"/>
      <c r="CL116" s="12"/>
      <c r="CM116" s="13"/>
      <c r="CN116" s="11"/>
      <c r="CO116" s="11"/>
      <c r="CP116" s="11"/>
    </row>
    <row r="117" spans="1:94" x14ac:dyDescent="0.25">
      <c r="A117" s="20" t="s">
        <v>112</v>
      </c>
      <c r="B117" s="8">
        <v>3406886.0909090908</v>
      </c>
      <c r="C117" s="8">
        <v>27657.81818181818</v>
      </c>
      <c r="D117" s="8">
        <v>532</v>
      </c>
      <c r="E117" s="9">
        <v>211329.40037593985</v>
      </c>
      <c r="F117" s="9">
        <v>1715.6165413533836</v>
      </c>
      <c r="G117" s="10">
        <v>1.1836363636363636</v>
      </c>
      <c r="H117" s="8">
        <v>2522148.6572727272</v>
      </c>
      <c r="I117" s="8">
        <v>18665.272727272728</v>
      </c>
      <c r="J117" s="8">
        <v>580</v>
      </c>
      <c r="K117" s="9">
        <v>143501.56153448275</v>
      </c>
      <c r="L117" s="9">
        <v>1061.9896551724137</v>
      </c>
      <c r="M117" s="10">
        <v>1.0920091711669639</v>
      </c>
      <c r="N117" s="8">
        <f t="shared" si="20"/>
        <v>3184985.3128138888</v>
      </c>
      <c r="O117" s="8">
        <f t="shared" si="21"/>
        <v>26438.9</v>
      </c>
      <c r="P117" s="8">
        <f t="shared" si="22"/>
        <v>629</v>
      </c>
      <c r="Q117" s="9">
        <f t="shared" si="23"/>
        <v>151907.08964136196</v>
      </c>
      <c r="R117" s="9">
        <f t="shared" si="24"/>
        <v>1260.9968203497615</v>
      </c>
      <c r="S117" s="10">
        <f t="shared" si="25"/>
        <v>1.1649845270614769</v>
      </c>
      <c r="T117" s="11">
        <v>4630985</v>
      </c>
      <c r="U117" s="11">
        <v>40534</v>
      </c>
      <c r="V117" s="11">
        <v>83</v>
      </c>
      <c r="W117" s="12">
        <v>167385</v>
      </c>
      <c r="X117" s="12">
        <v>1465.0843373493981</v>
      </c>
      <c r="Y117" s="13">
        <v>1.1875488556051941</v>
      </c>
      <c r="Z117" s="11">
        <v>2977833</v>
      </c>
      <c r="AA117" s="11">
        <v>20011</v>
      </c>
      <c r="AB117" s="11">
        <v>61</v>
      </c>
      <c r="AC117" s="12">
        <v>146450.80327868849</v>
      </c>
      <c r="AD117" s="12">
        <v>984.14754098360652</v>
      </c>
      <c r="AE117" s="13">
        <v>1.039650818619914</v>
      </c>
      <c r="AF117" s="11">
        <v>4425350</v>
      </c>
      <c r="AG117" s="11">
        <v>30676</v>
      </c>
      <c r="AH117" s="11">
        <v>74</v>
      </c>
      <c r="AI117" s="12">
        <v>179406.08108108109</v>
      </c>
      <c r="AJ117" s="12">
        <v>1243.6216216216219</v>
      </c>
      <c r="AK117" s="13">
        <v>1.056775152743904</v>
      </c>
      <c r="AL117" s="11">
        <v>5360694</v>
      </c>
      <c r="AM117" s="11">
        <v>40699</v>
      </c>
      <c r="AN117" s="11">
        <v>86</v>
      </c>
      <c r="AO117" s="12">
        <v>187000.95348837209</v>
      </c>
      <c r="AP117" s="12">
        <v>1419.7325581395351</v>
      </c>
      <c r="AQ117" s="13">
        <v>1.106828063173579</v>
      </c>
      <c r="AR117" s="11">
        <v>3998145</v>
      </c>
      <c r="AS117" s="11">
        <v>34890</v>
      </c>
      <c r="AT117" s="11">
        <v>84</v>
      </c>
      <c r="AU117" s="12">
        <v>142790.89285714281</v>
      </c>
      <c r="AV117" s="12">
        <v>1246.071428571428</v>
      </c>
      <c r="AW117" s="13">
        <v>1.1892907753444</v>
      </c>
      <c r="AX117" s="11">
        <v>3336638.1281388891</v>
      </c>
      <c r="AY117" s="11">
        <v>34207</v>
      </c>
      <c r="AZ117" s="11">
        <v>72</v>
      </c>
      <c r="BA117" s="12">
        <v>139026.58867245371</v>
      </c>
      <c r="BB117" s="12">
        <v>1425.291666666667</v>
      </c>
      <c r="BC117" s="13">
        <v>1.290118506876287</v>
      </c>
      <c r="BD117" s="11">
        <v>2729433</v>
      </c>
      <c r="BE117" s="11">
        <v>23988</v>
      </c>
      <c r="BF117" s="11">
        <v>61</v>
      </c>
      <c r="BG117" s="12">
        <v>134234.40983606561</v>
      </c>
      <c r="BH117" s="12">
        <v>1179.7377049180329</v>
      </c>
      <c r="BI117" s="13">
        <v>1.1939958676579201</v>
      </c>
      <c r="BJ117" s="11"/>
      <c r="BK117" s="11"/>
      <c r="BL117" s="11"/>
      <c r="BM117" s="12"/>
      <c r="BN117" s="12"/>
      <c r="BO117" s="13"/>
      <c r="BP117" s="11">
        <v>1687505</v>
      </c>
      <c r="BQ117" s="11">
        <v>16274</v>
      </c>
      <c r="BR117" s="11">
        <v>39</v>
      </c>
      <c r="BS117" s="12">
        <v>129808.07692307689</v>
      </c>
      <c r="BT117" s="12">
        <v>1251.846153846154</v>
      </c>
      <c r="BU117" s="13">
        <v>1.2504830667085181</v>
      </c>
      <c r="BV117" s="11">
        <v>1142188</v>
      </c>
      <c r="BW117" s="11">
        <v>8822</v>
      </c>
      <c r="BX117" s="11">
        <v>30</v>
      </c>
      <c r="BY117" s="12">
        <v>114218.8</v>
      </c>
      <c r="BZ117" s="12">
        <v>882.2</v>
      </c>
      <c r="CA117" s="13">
        <v>1.1180486294737011</v>
      </c>
      <c r="CB117" s="11">
        <v>1561082</v>
      </c>
      <c r="CC117" s="11">
        <v>14288</v>
      </c>
      <c r="CD117" s="11">
        <v>39</v>
      </c>
      <c r="CE117" s="12">
        <v>120083.23076923079</v>
      </c>
      <c r="CF117" s="12">
        <v>1099.0769230769231</v>
      </c>
      <c r="CG117" s="13">
        <v>1.2171055344113499</v>
      </c>
      <c r="CJ117" s="11"/>
      <c r="CK117" s="12"/>
      <c r="CL117" s="12"/>
      <c r="CM117" s="13"/>
      <c r="CN117" s="11"/>
      <c r="CO117" s="11"/>
      <c r="CP117" s="11"/>
    </row>
    <row r="118" spans="1:94" x14ac:dyDescent="0.25">
      <c r="A118" s="20" t="s">
        <v>113</v>
      </c>
      <c r="B118" s="8">
        <v>4852168.5714285718</v>
      </c>
      <c r="C118" s="8">
        <v>21001.571428571428</v>
      </c>
      <c r="D118" s="8">
        <v>484</v>
      </c>
      <c r="E118" s="9">
        <v>210527.97520661156</v>
      </c>
      <c r="F118" s="9">
        <v>911.22520661157023</v>
      </c>
      <c r="G118" s="10">
        <v>0.83714285714285719</v>
      </c>
      <c r="H118" s="8">
        <v>2316568.4545454546</v>
      </c>
      <c r="I118" s="8">
        <v>11306.181818181818</v>
      </c>
      <c r="J118" s="8">
        <v>449</v>
      </c>
      <c r="K118" s="9">
        <v>170260.04231625836</v>
      </c>
      <c r="L118" s="9">
        <v>830.966592427617</v>
      </c>
      <c r="M118" s="10">
        <v>0.88539566276918513</v>
      </c>
      <c r="N118" s="8">
        <f t="shared" si="20"/>
        <v>4643038.875</v>
      </c>
      <c r="O118" s="8">
        <f t="shared" si="21"/>
        <v>21654.375</v>
      </c>
      <c r="P118" s="8">
        <f t="shared" si="22"/>
        <v>512</v>
      </c>
      <c r="Q118" s="9">
        <f t="shared" si="23"/>
        <v>217642.447265625</v>
      </c>
      <c r="R118" s="9">
        <f t="shared" si="24"/>
        <v>1015.048828125</v>
      </c>
      <c r="S118" s="10">
        <f t="shared" si="25"/>
        <v>0.84468623377984586</v>
      </c>
      <c r="T118" s="11">
        <v>4425809</v>
      </c>
      <c r="U118" s="11">
        <v>22833</v>
      </c>
      <c r="V118" s="11">
        <v>74</v>
      </c>
      <c r="W118" s="12">
        <v>179424.6891891892</v>
      </c>
      <c r="X118" s="12">
        <v>925.66216216216219</v>
      </c>
      <c r="Y118" s="13">
        <v>0.91201655462171893</v>
      </c>
      <c r="Z118" s="11">
        <v>4422689</v>
      </c>
      <c r="AA118" s="11">
        <v>20637</v>
      </c>
      <c r="AB118" s="11">
        <v>61</v>
      </c>
      <c r="AC118" s="12">
        <v>217509.2950819672</v>
      </c>
      <c r="AD118" s="12">
        <v>1014.9344262295079</v>
      </c>
      <c r="AE118" s="13">
        <v>0.8652613391012961</v>
      </c>
      <c r="AF118" s="11">
        <v>6182042</v>
      </c>
      <c r="AG118" s="11">
        <v>28044</v>
      </c>
      <c r="AH118" s="11">
        <v>71</v>
      </c>
      <c r="AI118" s="12">
        <v>261213.0422535211</v>
      </c>
      <c r="AJ118" s="12">
        <v>1184.9577464788731</v>
      </c>
      <c r="AK118" s="13">
        <v>0.85284240903830799</v>
      </c>
      <c r="AL118" s="11">
        <v>6398705</v>
      </c>
      <c r="AM118" s="11">
        <v>30118</v>
      </c>
      <c r="AN118" s="11">
        <v>86</v>
      </c>
      <c r="AO118" s="12">
        <v>223210.6395348837</v>
      </c>
      <c r="AP118" s="12">
        <v>1050.627906976744</v>
      </c>
      <c r="AQ118" s="13">
        <v>0.86896443470891338</v>
      </c>
      <c r="AR118" s="11">
        <v>7173378</v>
      </c>
      <c r="AS118" s="11">
        <v>33344</v>
      </c>
      <c r="AT118" s="11">
        <v>83</v>
      </c>
      <c r="AU118" s="12">
        <v>259278.72289156631</v>
      </c>
      <c r="AV118" s="12">
        <v>1205.204819277109</v>
      </c>
      <c r="AW118" s="13">
        <v>0.86382550446938067</v>
      </c>
      <c r="AX118" s="11">
        <v>4670020</v>
      </c>
      <c r="AY118" s="11">
        <v>21223</v>
      </c>
      <c r="AZ118" s="11">
        <v>72</v>
      </c>
      <c r="BA118" s="12">
        <v>194584.16666666669</v>
      </c>
      <c r="BB118" s="12">
        <v>884.29166666666674</v>
      </c>
      <c r="BC118" s="13">
        <v>0.85392700592638515</v>
      </c>
      <c r="BD118" s="11">
        <v>3850646</v>
      </c>
      <c r="BE118" s="11">
        <v>16972</v>
      </c>
      <c r="BF118" s="11">
        <v>63</v>
      </c>
      <c r="BG118" s="12">
        <v>183364.09523809521</v>
      </c>
      <c r="BH118" s="12">
        <v>808.19047619047626</v>
      </c>
      <c r="BI118" s="13">
        <v>0.84224558430065566</v>
      </c>
      <c r="BJ118" s="11"/>
      <c r="BK118" s="11"/>
      <c r="BL118" s="11"/>
      <c r="BM118" s="12"/>
      <c r="BN118" s="12"/>
      <c r="BO118" s="13"/>
      <c r="BP118" s="11"/>
      <c r="BQ118" s="11"/>
      <c r="BR118" s="11"/>
      <c r="BS118" s="12"/>
      <c r="BT118" s="12"/>
      <c r="BU118" s="13"/>
      <c r="BV118" s="11"/>
      <c r="BW118" s="11"/>
      <c r="BX118" s="11"/>
      <c r="BY118" s="12"/>
      <c r="BZ118" s="12"/>
      <c r="CA118" s="13"/>
      <c r="CB118" s="11">
        <v>21022</v>
      </c>
      <c r="CC118" s="11">
        <v>64</v>
      </c>
      <c r="CD118" s="11">
        <v>2</v>
      </c>
      <c r="CE118" s="12">
        <v>31533</v>
      </c>
      <c r="CF118" s="12">
        <v>96</v>
      </c>
      <c r="CG118" s="13">
        <v>0.69840703807210858</v>
      </c>
      <c r="CJ118" s="11"/>
      <c r="CK118" s="12"/>
      <c r="CL118" s="12"/>
      <c r="CM118" s="13"/>
      <c r="CN118" s="11"/>
      <c r="CO118" s="11"/>
      <c r="CP118" s="11"/>
    </row>
    <row r="119" spans="1:94" x14ac:dyDescent="0.25">
      <c r="A119" s="20" t="s">
        <v>114</v>
      </c>
      <c r="B119" s="8">
        <v>3250802.5454545454</v>
      </c>
      <c r="C119" s="8">
        <v>19888.272727272728</v>
      </c>
      <c r="D119" s="8">
        <v>605</v>
      </c>
      <c r="E119" s="9">
        <v>177316.50247933884</v>
      </c>
      <c r="F119" s="9">
        <v>1084.8148760330578</v>
      </c>
      <c r="G119" s="10">
        <v>1.020909090909091</v>
      </c>
      <c r="H119" s="8">
        <v>2661784.5181818199</v>
      </c>
      <c r="I119" s="8">
        <v>16375.636363636364</v>
      </c>
      <c r="J119" s="8">
        <v>632</v>
      </c>
      <c r="K119" s="9">
        <v>138985.58401898743</v>
      </c>
      <c r="L119" s="9">
        <v>855.05696202531658</v>
      </c>
      <c r="M119" s="10">
        <v>0.99583712675689673</v>
      </c>
      <c r="N119" s="8">
        <f t="shared" si="20"/>
        <v>3855702.81</v>
      </c>
      <c r="O119" s="8">
        <f t="shared" si="21"/>
        <v>26526.5</v>
      </c>
      <c r="P119" s="8">
        <f t="shared" si="22"/>
        <v>638</v>
      </c>
      <c r="Q119" s="9">
        <f t="shared" si="23"/>
        <v>181302.63996865205</v>
      </c>
      <c r="R119" s="9">
        <f t="shared" si="24"/>
        <v>1247.3275862068965</v>
      </c>
      <c r="S119" s="10">
        <f t="shared" si="25"/>
        <v>1.0340400095991487</v>
      </c>
      <c r="T119" s="11">
        <v>4875456.92</v>
      </c>
      <c r="U119" s="11">
        <v>33510</v>
      </c>
      <c r="V119" s="11">
        <v>78</v>
      </c>
      <c r="W119" s="12">
        <v>187517.5738461538</v>
      </c>
      <c r="X119" s="12">
        <v>1288.846153846154</v>
      </c>
      <c r="Y119" s="13">
        <v>1.052285923920431</v>
      </c>
      <c r="Z119" s="11">
        <v>3849025.18</v>
      </c>
      <c r="AA119" s="11">
        <v>26413</v>
      </c>
      <c r="AB119" s="11">
        <v>64</v>
      </c>
      <c r="AC119" s="12">
        <v>180423.05531249999</v>
      </c>
      <c r="AD119" s="12">
        <v>1238.109375</v>
      </c>
      <c r="AE119" s="13">
        <v>1.052658477857225</v>
      </c>
      <c r="AF119" s="11">
        <v>4933665</v>
      </c>
      <c r="AG119" s="11">
        <v>38073</v>
      </c>
      <c r="AH119" s="11">
        <v>74</v>
      </c>
      <c r="AI119" s="12">
        <v>200013.445945946</v>
      </c>
      <c r="AJ119" s="12">
        <v>1543.5</v>
      </c>
      <c r="AK119" s="13">
        <v>1.1160396831329991</v>
      </c>
      <c r="AL119" s="11">
        <v>5897749</v>
      </c>
      <c r="AM119" s="11">
        <v>46639</v>
      </c>
      <c r="AN119" s="11">
        <v>85</v>
      </c>
      <c r="AO119" s="12">
        <v>208155.84705882359</v>
      </c>
      <c r="AP119" s="12">
        <v>1646.0823529411771</v>
      </c>
      <c r="AQ119" s="13">
        <v>1.1293230854156411</v>
      </c>
      <c r="AR119" s="11">
        <v>5218549</v>
      </c>
      <c r="AS119" s="11">
        <v>35349</v>
      </c>
      <c r="AT119" s="11">
        <v>85</v>
      </c>
      <c r="AU119" s="12">
        <v>184184.08235294119</v>
      </c>
      <c r="AV119" s="12">
        <v>1247.611764705882</v>
      </c>
      <c r="AW119" s="13">
        <v>1.0478186357217369</v>
      </c>
      <c r="AX119" s="11">
        <v>4294704</v>
      </c>
      <c r="AY119" s="11">
        <v>27294</v>
      </c>
      <c r="AZ119" s="11">
        <v>71</v>
      </c>
      <c r="BA119" s="12">
        <v>181466.36619718309</v>
      </c>
      <c r="BB119" s="12">
        <v>1153.267605633803</v>
      </c>
      <c r="BC119" s="13">
        <v>1.012905700627919</v>
      </c>
      <c r="BD119" s="11">
        <v>2840373</v>
      </c>
      <c r="BE119" s="11">
        <v>17542</v>
      </c>
      <c r="BF119" s="11">
        <v>67</v>
      </c>
      <c r="BG119" s="12">
        <v>127180.8805970149</v>
      </c>
      <c r="BH119" s="12">
        <v>785.46268656716416</v>
      </c>
      <c r="BI119" s="13">
        <v>0.9994212469106114</v>
      </c>
      <c r="BJ119" s="11"/>
      <c r="BK119" s="11"/>
      <c r="BL119" s="11"/>
      <c r="BM119" s="12"/>
      <c r="BN119" s="12"/>
      <c r="BO119" s="13"/>
      <c r="BP119" s="11">
        <v>2592984</v>
      </c>
      <c r="BQ119" s="11">
        <v>11759</v>
      </c>
      <c r="BR119" s="11">
        <v>36</v>
      </c>
      <c r="BS119" s="12">
        <v>216082</v>
      </c>
      <c r="BT119" s="12">
        <v>979.91666666666674</v>
      </c>
      <c r="BU119" s="13">
        <v>0.85695586689126169</v>
      </c>
      <c r="BV119" s="11">
        <v>1695965</v>
      </c>
      <c r="BW119" s="11">
        <v>8350</v>
      </c>
      <c r="BX119" s="11">
        <v>28</v>
      </c>
      <c r="BY119" s="12">
        <v>181710.53571428571</v>
      </c>
      <c r="BZ119" s="12">
        <v>894.64285714285711</v>
      </c>
      <c r="CA119" s="13">
        <v>0.89132145691469555</v>
      </c>
      <c r="CB119" s="11">
        <v>2358557</v>
      </c>
      <c r="CC119" s="11">
        <v>20336</v>
      </c>
      <c r="CD119" s="11">
        <v>50</v>
      </c>
      <c r="CE119" s="12">
        <v>141513.42000000001</v>
      </c>
      <c r="CF119" s="12">
        <v>1220.1600000000001</v>
      </c>
      <c r="CG119" s="13">
        <v>1.181670018598967</v>
      </c>
      <c r="CJ119" s="11"/>
      <c r="CK119" s="12"/>
      <c r="CL119" s="12"/>
      <c r="CM119" s="13"/>
      <c r="CN119" s="11"/>
      <c r="CO119" s="11"/>
      <c r="CP119" s="11"/>
    </row>
    <row r="120" spans="1:94" x14ac:dyDescent="0.25">
      <c r="A120" s="20" t="s">
        <v>115</v>
      </c>
      <c r="B120" s="8">
        <v>4619002.3636363633</v>
      </c>
      <c r="C120" s="8">
        <v>20998</v>
      </c>
      <c r="D120" s="8">
        <v>841</v>
      </c>
      <c r="E120" s="9">
        <v>181245.0392390012</v>
      </c>
      <c r="F120" s="9">
        <v>823.94054696789544</v>
      </c>
      <c r="G120" s="10">
        <v>0.86909090909090914</v>
      </c>
      <c r="H120" s="8">
        <v>4738174.166666667</v>
      </c>
      <c r="I120" s="8">
        <v>26778.75</v>
      </c>
      <c r="J120" s="8">
        <v>852</v>
      </c>
      <c r="K120" s="9">
        <v>200204.5422535211</v>
      </c>
      <c r="L120" s="9">
        <v>1131.4964788732395</v>
      </c>
      <c r="M120" s="10">
        <v>0.95361919112251037</v>
      </c>
      <c r="N120" s="8">
        <f t="shared" si="20"/>
        <v>5256924.9727272727</v>
      </c>
      <c r="O120" s="8">
        <f t="shared" si="21"/>
        <v>27748.363636363636</v>
      </c>
      <c r="P120" s="8">
        <f t="shared" si="22"/>
        <v>848</v>
      </c>
      <c r="Q120" s="9">
        <f t="shared" si="23"/>
        <v>204573.73125000001</v>
      </c>
      <c r="R120" s="9">
        <f t="shared" si="24"/>
        <v>1079.8301886792451</v>
      </c>
      <c r="S120" s="10">
        <f t="shared" si="25"/>
        <v>0.91887910959177643</v>
      </c>
      <c r="T120" s="11">
        <v>5796465.7000000002</v>
      </c>
      <c r="U120" s="11">
        <v>37440</v>
      </c>
      <c r="V120" s="11">
        <v>77</v>
      </c>
      <c r="W120" s="12">
        <v>225836.325974026</v>
      </c>
      <c r="X120" s="12">
        <v>1458.701298701299</v>
      </c>
      <c r="Y120" s="13">
        <v>1.0211196074600859</v>
      </c>
      <c r="Z120" s="11">
        <v>4505838</v>
      </c>
      <c r="AA120" s="11">
        <v>23922</v>
      </c>
      <c r="AB120" s="11">
        <v>73</v>
      </c>
      <c r="AC120" s="12">
        <v>185171.42465753431</v>
      </c>
      <c r="AD120" s="12">
        <v>983.09589041095887</v>
      </c>
      <c r="AE120" s="13">
        <v>0.92348455468124457</v>
      </c>
      <c r="AF120" s="11">
        <v>4911922</v>
      </c>
      <c r="AG120" s="11">
        <v>26705</v>
      </c>
      <c r="AH120" s="11">
        <v>77</v>
      </c>
      <c r="AI120" s="12">
        <v>191373.5844155844</v>
      </c>
      <c r="AJ120" s="12">
        <v>1040.454545454545</v>
      </c>
      <c r="AK120" s="13">
        <v>0.93452636209693274</v>
      </c>
      <c r="AL120" s="11">
        <v>6376615</v>
      </c>
      <c r="AM120" s="11">
        <v>34772</v>
      </c>
      <c r="AN120" s="11">
        <v>86</v>
      </c>
      <c r="AO120" s="12">
        <v>222440.0581395349</v>
      </c>
      <c r="AP120" s="12">
        <v>1212.976744186047</v>
      </c>
      <c r="AQ120" s="13">
        <v>0.93707188620743787</v>
      </c>
      <c r="AR120" s="11">
        <v>5118626</v>
      </c>
      <c r="AS120" s="11">
        <v>24724</v>
      </c>
      <c r="AT120" s="11">
        <v>86</v>
      </c>
      <c r="AU120" s="12">
        <v>178556.72093023261</v>
      </c>
      <c r="AV120" s="12">
        <v>862.46511627906978</v>
      </c>
      <c r="AW120" s="13">
        <v>0.88201753258496041</v>
      </c>
      <c r="AX120" s="11">
        <v>4647722</v>
      </c>
      <c r="AY120" s="11">
        <v>20354</v>
      </c>
      <c r="AZ120" s="11">
        <v>72</v>
      </c>
      <c r="BA120" s="12">
        <v>193655.08333333331</v>
      </c>
      <c r="BB120" s="12">
        <v>848.08333333333337</v>
      </c>
      <c r="BC120" s="13">
        <v>0.84223697911628981</v>
      </c>
      <c r="BD120" s="11">
        <v>4613873</v>
      </c>
      <c r="BE120" s="11">
        <v>25101</v>
      </c>
      <c r="BF120" s="11">
        <v>74</v>
      </c>
      <c r="BG120" s="12">
        <v>187048.90540540541</v>
      </c>
      <c r="BH120" s="12">
        <v>1017.608108108108</v>
      </c>
      <c r="BI120" s="13">
        <v>0.93649183931113456</v>
      </c>
      <c r="BJ120" s="11">
        <v>4720374</v>
      </c>
      <c r="BK120" s="11">
        <v>22898</v>
      </c>
      <c r="BL120" s="11">
        <v>74</v>
      </c>
      <c r="BM120" s="12">
        <v>191366.51351351349</v>
      </c>
      <c r="BN120" s="12">
        <v>928.29729729729729</v>
      </c>
      <c r="BO120" s="13">
        <v>0.88367098718651726</v>
      </c>
      <c r="BP120" s="11">
        <v>5830733</v>
      </c>
      <c r="BQ120" s="11">
        <v>24302</v>
      </c>
      <c r="BR120" s="11">
        <v>77</v>
      </c>
      <c r="BS120" s="12">
        <v>227171.4155844156</v>
      </c>
      <c r="BT120" s="12">
        <v>946.83116883116895</v>
      </c>
      <c r="BU120" s="13">
        <v>0.81903647556163706</v>
      </c>
      <c r="BV120" s="11">
        <v>5612603</v>
      </c>
      <c r="BW120" s="11">
        <v>30672</v>
      </c>
      <c r="BX120" s="11">
        <v>79</v>
      </c>
      <c r="BY120" s="12">
        <v>213136.82278481009</v>
      </c>
      <c r="BZ120" s="12">
        <v>1164.7594936708861</v>
      </c>
      <c r="CA120" s="13">
        <v>0.93997769005605991</v>
      </c>
      <c r="CB120" s="11">
        <v>5691403</v>
      </c>
      <c r="CC120" s="11">
        <v>34342</v>
      </c>
      <c r="CD120" s="11">
        <v>73</v>
      </c>
      <c r="CE120" s="12">
        <v>233893.27397260271</v>
      </c>
      <c r="CF120" s="12">
        <v>1411.3150684931511</v>
      </c>
      <c r="CG120" s="13">
        <v>0.98803629124724013</v>
      </c>
      <c r="CJ120" s="11"/>
      <c r="CK120" s="12"/>
      <c r="CL120" s="12"/>
      <c r="CM120" s="13"/>
      <c r="CN120" s="11"/>
      <c r="CO120" s="11"/>
      <c r="CP120" s="11"/>
    </row>
    <row r="121" spans="1:94" x14ac:dyDescent="0.25">
      <c r="A121" s="20" t="s">
        <v>116</v>
      </c>
      <c r="B121" s="8">
        <v>5351776.8181818184</v>
      </c>
      <c r="C121" s="8">
        <v>38108.272727272728</v>
      </c>
      <c r="D121" s="8">
        <v>848</v>
      </c>
      <c r="E121" s="9">
        <v>208264.89976415096</v>
      </c>
      <c r="F121" s="9">
        <v>1482.9870283018868</v>
      </c>
      <c r="G121" s="10">
        <v>1.0645454545454547</v>
      </c>
      <c r="H121" s="8">
        <v>4746505.9291666681</v>
      </c>
      <c r="I121" s="8">
        <v>34114.5</v>
      </c>
      <c r="J121" s="8">
        <v>821</v>
      </c>
      <c r="K121" s="9">
        <v>208129.37082825828</v>
      </c>
      <c r="L121" s="9">
        <v>1495.8855054811206</v>
      </c>
      <c r="M121" s="10">
        <v>1.0760487352553341</v>
      </c>
      <c r="N121" s="8">
        <f t="shared" si="20"/>
        <v>5400939.1727272728</v>
      </c>
      <c r="O121" s="8">
        <f t="shared" si="21"/>
        <v>40390.545454545456</v>
      </c>
      <c r="P121" s="8">
        <f t="shared" si="22"/>
        <v>852</v>
      </c>
      <c r="Q121" s="9">
        <f t="shared" si="23"/>
        <v>209191.3059859155</v>
      </c>
      <c r="R121" s="9">
        <f t="shared" si="24"/>
        <v>1564.4225352112676</v>
      </c>
      <c r="S121" s="10">
        <f t="shared" si="25"/>
        <v>1.0988995636470746</v>
      </c>
      <c r="T121" s="11">
        <v>5298868.4000000004</v>
      </c>
      <c r="U121" s="11">
        <v>32877</v>
      </c>
      <c r="V121" s="11">
        <v>80</v>
      </c>
      <c r="W121" s="12">
        <v>198707.565</v>
      </c>
      <c r="X121" s="12">
        <v>1232.8875</v>
      </c>
      <c r="Y121" s="13">
        <v>1.0001430315098669</v>
      </c>
      <c r="Z121" s="11">
        <v>5608131</v>
      </c>
      <c r="AA121" s="11">
        <v>35087</v>
      </c>
      <c r="AB121" s="11">
        <v>78</v>
      </c>
      <c r="AC121" s="12">
        <v>215697.34615384621</v>
      </c>
      <c r="AD121" s="12">
        <v>1349.5</v>
      </c>
      <c r="AE121" s="13">
        <v>1.0033226372291191</v>
      </c>
      <c r="AF121" s="11">
        <v>5651774</v>
      </c>
      <c r="AG121" s="11">
        <v>43125</v>
      </c>
      <c r="AH121" s="11">
        <v>78</v>
      </c>
      <c r="AI121" s="12">
        <v>217375.92307692309</v>
      </c>
      <c r="AJ121" s="12">
        <v>1658.653846153846</v>
      </c>
      <c r="AK121" s="13">
        <v>1.109400310149951</v>
      </c>
      <c r="AL121" s="11">
        <v>6314242</v>
      </c>
      <c r="AM121" s="11">
        <v>45123</v>
      </c>
      <c r="AN121" s="11">
        <v>85</v>
      </c>
      <c r="AO121" s="12">
        <v>222855.6</v>
      </c>
      <c r="AP121" s="12">
        <v>1592.576470588235</v>
      </c>
      <c r="AQ121" s="13">
        <v>1.073260379320202</v>
      </c>
      <c r="AR121" s="11">
        <v>6106201.5</v>
      </c>
      <c r="AS121" s="11">
        <v>44874</v>
      </c>
      <c r="AT121" s="11">
        <v>85</v>
      </c>
      <c r="AU121" s="12">
        <v>215512.99411764709</v>
      </c>
      <c r="AV121" s="12">
        <v>1583.7882352941169</v>
      </c>
      <c r="AW121" s="13">
        <v>1.09140971122846</v>
      </c>
      <c r="AX121" s="11">
        <v>5457605</v>
      </c>
      <c r="AY121" s="11">
        <v>49063</v>
      </c>
      <c r="AZ121" s="11">
        <v>72</v>
      </c>
      <c r="BA121" s="12">
        <v>227400.20833333331</v>
      </c>
      <c r="BB121" s="12">
        <v>2044.291666666667</v>
      </c>
      <c r="BC121" s="13">
        <v>1.206435066012616</v>
      </c>
      <c r="BD121" s="11">
        <v>4996505</v>
      </c>
      <c r="BE121" s="11">
        <v>48472</v>
      </c>
      <c r="BF121" s="11">
        <v>74</v>
      </c>
      <c r="BG121" s="12">
        <v>202561.01351351349</v>
      </c>
      <c r="BH121" s="12">
        <v>1965.081081081081</v>
      </c>
      <c r="BI121" s="13">
        <v>1.2553238575017449</v>
      </c>
      <c r="BJ121" s="11">
        <v>4986246</v>
      </c>
      <c r="BK121" s="11">
        <v>36954</v>
      </c>
      <c r="BL121" s="11">
        <v>72</v>
      </c>
      <c r="BM121" s="12">
        <v>207760.25</v>
      </c>
      <c r="BN121" s="12">
        <v>1539.75</v>
      </c>
      <c r="BO121" s="13">
        <v>1.0953676979292839</v>
      </c>
      <c r="BP121" s="11">
        <v>4811760</v>
      </c>
      <c r="BQ121" s="11">
        <v>38081</v>
      </c>
      <c r="BR121" s="11">
        <v>77</v>
      </c>
      <c r="BS121" s="12">
        <v>187471.16883116879</v>
      </c>
      <c r="BT121" s="12">
        <v>1483.6753246753251</v>
      </c>
      <c r="BU121" s="13">
        <v>1.1325176783488451</v>
      </c>
      <c r="BV121" s="11">
        <v>5003462</v>
      </c>
      <c r="BW121" s="11">
        <v>34568</v>
      </c>
      <c r="BX121" s="11">
        <v>77</v>
      </c>
      <c r="BY121" s="12">
        <v>194940.07792207791</v>
      </c>
      <c r="BZ121" s="12">
        <v>1346.805194805195</v>
      </c>
      <c r="CA121" s="13">
        <v>1.0577204992123661</v>
      </c>
      <c r="CB121" s="11">
        <v>5175536</v>
      </c>
      <c r="CC121" s="11">
        <v>36072</v>
      </c>
      <c r="CD121" s="11">
        <v>74</v>
      </c>
      <c r="CE121" s="12">
        <v>209819.02702702701</v>
      </c>
      <c r="CF121" s="12">
        <v>1462.3783783783781</v>
      </c>
      <c r="CG121" s="13">
        <v>1.0629943316753669</v>
      </c>
      <c r="CJ121" s="11"/>
      <c r="CK121" s="12"/>
      <c r="CL121" s="12"/>
      <c r="CM121" s="13"/>
      <c r="CN121" s="11"/>
      <c r="CO121" s="11"/>
      <c r="CP121" s="11"/>
    </row>
    <row r="122" spans="1:94" x14ac:dyDescent="0.25">
      <c r="A122" s="20" t="s">
        <v>117</v>
      </c>
      <c r="B122" s="8">
        <v>4460359.4545454541</v>
      </c>
      <c r="C122" s="8">
        <v>22100</v>
      </c>
      <c r="D122" s="8">
        <v>786</v>
      </c>
      <c r="E122" s="9">
        <v>187267</v>
      </c>
      <c r="F122" s="9">
        <v>927.86259541984737</v>
      </c>
      <c r="G122" s="10">
        <v>0.8927272727272727</v>
      </c>
      <c r="H122" s="8">
        <v>3881862</v>
      </c>
      <c r="I122" s="8">
        <v>22262.083333333332</v>
      </c>
      <c r="J122" s="8">
        <v>832</v>
      </c>
      <c r="K122" s="9">
        <v>167965.18269230769</v>
      </c>
      <c r="L122" s="9">
        <v>963.26322115384608</v>
      </c>
      <c r="M122" s="10">
        <v>0.96150273467899083</v>
      </c>
      <c r="N122" s="8">
        <f t="shared" si="20"/>
        <v>4629534.5454545459</v>
      </c>
      <c r="O122" s="8">
        <f t="shared" si="21"/>
        <v>23416.636363636364</v>
      </c>
      <c r="P122" s="8">
        <f t="shared" si="22"/>
        <v>852</v>
      </c>
      <c r="Q122" s="9">
        <f t="shared" si="23"/>
        <v>179312.95774647887</v>
      </c>
      <c r="R122" s="9">
        <f t="shared" si="24"/>
        <v>906.98239436619724</v>
      </c>
      <c r="S122" s="10">
        <f t="shared" si="25"/>
        <v>0.90635086921355523</v>
      </c>
      <c r="T122" s="11">
        <v>4349659</v>
      </c>
      <c r="U122" s="11">
        <v>25866</v>
      </c>
      <c r="V122" s="11">
        <v>77</v>
      </c>
      <c r="W122" s="12">
        <v>169467.23376623381</v>
      </c>
      <c r="X122" s="12">
        <v>1007.766233766234</v>
      </c>
      <c r="Y122" s="13">
        <v>0.97868275528579429</v>
      </c>
      <c r="Z122" s="11">
        <v>5164409</v>
      </c>
      <c r="AA122" s="11">
        <v>20253</v>
      </c>
      <c r="AB122" s="11">
        <v>78</v>
      </c>
      <c r="AC122" s="12">
        <v>198631.1153846154</v>
      </c>
      <c r="AD122" s="12">
        <v>778.96153846153834</v>
      </c>
      <c r="AE122" s="13">
        <v>0.79466303276498651</v>
      </c>
      <c r="AF122" s="11">
        <v>5057800</v>
      </c>
      <c r="AG122" s="11">
        <v>22142</v>
      </c>
      <c r="AH122" s="11">
        <v>78</v>
      </c>
      <c r="AI122" s="12">
        <v>194530.76923076919</v>
      </c>
      <c r="AJ122" s="12">
        <v>851.61538461538453</v>
      </c>
      <c r="AK122" s="13">
        <v>0.84050774537677908</v>
      </c>
      <c r="AL122" s="11">
        <v>6068710</v>
      </c>
      <c r="AM122" s="11">
        <v>28704</v>
      </c>
      <c r="AN122" s="11">
        <v>86</v>
      </c>
      <c r="AO122" s="12">
        <v>211699.1860465116</v>
      </c>
      <c r="AP122" s="12">
        <v>1001.3023255813951</v>
      </c>
      <c r="AQ122" s="13">
        <v>0.87278291519409068</v>
      </c>
      <c r="AR122" s="11">
        <v>5993108</v>
      </c>
      <c r="AS122" s="11">
        <v>32623</v>
      </c>
      <c r="AT122" s="11">
        <v>88</v>
      </c>
      <c r="AU122" s="12">
        <v>204310.5</v>
      </c>
      <c r="AV122" s="12">
        <v>1112.147727272727</v>
      </c>
      <c r="AW122" s="13">
        <v>0.93744166854176247</v>
      </c>
      <c r="AX122" s="11">
        <v>3742545</v>
      </c>
      <c r="AY122" s="11">
        <v>18573</v>
      </c>
      <c r="AZ122" s="11">
        <v>72</v>
      </c>
      <c r="BA122" s="12">
        <v>155939.375</v>
      </c>
      <c r="BB122" s="12">
        <v>773.875</v>
      </c>
      <c r="BC122" s="13">
        <v>0.89515923849919599</v>
      </c>
      <c r="BD122" s="11">
        <v>3537096</v>
      </c>
      <c r="BE122" s="11">
        <v>17935</v>
      </c>
      <c r="BF122" s="11">
        <v>74</v>
      </c>
      <c r="BG122" s="12">
        <v>143395.78378378379</v>
      </c>
      <c r="BH122" s="12">
        <v>727.09459459459458</v>
      </c>
      <c r="BI122" s="13">
        <v>0.90483232595451935</v>
      </c>
      <c r="BJ122" s="11">
        <v>4572867</v>
      </c>
      <c r="BK122" s="11">
        <v>24394</v>
      </c>
      <c r="BL122" s="11">
        <v>72</v>
      </c>
      <c r="BM122" s="12">
        <v>190536.125</v>
      </c>
      <c r="BN122" s="12">
        <v>1016.416666666667</v>
      </c>
      <c r="BO122" s="13">
        <v>0.93121691029096831</v>
      </c>
      <c r="BP122" s="11">
        <v>3498424</v>
      </c>
      <c r="BQ122" s="11">
        <v>19028</v>
      </c>
      <c r="BR122" s="11">
        <v>76</v>
      </c>
      <c r="BS122" s="12">
        <v>138095.68421052629</v>
      </c>
      <c r="BT122" s="12">
        <v>751.1052631578948</v>
      </c>
      <c r="BU122" s="13">
        <v>0.93673516742104102</v>
      </c>
      <c r="BV122" s="11">
        <v>5340652</v>
      </c>
      <c r="BW122" s="11">
        <v>26707</v>
      </c>
      <c r="BX122" s="11">
        <v>76</v>
      </c>
      <c r="BY122" s="12">
        <v>210815.21052631579</v>
      </c>
      <c r="BZ122" s="12">
        <v>1054.223684210526</v>
      </c>
      <c r="CA122" s="13">
        <v>0.89851403817356579</v>
      </c>
      <c r="CB122" s="11">
        <v>3599610</v>
      </c>
      <c r="CC122" s="11">
        <v>21358</v>
      </c>
      <c r="CD122" s="11">
        <v>75</v>
      </c>
      <c r="CE122" s="12">
        <v>143984.4</v>
      </c>
      <c r="CF122" s="12">
        <v>854.31999999999994</v>
      </c>
      <c r="CG122" s="13">
        <v>0.97932376384640329</v>
      </c>
      <c r="CJ122" s="11"/>
      <c r="CK122" s="12"/>
      <c r="CL122" s="12"/>
      <c r="CM122" s="13"/>
      <c r="CN122" s="11"/>
      <c r="CO122" s="11"/>
      <c r="CP122" s="11"/>
    </row>
    <row r="123" spans="1:94" x14ac:dyDescent="0.25">
      <c r="A123" s="20" t="s">
        <v>118</v>
      </c>
      <c r="B123" s="8">
        <v>2925355</v>
      </c>
      <c r="C123" s="8">
        <v>82036.272727272721</v>
      </c>
      <c r="D123" s="8">
        <v>867</v>
      </c>
      <c r="E123" s="9">
        <v>111345.6920415225</v>
      </c>
      <c r="F123" s="9">
        <v>3122.4878892733568</v>
      </c>
      <c r="G123" s="10">
        <v>2.143636363636364</v>
      </c>
      <c r="H123" s="8">
        <v>2688266.5833333354</v>
      </c>
      <c r="I123" s="8">
        <v>69474.333333333328</v>
      </c>
      <c r="J123" s="8">
        <v>903</v>
      </c>
      <c r="K123" s="9">
        <v>107173.41860465125</v>
      </c>
      <c r="L123" s="9">
        <v>2769.740863787375</v>
      </c>
      <c r="M123" s="10">
        <v>2.046108675854839</v>
      </c>
      <c r="N123" s="8">
        <f t="shared" si="20"/>
        <v>2844949.8022727272</v>
      </c>
      <c r="O123" s="8">
        <f t="shared" si="21"/>
        <v>79199.727272727279</v>
      </c>
      <c r="P123" s="8">
        <f t="shared" si="22"/>
        <v>839</v>
      </c>
      <c r="Q123" s="9">
        <f t="shared" si="23"/>
        <v>111899.09830154946</v>
      </c>
      <c r="R123" s="9">
        <f t="shared" si="24"/>
        <v>3115.1263408820023</v>
      </c>
      <c r="S123" s="10">
        <f t="shared" si="25"/>
        <v>2.1392542920656954</v>
      </c>
      <c r="T123" s="11">
        <v>3151591.55</v>
      </c>
      <c r="U123" s="11">
        <v>70274</v>
      </c>
      <c r="V123" s="11">
        <v>76</v>
      </c>
      <c r="W123" s="12">
        <v>124404.9296052631</v>
      </c>
      <c r="X123" s="12">
        <v>2773.9736842105258</v>
      </c>
      <c r="Y123" s="13">
        <v>1.9001653637274509</v>
      </c>
      <c r="Z123" s="11">
        <v>2342133.4750000001</v>
      </c>
      <c r="AA123" s="11">
        <v>70161</v>
      </c>
      <c r="AB123" s="11">
        <v>72</v>
      </c>
      <c r="AC123" s="12">
        <v>97588.894791666666</v>
      </c>
      <c r="AD123" s="12">
        <v>2923.375</v>
      </c>
      <c r="AE123" s="13">
        <v>2.2027289956808929</v>
      </c>
      <c r="AF123" s="11">
        <v>2333742.6</v>
      </c>
      <c r="AG123" s="11">
        <v>87700</v>
      </c>
      <c r="AH123" s="11">
        <v>77</v>
      </c>
      <c r="AI123" s="12">
        <v>90925.036363636362</v>
      </c>
      <c r="AJ123" s="12">
        <v>3416.8831168831171</v>
      </c>
      <c r="AK123" s="13">
        <v>2.468289130600299</v>
      </c>
      <c r="AL123" s="11">
        <v>4107410.2</v>
      </c>
      <c r="AM123" s="11">
        <v>103319</v>
      </c>
      <c r="AN123" s="11">
        <v>85</v>
      </c>
      <c r="AO123" s="12">
        <v>144967.41882352941</v>
      </c>
      <c r="AP123" s="12">
        <v>3646.552941176471</v>
      </c>
      <c r="AQ123" s="13">
        <v>2.0181050236522911</v>
      </c>
      <c r="AR123" s="11">
        <v>3000839</v>
      </c>
      <c r="AS123" s="11">
        <v>85169</v>
      </c>
      <c r="AT123" s="11">
        <v>85</v>
      </c>
      <c r="AU123" s="12">
        <v>105911.9647058824</v>
      </c>
      <c r="AV123" s="12">
        <v>3005.964705882353</v>
      </c>
      <c r="AW123" s="13">
        <v>2.1442724405256111</v>
      </c>
      <c r="AX123" s="11">
        <v>1951171</v>
      </c>
      <c r="AY123" s="11">
        <v>63060</v>
      </c>
      <c r="AZ123" s="11">
        <v>72</v>
      </c>
      <c r="BA123" s="12">
        <v>81298.791666666672</v>
      </c>
      <c r="BB123" s="12">
        <v>2627.5</v>
      </c>
      <c r="BC123" s="13">
        <v>2.286466074216166</v>
      </c>
      <c r="BD123" s="11">
        <v>3132589</v>
      </c>
      <c r="BE123" s="11">
        <v>74838</v>
      </c>
      <c r="BF123" s="11">
        <v>73</v>
      </c>
      <c r="BG123" s="12">
        <v>128736.53424657531</v>
      </c>
      <c r="BH123" s="12">
        <v>3075.534246575342</v>
      </c>
      <c r="BI123" s="13">
        <v>1.966582765911197</v>
      </c>
      <c r="BJ123" s="11">
        <v>3181000</v>
      </c>
      <c r="BK123" s="11">
        <v>84102</v>
      </c>
      <c r="BL123" s="11">
        <v>73</v>
      </c>
      <c r="BM123" s="12">
        <v>130726.0273972603</v>
      </c>
      <c r="BN123" s="12">
        <v>3456.2465753424658</v>
      </c>
      <c r="BO123" s="13">
        <v>2.0690441780873319</v>
      </c>
      <c r="BP123" s="11">
        <v>2165811</v>
      </c>
      <c r="BQ123" s="11">
        <v>62509</v>
      </c>
      <c r="BR123" s="11">
        <v>76</v>
      </c>
      <c r="BS123" s="12">
        <v>85492.539473684214</v>
      </c>
      <c r="BT123" s="12">
        <v>2467.4605263157891</v>
      </c>
      <c r="BU123" s="13">
        <v>2.162014425119569</v>
      </c>
      <c r="BV123" s="11">
        <v>2803983</v>
      </c>
      <c r="BW123" s="11">
        <v>82782</v>
      </c>
      <c r="BX123" s="11">
        <v>79</v>
      </c>
      <c r="BY123" s="12">
        <v>106480.3670886076</v>
      </c>
      <c r="BZ123" s="12">
        <v>3143.6202531645572</v>
      </c>
      <c r="CA123" s="13">
        <v>2.1876465122040578</v>
      </c>
      <c r="CB123" s="11">
        <v>3124177</v>
      </c>
      <c r="CC123" s="11">
        <v>87283</v>
      </c>
      <c r="CD123" s="11">
        <v>71</v>
      </c>
      <c r="CE123" s="12">
        <v>132007.47887323939</v>
      </c>
      <c r="CF123" s="12">
        <v>3688.0140845070418</v>
      </c>
      <c r="CG123" s="13">
        <v>2.126482302997784</v>
      </c>
      <c r="CJ123" s="11"/>
      <c r="CK123" s="12"/>
      <c r="CL123" s="12"/>
      <c r="CM123" s="13"/>
      <c r="CN123" s="11"/>
      <c r="CO123" s="11"/>
      <c r="CP123" s="11"/>
    </row>
    <row r="124" spans="1:94" x14ac:dyDescent="0.25">
      <c r="A124" s="20" t="s">
        <v>119</v>
      </c>
      <c r="B124" s="8">
        <v>305178.36363636365</v>
      </c>
      <c r="C124" s="8">
        <v>114493.90909090909</v>
      </c>
      <c r="D124" s="8">
        <v>687</v>
      </c>
      <c r="E124" s="9">
        <v>14659.222707423582</v>
      </c>
      <c r="F124" s="9">
        <v>5499.7074235807859</v>
      </c>
      <c r="G124" s="10">
        <v>7.876363636363636</v>
      </c>
      <c r="H124" s="8">
        <v>241788.00000000015</v>
      </c>
      <c r="I124" s="8">
        <v>94740.166666666672</v>
      </c>
      <c r="J124" s="8">
        <v>649</v>
      </c>
      <c r="K124" s="9">
        <v>13411.969183359022</v>
      </c>
      <c r="L124" s="9">
        <v>5255.2326656394453</v>
      </c>
      <c r="M124" s="10">
        <v>8.0028324000540163</v>
      </c>
      <c r="N124" s="8">
        <f t="shared" si="20"/>
        <v>311243.32272727269</v>
      </c>
      <c r="O124" s="8">
        <f t="shared" si="21"/>
        <v>119540</v>
      </c>
      <c r="P124" s="8">
        <f t="shared" si="22"/>
        <v>736</v>
      </c>
      <c r="Q124" s="9">
        <f t="shared" si="23"/>
        <v>13955.203328804346</v>
      </c>
      <c r="R124" s="9">
        <f t="shared" si="24"/>
        <v>5359.809782608696</v>
      </c>
      <c r="S124" s="10">
        <f t="shared" si="25"/>
        <v>8.2315261138613192</v>
      </c>
      <c r="T124" s="11">
        <v>415887.2</v>
      </c>
      <c r="U124" s="11">
        <v>151101</v>
      </c>
      <c r="V124" s="11">
        <v>77</v>
      </c>
      <c r="W124" s="12">
        <v>16203.3974025974</v>
      </c>
      <c r="X124" s="12">
        <v>5887.0519480519479</v>
      </c>
      <c r="Y124" s="13">
        <v>7.6745641162552731</v>
      </c>
      <c r="Z124" s="11">
        <v>183594</v>
      </c>
      <c r="AA124" s="11">
        <v>96799</v>
      </c>
      <c r="AB124" s="11">
        <v>69</v>
      </c>
      <c r="AC124" s="12">
        <v>7982.347826086956</v>
      </c>
      <c r="AD124" s="12">
        <v>4208.652173913044</v>
      </c>
      <c r="AE124" s="13">
        <v>9.2470061803394703</v>
      </c>
      <c r="AF124" s="11">
        <v>278238.15000000002</v>
      </c>
      <c r="AG124" s="11">
        <v>98658</v>
      </c>
      <c r="AH124" s="11">
        <v>62</v>
      </c>
      <c r="AI124" s="12">
        <v>13463.13629032258</v>
      </c>
      <c r="AJ124" s="12">
        <v>4773.7741935483873</v>
      </c>
      <c r="AK124" s="13">
        <v>7.5799581342188382</v>
      </c>
      <c r="AL124" s="11">
        <v>140424.5</v>
      </c>
      <c r="AM124" s="11">
        <v>85402</v>
      </c>
      <c r="AN124" s="11">
        <v>68</v>
      </c>
      <c r="AO124" s="12">
        <v>6195.1985294117649</v>
      </c>
      <c r="AP124" s="12">
        <v>3767.7352941176468</v>
      </c>
      <c r="AQ124" s="13">
        <v>9.9308630798058282</v>
      </c>
      <c r="AR124" s="11">
        <v>229199.15</v>
      </c>
      <c r="AS124" s="11">
        <v>95822</v>
      </c>
      <c r="AT124" s="11">
        <v>67</v>
      </c>
      <c r="AU124" s="12">
        <v>10262.648507462691</v>
      </c>
      <c r="AV124" s="12">
        <v>4290.5373134328356</v>
      </c>
      <c r="AW124" s="13">
        <v>8.2342899117789816</v>
      </c>
      <c r="AX124" s="11">
        <v>448419.9</v>
      </c>
      <c r="AY124" s="11">
        <v>116183</v>
      </c>
      <c r="AZ124" s="11">
        <v>63</v>
      </c>
      <c r="BA124" s="12">
        <v>21353.32857142857</v>
      </c>
      <c r="BB124" s="12">
        <v>5532.5238095238092</v>
      </c>
      <c r="BC124" s="13">
        <v>6.4822492666481804</v>
      </c>
      <c r="BD124" s="11">
        <v>147883</v>
      </c>
      <c r="BE124" s="11">
        <v>99568</v>
      </c>
      <c r="BF124" s="11">
        <v>66</v>
      </c>
      <c r="BG124" s="12">
        <v>6721.954545454545</v>
      </c>
      <c r="BH124" s="12">
        <v>4525.818181818182</v>
      </c>
      <c r="BI124" s="13">
        <v>10.44943325977982</v>
      </c>
      <c r="BJ124" s="11">
        <v>352253.55</v>
      </c>
      <c r="BK124" s="11">
        <v>152077</v>
      </c>
      <c r="BL124" s="11">
        <v>73</v>
      </c>
      <c r="BM124" s="12">
        <v>14476.17328767123</v>
      </c>
      <c r="BN124" s="12">
        <v>6249.7397260273974</v>
      </c>
      <c r="BO124" s="13">
        <v>8.3677123272993228</v>
      </c>
      <c r="BP124" s="11">
        <v>380462.4</v>
      </c>
      <c r="BQ124" s="11">
        <v>155444</v>
      </c>
      <c r="BR124" s="11">
        <v>75</v>
      </c>
      <c r="BS124" s="12">
        <v>15218.495999999999</v>
      </c>
      <c r="BT124" s="12">
        <v>6217.76</v>
      </c>
      <c r="BU124" s="13">
        <v>8.1400448445962912</v>
      </c>
      <c r="BV124" s="11">
        <v>553408.69999999995</v>
      </c>
      <c r="BW124" s="11">
        <v>158518</v>
      </c>
      <c r="BX124" s="11">
        <v>59</v>
      </c>
      <c r="BY124" s="12">
        <v>28139.425423728811</v>
      </c>
      <c r="BZ124" s="12">
        <v>8060.2372881355932</v>
      </c>
      <c r="CA124" s="13">
        <v>6.8157157958918066</v>
      </c>
      <c r="CB124" s="11">
        <v>293906</v>
      </c>
      <c r="CC124" s="11">
        <v>105368</v>
      </c>
      <c r="CD124" s="11">
        <v>57</v>
      </c>
      <c r="CE124" s="12">
        <v>15468.73684210526</v>
      </c>
      <c r="CF124" s="12">
        <v>5545.6842105263158</v>
      </c>
      <c r="CG124" s="13">
        <v>7.624950335860718</v>
      </c>
      <c r="CJ124" s="11"/>
      <c r="CK124" s="12"/>
      <c r="CL124" s="12"/>
      <c r="CM124" s="13"/>
      <c r="CN124" s="11"/>
      <c r="CO124" s="11"/>
      <c r="CP124" s="11"/>
    </row>
    <row r="125" spans="1:94" x14ac:dyDescent="0.25">
      <c r="A125" s="21" t="s">
        <v>120</v>
      </c>
      <c r="B125" s="8"/>
      <c r="C125" s="8"/>
      <c r="D125" s="8"/>
      <c r="E125" s="9"/>
      <c r="F125" s="9"/>
      <c r="G125" s="10"/>
      <c r="H125" s="8">
        <v>2358228.2050000001</v>
      </c>
      <c r="I125" s="8">
        <v>3582.0833333333335</v>
      </c>
      <c r="J125" s="8">
        <v>567</v>
      </c>
      <c r="K125" s="9">
        <v>149728.77492063493</v>
      </c>
      <c r="L125" s="9">
        <v>227.43386243386243</v>
      </c>
      <c r="M125" s="10">
        <v>0.49022162313917222</v>
      </c>
      <c r="N125" s="8">
        <f t="shared" si="20"/>
        <v>3708638.1436363626</v>
      </c>
      <c r="O125" s="8">
        <f t="shared" si="21"/>
        <v>5925.545454545455</v>
      </c>
      <c r="P125" s="8">
        <f t="shared" si="22"/>
        <v>697</v>
      </c>
      <c r="Q125" s="9">
        <f t="shared" si="23"/>
        <v>175588.31956958389</v>
      </c>
      <c r="R125" s="9">
        <f t="shared" si="24"/>
        <v>280.54949784791967</v>
      </c>
      <c r="S125" s="10">
        <f t="shared" si="25"/>
        <v>0.47200465593111912</v>
      </c>
      <c r="T125" s="11">
        <v>3715308.76</v>
      </c>
      <c r="U125" s="11">
        <v>4198</v>
      </c>
      <c r="V125" s="11">
        <v>72</v>
      </c>
      <c r="W125" s="12">
        <v>154804.53166666671</v>
      </c>
      <c r="X125" s="12">
        <v>174.91666666666671</v>
      </c>
      <c r="Y125" s="13">
        <v>0.41981381767513121</v>
      </c>
      <c r="Z125" s="11">
        <v>2366929.88</v>
      </c>
      <c r="AA125" s="11">
        <v>3256</v>
      </c>
      <c r="AB125" s="11">
        <v>61</v>
      </c>
      <c r="AC125" s="12">
        <v>116406.3875409836</v>
      </c>
      <c r="AD125" s="12">
        <v>160.13114754098359</v>
      </c>
      <c r="AE125" s="13">
        <v>0.46128704466228532</v>
      </c>
      <c r="AF125" s="11">
        <v>4415816.5199999996</v>
      </c>
      <c r="AG125" s="11">
        <v>7451</v>
      </c>
      <c r="AH125" s="11">
        <v>69</v>
      </c>
      <c r="AI125" s="12">
        <v>191992.0226086957</v>
      </c>
      <c r="AJ125" s="12">
        <v>323.95652173913038</v>
      </c>
      <c r="AK125" s="13">
        <v>0.51756150293770364</v>
      </c>
      <c r="AL125" s="11">
        <v>4605813.92</v>
      </c>
      <c r="AM125" s="11">
        <v>10414</v>
      </c>
      <c r="AN125" s="11">
        <v>65</v>
      </c>
      <c r="AO125" s="12">
        <v>212576.02707692311</v>
      </c>
      <c r="AP125" s="12">
        <v>480.64615384615382</v>
      </c>
      <c r="AQ125" s="13">
        <v>0.60067894573675606</v>
      </c>
      <c r="AR125" s="11">
        <v>2748236.64</v>
      </c>
      <c r="AS125" s="11">
        <v>2778</v>
      </c>
      <c r="AT125" s="11">
        <v>68</v>
      </c>
      <c r="AU125" s="12">
        <v>121245.73411764709</v>
      </c>
      <c r="AV125" s="12">
        <v>122.5588235294118</v>
      </c>
      <c r="AW125" s="13">
        <v>0.4</v>
      </c>
      <c r="AX125" s="11">
        <v>2643082.4</v>
      </c>
      <c r="AY125" s="11">
        <v>2270</v>
      </c>
      <c r="AZ125" s="11">
        <v>42</v>
      </c>
      <c r="BA125" s="12">
        <v>188791.6</v>
      </c>
      <c r="BB125" s="12">
        <v>162.1428571428572</v>
      </c>
      <c r="BC125" s="13">
        <v>0.36699817559722592</v>
      </c>
      <c r="BD125" s="11">
        <v>2590507.4</v>
      </c>
      <c r="BE125" s="11">
        <v>2245</v>
      </c>
      <c r="BF125" s="11">
        <v>46</v>
      </c>
      <c r="BG125" s="12">
        <v>168946.13478260869</v>
      </c>
      <c r="BH125" s="12">
        <v>146.4130434782609</v>
      </c>
      <c r="BI125" s="13">
        <v>0.36769086654841171</v>
      </c>
      <c r="BJ125" s="11">
        <v>2795607.78</v>
      </c>
      <c r="BK125" s="11">
        <v>2555</v>
      </c>
      <c r="BL125" s="11">
        <v>61</v>
      </c>
      <c r="BM125" s="12">
        <v>137488.90721311481</v>
      </c>
      <c r="BN125" s="12">
        <v>125.655737704918</v>
      </c>
      <c r="BO125" s="13">
        <v>0.37855642589633309</v>
      </c>
      <c r="BP125" s="11">
        <v>4588801.38</v>
      </c>
      <c r="BQ125" s="11">
        <v>5978</v>
      </c>
      <c r="BR125" s="11">
        <v>71</v>
      </c>
      <c r="BS125" s="12">
        <v>193893.01605633801</v>
      </c>
      <c r="BT125" s="12">
        <v>252.59154929577471</v>
      </c>
      <c r="BU125" s="13">
        <v>0.456846087075852</v>
      </c>
      <c r="BV125" s="11">
        <v>5383110.5</v>
      </c>
      <c r="BW125" s="11">
        <v>12371</v>
      </c>
      <c r="BX125" s="11">
        <v>72</v>
      </c>
      <c r="BY125" s="12">
        <v>224296.27083333331</v>
      </c>
      <c r="BZ125" s="12">
        <v>515.45833333333337</v>
      </c>
      <c r="CA125" s="13">
        <v>0.60666957770199792</v>
      </c>
      <c r="CB125" s="11">
        <v>4941804.4000000004</v>
      </c>
      <c r="CC125" s="11">
        <v>11665</v>
      </c>
      <c r="CD125" s="11">
        <v>70</v>
      </c>
      <c r="CE125" s="12">
        <v>211791.6171428572</v>
      </c>
      <c r="CF125" s="12">
        <v>499.92857142857139</v>
      </c>
      <c r="CG125" s="13">
        <v>0.61594877141061322</v>
      </c>
      <c r="CJ125" s="11"/>
      <c r="CK125" s="12"/>
      <c r="CL125" s="12"/>
      <c r="CM125" s="13"/>
      <c r="CN125" s="11"/>
      <c r="CO125" s="11"/>
      <c r="CP125" s="11"/>
    </row>
    <row r="126" spans="1:94" x14ac:dyDescent="0.25">
      <c r="A126" s="21" t="s">
        <v>121</v>
      </c>
      <c r="B126" s="8"/>
      <c r="C126" s="8"/>
      <c r="D126" s="8"/>
      <c r="E126" s="9"/>
      <c r="F126" s="9"/>
      <c r="G126" s="10"/>
      <c r="H126" s="8">
        <v>2772259.7416666653</v>
      </c>
      <c r="I126" s="8">
        <v>4141.083333333333</v>
      </c>
      <c r="J126" s="8">
        <v>600</v>
      </c>
      <c r="K126" s="9">
        <v>166335.58449999991</v>
      </c>
      <c r="L126" s="9">
        <v>248.46500000000003</v>
      </c>
      <c r="M126" s="10">
        <v>0.48646540537971328</v>
      </c>
      <c r="N126" s="8">
        <f t="shared" si="20"/>
        <v>3532672.6009090911</v>
      </c>
      <c r="O126" s="8">
        <f t="shared" si="21"/>
        <v>5680.636363636364</v>
      </c>
      <c r="P126" s="8">
        <f t="shared" si="22"/>
        <v>744</v>
      </c>
      <c r="Q126" s="9">
        <f t="shared" si="23"/>
        <v>156691.12342741934</v>
      </c>
      <c r="R126" s="9">
        <f t="shared" si="24"/>
        <v>251.96370967741933</v>
      </c>
      <c r="S126" s="10">
        <f t="shared" si="25"/>
        <v>0.48761748111089226</v>
      </c>
      <c r="T126" s="11">
        <v>3223771.74</v>
      </c>
      <c r="U126" s="11">
        <v>4001</v>
      </c>
      <c r="V126" s="11">
        <v>76</v>
      </c>
      <c r="W126" s="12">
        <v>127254.14763157901</v>
      </c>
      <c r="X126" s="12">
        <v>157.93421052631581</v>
      </c>
      <c r="Y126" s="13">
        <v>0.43811211685278201</v>
      </c>
      <c r="Z126" s="11">
        <v>2380680.6800000002</v>
      </c>
      <c r="AA126" s="11">
        <v>3558</v>
      </c>
      <c r="AB126" s="11">
        <v>59</v>
      </c>
      <c r="AC126" s="12">
        <v>121051.56</v>
      </c>
      <c r="AD126" s="12">
        <v>180.91525423728811</v>
      </c>
      <c r="AE126" s="13">
        <v>0.48104172737367279</v>
      </c>
      <c r="AF126" s="11">
        <v>3691009.36</v>
      </c>
      <c r="AG126" s="11">
        <v>7125</v>
      </c>
      <c r="AH126" s="11">
        <v>67</v>
      </c>
      <c r="AI126" s="12">
        <v>165269.07582089549</v>
      </c>
      <c r="AJ126" s="12">
        <v>319.02985074626872</v>
      </c>
      <c r="AK126" s="13">
        <v>0.55146043592738681</v>
      </c>
      <c r="AL126" s="11">
        <v>2944307.16</v>
      </c>
      <c r="AM126" s="11">
        <v>3925</v>
      </c>
      <c r="AN126" s="11">
        <v>69</v>
      </c>
      <c r="AO126" s="12">
        <v>128013.3547826087</v>
      </c>
      <c r="AP126" s="12">
        <v>170.6521739130435</v>
      </c>
      <c r="AQ126" s="13">
        <v>0.45518312361142083</v>
      </c>
      <c r="AR126" s="11">
        <v>4009132.36</v>
      </c>
      <c r="AS126" s="11">
        <v>7060</v>
      </c>
      <c r="AT126" s="11">
        <v>72</v>
      </c>
      <c r="AU126" s="12">
        <v>167047.1816666667</v>
      </c>
      <c r="AV126" s="12">
        <v>294.16666666666669</v>
      </c>
      <c r="AW126" s="13">
        <v>0.53035243375058494</v>
      </c>
      <c r="AX126" s="11">
        <v>2431913.98</v>
      </c>
      <c r="AY126" s="11">
        <v>2572</v>
      </c>
      <c r="AZ126" s="11">
        <v>56</v>
      </c>
      <c r="BA126" s="12">
        <v>130281.1060714286</v>
      </c>
      <c r="BB126" s="12">
        <v>137.78571428571431</v>
      </c>
      <c r="BC126" s="13">
        <v>0.41198991747123881</v>
      </c>
      <c r="BD126" s="11">
        <v>2949938.46</v>
      </c>
      <c r="BE126" s="11">
        <v>3520</v>
      </c>
      <c r="BF126" s="11">
        <v>60</v>
      </c>
      <c r="BG126" s="12">
        <v>147496.92300000001</v>
      </c>
      <c r="BH126" s="12">
        <v>176</v>
      </c>
      <c r="BI126" s="13">
        <v>0.43173128837112928</v>
      </c>
      <c r="BJ126" s="11">
        <v>3047650.84</v>
      </c>
      <c r="BK126" s="11">
        <v>3721</v>
      </c>
      <c r="BL126" s="11">
        <v>64</v>
      </c>
      <c r="BM126" s="12">
        <v>142858.63312499999</v>
      </c>
      <c r="BN126" s="12">
        <v>174.421875</v>
      </c>
      <c r="BO126" s="13">
        <v>0.43377575563876419</v>
      </c>
      <c r="BP126" s="11">
        <v>3807308.35</v>
      </c>
      <c r="BQ126" s="11">
        <v>5344</v>
      </c>
      <c r="BR126" s="11">
        <v>74</v>
      </c>
      <c r="BS126" s="12">
        <v>154350.3385135135</v>
      </c>
      <c r="BT126" s="12">
        <v>216.64864864864859</v>
      </c>
      <c r="BU126" s="13">
        <v>0.46788275293890291</v>
      </c>
      <c r="BV126" s="11">
        <v>5632207.7599999998</v>
      </c>
      <c r="BW126" s="11">
        <v>10700</v>
      </c>
      <c r="BX126" s="11">
        <v>76</v>
      </c>
      <c r="BY126" s="12">
        <v>222323.99052631581</v>
      </c>
      <c r="BZ126" s="12">
        <v>422.36842105263162</v>
      </c>
      <c r="CA126" s="13">
        <v>0.55402838294789192</v>
      </c>
      <c r="CB126" s="11">
        <v>4741477.92</v>
      </c>
      <c r="CC126" s="11">
        <v>10961</v>
      </c>
      <c r="CD126" s="11">
        <v>71</v>
      </c>
      <c r="CE126" s="12">
        <v>200344.13746478871</v>
      </c>
      <c r="CF126" s="12">
        <v>463.14084507042247</v>
      </c>
      <c r="CG126" s="13">
        <v>0.60823435733604014</v>
      </c>
      <c r="CJ126" s="11"/>
      <c r="CK126" s="12"/>
      <c r="CL126" s="12"/>
      <c r="CM126" s="13"/>
      <c r="CN126" s="11"/>
      <c r="CO126" s="11"/>
      <c r="CP126" s="11"/>
    </row>
    <row r="127" spans="1:94" x14ac:dyDescent="0.25">
      <c r="A127" s="21" t="s">
        <v>122</v>
      </c>
      <c r="B127" s="8"/>
      <c r="C127" s="8"/>
      <c r="D127" s="8"/>
      <c r="E127" s="9"/>
      <c r="F127" s="9"/>
      <c r="G127" s="10"/>
      <c r="H127" s="8">
        <v>5940471.9841666659</v>
      </c>
      <c r="I127" s="8">
        <v>125255.33333333333</v>
      </c>
      <c r="J127" s="8">
        <v>717</v>
      </c>
      <c r="K127" s="9">
        <v>298266.37577405851</v>
      </c>
      <c r="L127" s="9">
        <v>6288.9707112970709</v>
      </c>
      <c r="M127" s="10">
        <v>1.847172125634551</v>
      </c>
      <c r="N127" s="8">
        <f t="shared" si="20"/>
        <v>9508803.1863636374</v>
      </c>
      <c r="O127" s="8">
        <f t="shared" si="21"/>
        <v>181035.45454545456</v>
      </c>
      <c r="P127" s="8">
        <f t="shared" si="22"/>
        <v>781</v>
      </c>
      <c r="Q127" s="9">
        <f t="shared" si="23"/>
        <v>401780.4163252241</v>
      </c>
      <c r="R127" s="9">
        <f t="shared" si="24"/>
        <v>7649.3854033290645</v>
      </c>
      <c r="S127" s="10">
        <f t="shared" si="25"/>
        <v>1.7566421972566155</v>
      </c>
      <c r="T127" s="11">
        <v>9039184.5999999996</v>
      </c>
      <c r="U127" s="11">
        <v>198786</v>
      </c>
      <c r="V127" s="11">
        <v>68</v>
      </c>
      <c r="W127" s="12">
        <v>398787.55588235293</v>
      </c>
      <c r="X127" s="12">
        <v>8769.9705882352937</v>
      </c>
      <c r="Y127" s="13">
        <v>1.8850274260397371</v>
      </c>
      <c r="Z127" s="11">
        <v>6954476</v>
      </c>
      <c r="AA127" s="11">
        <v>147528</v>
      </c>
      <c r="AB127" s="11">
        <v>59</v>
      </c>
      <c r="AC127" s="12">
        <v>353617.42372881348</v>
      </c>
      <c r="AD127" s="12">
        <v>7501.4237288135591</v>
      </c>
      <c r="AE127" s="13">
        <v>1.8527112582346861</v>
      </c>
      <c r="AF127" s="11">
        <v>9862398</v>
      </c>
      <c r="AG127" s="11">
        <v>182154</v>
      </c>
      <c r="AH127" s="11">
        <v>68</v>
      </c>
      <c r="AI127" s="12">
        <v>435105.79411764699</v>
      </c>
      <c r="AJ127" s="12">
        <v>8036.2058823529414</v>
      </c>
      <c r="AK127" s="13">
        <v>1.727248342265461</v>
      </c>
      <c r="AL127" s="11">
        <v>10069860.5</v>
      </c>
      <c r="AM127" s="11">
        <v>186965</v>
      </c>
      <c r="AN127" s="11">
        <v>76</v>
      </c>
      <c r="AO127" s="12">
        <v>397494.49342105258</v>
      </c>
      <c r="AP127" s="12">
        <v>7380.1973684210516</v>
      </c>
      <c r="AQ127" s="13">
        <v>1.7324558375358261</v>
      </c>
      <c r="AR127" s="11">
        <v>9845077.25</v>
      </c>
      <c r="AS127" s="11">
        <v>184806</v>
      </c>
      <c r="AT127" s="11">
        <v>73</v>
      </c>
      <c r="AU127" s="12">
        <v>404592.21575342462</v>
      </c>
      <c r="AV127" s="12">
        <v>7594.767123287671</v>
      </c>
      <c r="AW127" s="13">
        <v>1.742091218008363</v>
      </c>
      <c r="AX127" s="11">
        <v>8508877</v>
      </c>
      <c r="AY127" s="11">
        <v>155417</v>
      </c>
      <c r="AZ127" s="11">
        <v>69</v>
      </c>
      <c r="BA127" s="12">
        <v>369951.17391304352</v>
      </c>
      <c r="BB127" s="12">
        <v>6757.2608695652179</v>
      </c>
      <c r="BC127" s="13">
        <v>1.718624237221402</v>
      </c>
      <c r="BD127" s="11">
        <v>8175393</v>
      </c>
      <c r="BE127" s="11">
        <v>144727</v>
      </c>
      <c r="BF127" s="11">
        <v>73</v>
      </c>
      <c r="BG127" s="12">
        <v>335975.05479452049</v>
      </c>
      <c r="BH127" s="12">
        <v>5947.6849315068494</v>
      </c>
      <c r="BI127" s="13">
        <v>1.691776051487476</v>
      </c>
      <c r="BJ127" s="11">
        <v>11849197.6</v>
      </c>
      <c r="BK127" s="11">
        <v>211505</v>
      </c>
      <c r="BL127" s="11">
        <v>72</v>
      </c>
      <c r="BM127" s="12">
        <v>493716.56666666671</v>
      </c>
      <c r="BN127" s="12">
        <v>8812.7083333333321</v>
      </c>
      <c r="BO127" s="13">
        <v>1.700025768141767</v>
      </c>
      <c r="BP127" s="11">
        <v>9657044.6999999993</v>
      </c>
      <c r="BQ127" s="11">
        <v>176558</v>
      </c>
      <c r="BR127" s="11">
        <v>74</v>
      </c>
      <c r="BS127" s="12">
        <v>391501.81216216221</v>
      </c>
      <c r="BT127" s="12">
        <v>7157.7567567567567</v>
      </c>
      <c r="BU127" s="13">
        <v>1.719516552241823</v>
      </c>
      <c r="BV127" s="11">
        <v>9644501.4000000004</v>
      </c>
      <c r="BW127" s="11">
        <v>187008</v>
      </c>
      <c r="BX127" s="11">
        <v>78</v>
      </c>
      <c r="BY127" s="12">
        <v>370942.36153846153</v>
      </c>
      <c r="BZ127" s="12">
        <v>7192.6153846153848</v>
      </c>
      <c r="CA127" s="13">
        <v>1.7711170793855739</v>
      </c>
      <c r="CB127" s="11">
        <v>10990825</v>
      </c>
      <c r="CC127" s="11">
        <v>215936</v>
      </c>
      <c r="CD127" s="11">
        <v>71</v>
      </c>
      <c r="CE127" s="12">
        <v>464401.05633802823</v>
      </c>
      <c r="CF127" s="12">
        <v>9124.0563380281692</v>
      </c>
      <c r="CG127" s="13">
        <v>1.782470399260657</v>
      </c>
      <c r="CJ127" s="11"/>
      <c r="CK127" s="12"/>
      <c r="CL127" s="12"/>
      <c r="CM127" s="13"/>
      <c r="CN127" s="11"/>
      <c r="CO127" s="11"/>
      <c r="CP127" s="11"/>
    </row>
    <row r="128" spans="1:94" x14ac:dyDescent="0.25">
      <c r="A128" s="21" t="s">
        <v>123</v>
      </c>
      <c r="B128" s="8"/>
      <c r="C128" s="8"/>
      <c r="D128" s="8"/>
      <c r="E128" s="9"/>
      <c r="F128" s="9"/>
      <c r="G128" s="10"/>
      <c r="H128" s="8">
        <v>3417285.5408333335</v>
      </c>
      <c r="I128" s="8">
        <v>200684.5</v>
      </c>
      <c r="J128" s="8">
        <v>737</v>
      </c>
      <c r="K128" s="9">
        <v>166923.03862957939</v>
      </c>
      <c r="L128" s="9">
        <v>9802.770691994574</v>
      </c>
      <c r="M128" s="10">
        <v>3.088397378241222</v>
      </c>
      <c r="N128" s="8">
        <f t="shared" si="20"/>
        <v>4190628.709090909</v>
      </c>
      <c r="O128" s="8">
        <f t="shared" si="21"/>
        <v>243425.90909090909</v>
      </c>
      <c r="P128" s="8">
        <f t="shared" si="22"/>
        <v>782</v>
      </c>
      <c r="Q128" s="9">
        <f t="shared" si="23"/>
        <v>176842.38797953964</v>
      </c>
      <c r="R128" s="9">
        <f t="shared" si="24"/>
        <v>10272.44884910486</v>
      </c>
      <c r="S128" s="10">
        <f t="shared" si="25"/>
        <v>3.050238034147712</v>
      </c>
      <c r="T128" s="11">
        <v>4043082</v>
      </c>
      <c r="U128" s="11">
        <v>276998</v>
      </c>
      <c r="V128" s="11">
        <v>69</v>
      </c>
      <c r="W128" s="12">
        <v>175786.17391304349</v>
      </c>
      <c r="X128" s="12">
        <v>12043.39130434783</v>
      </c>
      <c r="Y128" s="13">
        <v>3.331905807112558</v>
      </c>
      <c r="Z128" s="11">
        <v>3669607</v>
      </c>
      <c r="AA128" s="11">
        <v>215796</v>
      </c>
      <c r="AB128" s="11">
        <v>61</v>
      </c>
      <c r="AC128" s="12">
        <v>180472.4754098361</v>
      </c>
      <c r="AD128" s="12">
        <v>10612.918032786891</v>
      </c>
      <c r="AE128" s="13">
        <v>3.0871523165776091</v>
      </c>
      <c r="AF128" s="11">
        <v>5422584</v>
      </c>
      <c r="AG128" s="11">
        <v>328546</v>
      </c>
      <c r="AH128" s="11">
        <v>73</v>
      </c>
      <c r="AI128" s="12">
        <v>222845.91780821921</v>
      </c>
      <c r="AJ128" s="12">
        <v>13501.8904109589</v>
      </c>
      <c r="AK128" s="13">
        <v>3.133413833705637</v>
      </c>
      <c r="AL128" s="11">
        <v>4566545</v>
      </c>
      <c r="AM128" s="11">
        <v>294216</v>
      </c>
      <c r="AN128" s="11">
        <v>74</v>
      </c>
      <c r="AO128" s="12">
        <v>185130.20270270269</v>
      </c>
      <c r="AP128" s="12">
        <v>11927.67567567568</v>
      </c>
      <c r="AQ128" s="13">
        <v>3.2312462070231271</v>
      </c>
      <c r="AR128" s="11">
        <v>5876581</v>
      </c>
      <c r="AS128" s="11">
        <v>351570</v>
      </c>
      <c r="AT128" s="11">
        <v>81</v>
      </c>
      <c r="AU128" s="12">
        <v>217651.14814814809</v>
      </c>
      <c r="AV128" s="12">
        <v>13021.111111111109</v>
      </c>
      <c r="AW128" s="13">
        <v>3.1135058124144792</v>
      </c>
      <c r="AX128" s="11">
        <v>4008959</v>
      </c>
      <c r="AY128" s="11">
        <v>247606</v>
      </c>
      <c r="AZ128" s="11">
        <v>67</v>
      </c>
      <c r="BA128" s="12">
        <v>179505.62686567169</v>
      </c>
      <c r="BB128" s="12">
        <v>11086.83582089552</v>
      </c>
      <c r="BC128" s="13">
        <v>3.163155549069065</v>
      </c>
      <c r="BD128" s="11">
        <v>3787808</v>
      </c>
      <c r="BE128" s="11">
        <v>200878</v>
      </c>
      <c r="BF128" s="11">
        <v>67</v>
      </c>
      <c r="BG128" s="12">
        <v>169603.3432835821</v>
      </c>
      <c r="BH128" s="12">
        <v>8994.5373134328365</v>
      </c>
      <c r="BI128" s="13">
        <v>2.931076131112559</v>
      </c>
      <c r="BJ128" s="11">
        <v>3964910</v>
      </c>
      <c r="BK128" s="11">
        <v>212323</v>
      </c>
      <c r="BL128" s="11">
        <v>67</v>
      </c>
      <c r="BM128" s="12">
        <v>177533.28358208961</v>
      </c>
      <c r="BN128" s="12">
        <v>9507</v>
      </c>
      <c r="BO128" s="13">
        <v>2.9454717079229651</v>
      </c>
      <c r="BP128" s="11">
        <v>3317697</v>
      </c>
      <c r="BQ128" s="11">
        <v>167443</v>
      </c>
      <c r="BR128" s="11">
        <v>73</v>
      </c>
      <c r="BS128" s="12">
        <v>136343.71232876711</v>
      </c>
      <c r="BT128" s="12">
        <v>6881.2191780821922</v>
      </c>
      <c r="BU128" s="13">
        <v>2.8591049613185762</v>
      </c>
      <c r="BV128" s="11">
        <v>3516608.8</v>
      </c>
      <c r="BW128" s="11">
        <v>168435</v>
      </c>
      <c r="BX128" s="11">
        <v>79</v>
      </c>
      <c r="BY128" s="12">
        <v>133542.10632911391</v>
      </c>
      <c r="BZ128" s="12">
        <v>6396.2658227848096</v>
      </c>
      <c r="CA128" s="13">
        <v>2.7844562664422621</v>
      </c>
      <c r="CB128" s="11">
        <v>3922534</v>
      </c>
      <c r="CC128" s="11">
        <v>213874</v>
      </c>
      <c r="CD128" s="11">
        <v>71</v>
      </c>
      <c r="CE128" s="12">
        <v>165740.87323943659</v>
      </c>
      <c r="CF128" s="12">
        <v>9036.929577464789</v>
      </c>
      <c r="CG128" s="13">
        <v>2.9721297829259949</v>
      </c>
      <c r="CJ128" s="11"/>
      <c r="CK128" s="12"/>
      <c r="CL128" s="12"/>
      <c r="CM128" s="13"/>
      <c r="CN128" s="11"/>
      <c r="CO128" s="11"/>
      <c r="CP128" s="11"/>
    </row>
    <row r="129" spans="1:94" x14ac:dyDescent="0.25">
      <c r="A129" s="21" t="s">
        <v>124</v>
      </c>
      <c r="B129" s="8"/>
      <c r="C129" s="8"/>
      <c r="D129" s="8"/>
      <c r="E129" s="9"/>
      <c r="F129" s="9"/>
      <c r="G129" s="10"/>
      <c r="H129" s="8">
        <v>3198075.76</v>
      </c>
      <c r="I129" s="8">
        <v>139214.08333333334</v>
      </c>
      <c r="J129" s="8">
        <v>695</v>
      </c>
      <c r="K129" s="9">
        <v>165655.72282014386</v>
      </c>
      <c r="L129" s="9">
        <v>7211.0892086330932</v>
      </c>
      <c r="M129" s="10">
        <v>2.6537921368203818</v>
      </c>
      <c r="N129" s="8">
        <f t="shared" si="20"/>
        <v>4398590.7954545459</v>
      </c>
      <c r="O129" s="8">
        <f t="shared" si="21"/>
        <v>229139.45454545456</v>
      </c>
      <c r="P129" s="8">
        <f t="shared" si="22"/>
        <v>796</v>
      </c>
      <c r="Q129" s="9">
        <f t="shared" si="23"/>
        <v>182353.63850502513</v>
      </c>
      <c r="R129" s="9">
        <f t="shared" si="24"/>
        <v>9499.5</v>
      </c>
      <c r="S129" s="10">
        <f t="shared" si="25"/>
        <v>2.9218223664206748</v>
      </c>
      <c r="T129" s="11">
        <v>4823246</v>
      </c>
      <c r="U129" s="11">
        <v>266619</v>
      </c>
      <c r="V129" s="11">
        <v>75</v>
      </c>
      <c r="W129" s="12">
        <v>192929.84</v>
      </c>
      <c r="X129" s="12">
        <v>10664.76</v>
      </c>
      <c r="Y129" s="13">
        <v>2.993072648475406</v>
      </c>
      <c r="Z129" s="11">
        <v>3661230.5</v>
      </c>
      <c r="AA129" s="11">
        <v>201899</v>
      </c>
      <c r="AB129" s="11">
        <v>56</v>
      </c>
      <c r="AC129" s="12">
        <v>196137.34821428571</v>
      </c>
      <c r="AD129" s="12">
        <v>10816.017857142861</v>
      </c>
      <c r="AE129" s="13">
        <v>2.985489883368099</v>
      </c>
      <c r="AF129" s="11">
        <v>5100914</v>
      </c>
      <c r="AG129" s="11">
        <v>196474</v>
      </c>
      <c r="AH129" s="11">
        <v>74</v>
      </c>
      <c r="AI129" s="12">
        <v>206793.8108108108</v>
      </c>
      <c r="AJ129" s="12">
        <v>7965.1621621621634</v>
      </c>
      <c r="AK129" s="13">
        <v>2.4919023841026662</v>
      </c>
      <c r="AL129" s="11">
        <v>5703132.5</v>
      </c>
      <c r="AM129" s="11">
        <v>240663</v>
      </c>
      <c r="AN129" s="11">
        <v>76</v>
      </c>
      <c r="AO129" s="12">
        <v>225123.6513157895</v>
      </c>
      <c r="AP129" s="12">
        <v>9499.855263157895</v>
      </c>
      <c r="AQ129" s="13">
        <v>2.6113927598509781</v>
      </c>
      <c r="AR129" s="11">
        <v>5533502.625</v>
      </c>
      <c r="AS129" s="11">
        <v>271362</v>
      </c>
      <c r="AT129" s="11">
        <v>77</v>
      </c>
      <c r="AU129" s="12">
        <v>215591.01136363641</v>
      </c>
      <c r="AV129" s="12">
        <v>10572.54545454545</v>
      </c>
      <c r="AW129" s="13">
        <v>2.818759279436085</v>
      </c>
      <c r="AX129" s="11">
        <v>4022764</v>
      </c>
      <c r="AY129" s="11">
        <v>210933</v>
      </c>
      <c r="AZ129" s="11">
        <v>69</v>
      </c>
      <c r="BA129" s="12">
        <v>174902.78260869571</v>
      </c>
      <c r="BB129" s="12">
        <v>9171</v>
      </c>
      <c r="BC129" s="13">
        <v>2.9151223437540161</v>
      </c>
      <c r="BD129" s="11">
        <v>3806361.625</v>
      </c>
      <c r="BE129" s="11">
        <v>206293</v>
      </c>
      <c r="BF129" s="11">
        <v>73</v>
      </c>
      <c r="BG129" s="12">
        <v>156425.82020547951</v>
      </c>
      <c r="BH129" s="12">
        <v>8477.7945205479446</v>
      </c>
      <c r="BI129" s="13">
        <v>2.9632504858628441</v>
      </c>
      <c r="BJ129" s="11">
        <v>4329078.5</v>
      </c>
      <c r="BK129" s="11">
        <v>241103</v>
      </c>
      <c r="BL129" s="11">
        <v>73</v>
      </c>
      <c r="BM129" s="12">
        <v>177907.33561643839</v>
      </c>
      <c r="BN129" s="12">
        <v>9908.3424657534251</v>
      </c>
      <c r="BO129" s="13">
        <v>3.0044415845217669</v>
      </c>
      <c r="BP129" s="11">
        <v>3840108</v>
      </c>
      <c r="BQ129" s="11">
        <v>222906</v>
      </c>
      <c r="BR129" s="11">
        <v>73</v>
      </c>
      <c r="BS129" s="12">
        <v>157812.65753424659</v>
      </c>
      <c r="BT129" s="12">
        <v>9160.5205479452052</v>
      </c>
      <c r="BU129" s="13">
        <v>3.0665382583774621</v>
      </c>
      <c r="BV129" s="11">
        <v>3557279</v>
      </c>
      <c r="BW129" s="11">
        <v>214949</v>
      </c>
      <c r="BX129" s="11">
        <v>79</v>
      </c>
      <c r="BY129" s="12">
        <v>135086.54430379751</v>
      </c>
      <c r="BZ129" s="12">
        <v>8162.6202531645558</v>
      </c>
      <c r="CA129" s="13">
        <v>3.1279349840821911</v>
      </c>
      <c r="CB129" s="11">
        <v>4006882</v>
      </c>
      <c r="CC129" s="11">
        <v>247333</v>
      </c>
      <c r="CD129" s="11">
        <v>71</v>
      </c>
      <c r="CE129" s="12">
        <v>169304.87323943659</v>
      </c>
      <c r="CF129" s="12">
        <v>10450.69014084507</v>
      </c>
      <c r="CG129" s="13">
        <v>3.162141418795906</v>
      </c>
      <c r="CJ129" s="11"/>
      <c r="CK129" s="12"/>
      <c r="CL129" s="12"/>
      <c r="CM129" s="13"/>
      <c r="CN129" s="11"/>
      <c r="CO129" s="11"/>
      <c r="CP129" s="11"/>
    </row>
    <row r="130" spans="1:94" x14ac:dyDescent="0.25">
      <c r="A130" s="21" t="s">
        <v>125</v>
      </c>
      <c r="B130" s="8"/>
      <c r="C130" s="8"/>
      <c r="D130" s="8"/>
      <c r="E130" s="9"/>
      <c r="F130" s="9"/>
      <c r="G130" s="10"/>
      <c r="H130" s="8">
        <v>665490.30000000005</v>
      </c>
      <c r="I130" s="8">
        <v>73557.600000000006</v>
      </c>
      <c r="J130" s="8">
        <v>259</v>
      </c>
      <c r="K130" s="9">
        <v>77083.818532818521</v>
      </c>
      <c r="L130" s="9">
        <v>8520.1853281853291</v>
      </c>
      <c r="M130" s="10">
        <v>4.2328105139501329</v>
      </c>
      <c r="N130" s="8">
        <f t="shared" si="20"/>
        <v>1779783.2727272727</v>
      </c>
      <c r="O130" s="8">
        <f t="shared" si="21"/>
        <v>201000</v>
      </c>
      <c r="P130" s="8">
        <f t="shared" si="22"/>
        <v>519</v>
      </c>
      <c r="Q130" s="9">
        <f t="shared" si="23"/>
        <v>113165.41040462427</v>
      </c>
      <c r="R130" s="9">
        <f t="shared" si="24"/>
        <v>12780.346820809249</v>
      </c>
      <c r="S130" s="10">
        <f t="shared" si="25"/>
        <v>4.2813752301671988</v>
      </c>
      <c r="T130" s="11">
        <v>1830116</v>
      </c>
      <c r="U130" s="11">
        <v>207978</v>
      </c>
      <c r="V130" s="11">
        <v>46</v>
      </c>
      <c r="W130" s="12">
        <v>119355.3913043478</v>
      </c>
      <c r="X130" s="12">
        <v>13563.78260869565</v>
      </c>
      <c r="Y130" s="13">
        <v>4.291243588118661</v>
      </c>
      <c r="Z130" s="11">
        <v>1186185</v>
      </c>
      <c r="AA130" s="11">
        <v>133247</v>
      </c>
      <c r="AB130" s="11">
        <v>33</v>
      </c>
      <c r="AC130" s="12">
        <v>107835</v>
      </c>
      <c r="AD130" s="12">
        <v>12113.36363636364</v>
      </c>
      <c r="AE130" s="13">
        <v>4.2674471002154384</v>
      </c>
      <c r="AF130" s="11">
        <v>2076332</v>
      </c>
      <c r="AG130" s="11">
        <v>227039</v>
      </c>
      <c r="AH130" s="11">
        <v>51</v>
      </c>
      <c r="AI130" s="12">
        <v>122137.1764705883</v>
      </c>
      <c r="AJ130" s="12">
        <v>13355.23529411765</v>
      </c>
      <c r="AK130" s="13">
        <v>4.2103184824356692</v>
      </c>
      <c r="AL130" s="11">
        <v>2026834</v>
      </c>
      <c r="AM130" s="11">
        <v>220689</v>
      </c>
      <c r="AN130" s="11">
        <v>54</v>
      </c>
      <c r="AO130" s="12">
        <v>112601.88888888891</v>
      </c>
      <c r="AP130" s="12">
        <v>12260.5</v>
      </c>
      <c r="AQ130" s="13">
        <v>4.2015023489208208</v>
      </c>
      <c r="AR130" s="11">
        <v>2241301</v>
      </c>
      <c r="AS130" s="11">
        <v>251757</v>
      </c>
      <c r="AT130" s="11">
        <v>56</v>
      </c>
      <c r="AU130" s="12">
        <v>120069.69642857141</v>
      </c>
      <c r="AV130" s="12">
        <v>13486.982142857139</v>
      </c>
      <c r="AW130" s="13">
        <v>4.2674109891696199</v>
      </c>
      <c r="AX130" s="11">
        <v>1348884</v>
      </c>
      <c r="AY130" s="11">
        <v>158226</v>
      </c>
      <c r="AZ130" s="11">
        <v>42</v>
      </c>
      <c r="BA130" s="12">
        <v>96348.857142857145</v>
      </c>
      <c r="BB130" s="12">
        <v>11301.857142857139</v>
      </c>
      <c r="BC130" s="13">
        <v>4.3608531459574333</v>
      </c>
      <c r="BD130" s="11">
        <v>2046224</v>
      </c>
      <c r="BE130" s="11">
        <v>253242</v>
      </c>
      <c r="BF130" s="11">
        <v>56</v>
      </c>
      <c r="BG130" s="12">
        <v>109619.1428571428</v>
      </c>
      <c r="BH130" s="12">
        <v>13566.53571428571</v>
      </c>
      <c r="BI130" s="13">
        <v>4.4794154019168841</v>
      </c>
      <c r="BJ130" s="11">
        <v>1844880</v>
      </c>
      <c r="BK130" s="11">
        <v>199958</v>
      </c>
      <c r="BL130" s="11">
        <v>44</v>
      </c>
      <c r="BM130" s="12">
        <v>125787.27272727271</v>
      </c>
      <c r="BN130" s="12">
        <v>13633.5</v>
      </c>
      <c r="BO130" s="13">
        <v>4.1918422572271092</v>
      </c>
      <c r="BP130" s="11">
        <v>1202755</v>
      </c>
      <c r="BQ130" s="11">
        <v>139599</v>
      </c>
      <c r="BR130" s="11">
        <v>39</v>
      </c>
      <c r="BS130" s="12">
        <v>92519.615384615376</v>
      </c>
      <c r="BT130" s="12">
        <v>10738.384615384621</v>
      </c>
      <c r="BU130" s="13">
        <v>4.3379139854036968</v>
      </c>
      <c r="BV130" s="11">
        <v>1694750</v>
      </c>
      <c r="BW130" s="11">
        <v>187959</v>
      </c>
      <c r="BX130" s="11">
        <v>46</v>
      </c>
      <c r="BY130" s="12">
        <v>110527.1739130435</v>
      </c>
      <c r="BZ130" s="12">
        <v>12258.19565217391</v>
      </c>
      <c r="CA130" s="13">
        <v>4.2404330334943836</v>
      </c>
      <c r="CB130" s="11">
        <v>2079355</v>
      </c>
      <c r="CC130" s="11">
        <v>231306</v>
      </c>
      <c r="CD130" s="11">
        <v>52</v>
      </c>
      <c r="CE130" s="12">
        <v>119962.7884615385</v>
      </c>
      <c r="CF130" s="12">
        <v>13344.57692307692</v>
      </c>
      <c r="CG130" s="13">
        <v>4.2467471989794596</v>
      </c>
      <c r="CJ130" s="11"/>
      <c r="CK130" s="12"/>
      <c r="CL130" s="12"/>
      <c r="CM130" s="13"/>
      <c r="CN130" s="11"/>
      <c r="CO130" s="11"/>
      <c r="CP130" s="11"/>
    </row>
    <row r="131" spans="1:94" x14ac:dyDescent="0.25">
      <c r="A131" s="21" t="s">
        <v>126</v>
      </c>
      <c r="B131" s="8"/>
      <c r="C131" s="8"/>
      <c r="D131" s="8"/>
      <c r="E131" s="9"/>
      <c r="F131" s="9"/>
      <c r="G131" s="10"/>
      <c r="H131" s="8">
        <v>380466.3</v>
      </c>
      <c r="I131" s="8">
        <v>78083.199999999997</v>
      </c>
      <c r="J131" s="8">
        <v>273</v>
      </c>
      <c r="K131" s="9">
        <v>41809.483516483517</v>
      </c>
      <c r="L131" s="9">
        <v>8580.5714285714275</v>
      </c>
      <c r="M131" s="10">
        <v>5.8512965547635449</v>
      </c>
      <c r="N131" s="8">
        <f t="shared" si="20"/>
        <v>717311.36363636365</v>
      </c>
      <c r="O131" s="8">
        <f t="shared" si="21"/>
        <v>172090</v>
      </c>
      <c r="P131" s="8">
        <f t="shared" si="22"/>
        <v>514</v>
      </c>
      <c r="Q131" s="9">
        <f t="shared" ref="Q131:Q132" si="26">IFERROR(SUM(T131,Z131,AF131,AL131,AR131,AX131,BD131,BJ131,BP131,BV131,CB131,CH131)/P131*3," ")</f>
        <v>46053.06420233463</v>
      </c>
      <c r="R131" s="9">
        <f t="shared" si="24"/>
        <v>11048.579766536965</v>
      </c>
      <c r="S131" s="10">
        <f t="shared" si="25"/>
        <v>6.3327980836301556</v>
      </c>
      <c r="T131" s="11">
        <v>658205</v>
      </c>
      <c r="U131" s="11">
        <v>179566</v>
      </c>
      <c r="V131" s="11">
        <v>45</v>
      </c>
      <c r="W131" s="12">
        <v>43880.333333333328</v>
      </c>
      <c r="X131" s="12">
        <v>11971.066666666669</v>
      </c>
      <c r="Y131" s="13">
        <v>6.6584284305513037</v>
      </c>
      <c r="Z131" s="11">
        <v>475430</v>
      </c>
      <c r="AA131" s="11">
        <v>118379</v>
      </c>
      <c r="AB131" s="11">
        <v>31</v>
      </c>
      <c r="AC131" s="12">
        <v>46009.354838709667</v>
      </c>
      <c r="AD131" s="12">
        <v>11456.032258064521</v>
      </c>
      <c r="AE131" s="13">
        <v>6.3533410753857558</v>
      </c>
      <c r="AF131" s="11">
        <v>879809</v>
      </c>
      <c r="AG131" s="11">
        <v>172115</v>
      </c>
      <c r="AH131" s="11">
        <v>49</v>
      </c>
      <c r="AI131" s="12">
        <v>53865.857142857138</v>
      </c>
      <c r="AJ131" s="12">
        <v>10537.65306122449</v>
      </c>
      <c r="AK131" s="13">
        <v>5.6326622064924612</v>
      </c>
      <c r="AL131" s="11">
        <v>846859</v>
      </c>
      <c r="AM131" s="11">
        <v>208740</v>
      </c>
      <c r="AN131" s="11">
        <v>52</v>
      </c>
      <c r="AO131" s="12">
        <v>48857.25</v>
      </c>
      <c r="AP131" s="12">
        <v>12042.69230769231</v>
      </c>
      <c r="AQ131" s="13">
        <v>6.3220283068431584</v>
      </c>
      <c r="AR131" s="11">
        <v>719923</v>
      </c>
      <c r="AS131" s="11">
        <v>171216</v>
      </c>
      <c r="AT131" s="11">
        <v>50</v>
      </c>
      <c r="AU131" s="12">
        <v>43195.38</v>
      </c>
      <c r="AV131" s="12">
        <v>10272.959999999999</v>
      </c>
      <c r="AW131" s="13">
        <v>6.2100227061016708</v>
      </c>
      <c r="AX131" s="11">
        <v>445822</v>
      </c>
      <c r="AY131" s="11">
        <v>154049</v>
      </c>
      <c r="AZ131" s="11">
        <v>45</v>
      </c>
      <c r="BA131" s="12">
        <v>29721.466666666671</v>
      </c>
      <c r="BB131" s="12">
        <v>10269.933333333331</v>
      </c>
      <c r="BC131" s="13">
        <v>7.4855622976030629</v>
      </c>
      <c r="BD131" s="11">
        <v>871905</v>
      </c>
      <c r="BE131" s="11">
        <v>222365</v>
      </c>
      <c r="BF131" s="11">
        <v>55</v>
      </c>
      <c r="BG131" s="12">
        <v>47558.454545454537</v>
      </c>
      <c r="BH131" s="12">
        <v>12129</v>
      </c>
      <c r="BI131" s="13">
        <v>6.4311130233804414</v>
      </c>
      <c r="BJ131" s="11">
        <v>657677</v>
      </c>
      <c r="BK131" s="11">
        <v>163022</v>
      </c>
      <c r="BL131" s="11">
        <v>44</v>
      </c>
      <c r="BM131" s="12">
        <v>44841.61363636364</v>
      </c>
      <c r="BN131" s="12">
        <v>11115.13636363636</v>
      </c>
      <c r="BO131" s="13">
        <v>6.3400524773855036</v>
      </c>
      <c r="BP131" s="11">
        <v>475649</v>
      </c>
      <c r="BQ131" s="11">
        <v>136831</v>
      </c>
      <c r="BR131" s="11">
        <v>42</v>
      </c>
      <c r="BS131" s="12">
        <v>33974.928571428572</v>
      </c>
      <c r="BT131" s="12">
        <v>9773.6428571428569</v>
      </c>
      <c r="BU131" s="13">
        <v>6.8301650824420959</v>
      </c>
      <c r="BV131" s="11">
        <v>800970</v>
      </c>
      <c r="BW131" s="11">
        <v>185517</v>
      </c>
      <c r="BX131" s="11">
        <v>53</v>
      </c>
      <c r="BY131" s="12">
        <v>45337.92452830189</v>
      </c>
      <c r="BZ131" s="12">
        <v>10500.96226415094</v>
      </c>
      <c r="CA131" s="13">
        <v>6.1285230448626384</v>
      </c>
      <c r="CB131" s="11">
        <v>1058176</v>
      </c>
      <c r="CC131" s="11">
        <v>181190</v>
      </c>
      <c r="CD131" s="11">
        <v>48</v>
      </c>
      <c r="CE131" s="12">
        <v>66136</v>
      </c>
      <c r="CF131" s="12">
        <v>11324.375</v>
      </c>
      <c r="CG131" s="13">
        <v>5.2688802688836196</v>
      </c>
      <c r="CJ131" s="11"/>
      <c r="CK131" s="12"/>
      <c r="CL131" s="12"/>
      <c r="CM131" s="13"/>
      <c r="CN131" s="11"/>
      <c r="CO131" s="11"/>
      <c r="CP131" s="11"/>
    </row>
    <row r="132" spans="1:94" x14ac:dyDescent="0.25">
      <c r="A132" s="21" t="s">
        <v>127</v>
      </c>
      <c r="B132" s="8"/>
      <c r="C132" s="8"/>
      <c r="D132" s="8"/>
      <c r="E132" s="9"/>
      <c r="F132" s="9"/>
      <c r="G132" s="10"/>
      <c r="H132" s="8">
        <v>1321861.8388888889</v>
      </c>
      <c r="I132" s="8">
        <v>7112.8888888888887</v>
      </c>
      <c r="J132" s="8">
        <v>266</v>
      </c>
      <c r="K132" s="9">
        <v>134173.9460526316</v>
      </c>
      <c r="L132" s="9">
        <v>721.98496240601503</v>
      </c>
      <c r="M132" s="10">
        <v>0.93158674485757587</v>
      </c>
      <c r="N132" s="8">
        <f t="shared" si="20"/>
        <v>4540055.4545454541</v>
      </c>
      <c r="O132" s="8">
        <f t="shared" si="21"/>
        <v>23360.545454545456</v>
      </c>
      <c r="P132" s="8">
        <f t="shared" si="22"/>
        <v>789</v>
      </c>
      <c r="Q132" s="9">
        <f t="shared" si="26"/>
        <v>189888.25095057033</v>
      </c>
      <c r="R132" s="9">
        <f t="shared" si="24"/>
        <v>977.05703422053227</v>
      </c>
      <c r="S132" s="10">
        <f t="shared" si="25"/>
        <v>0.90663176367714304</v>
      </c>
      <c r="T132" s="11">
        <v>5174735</v>
      </c>
      <c r="U132" s="11">
        <v>27555</v>
      </c>
      <c r="V132" s="11">
        <v>78</v>
      </c>
      <c r="W132" s="12">
        <v>199028.26923076919</v>
      </c>
      <c r="X132" s="12">
        <v>1059.8076923076919</v>
      </c>
      <c r="Y132" s="13">
        <v>0.92565300804327022</v>
      </c>
      <c r="Z132" s="11">
        <v>3467306</v>
      </c>
      <c r="AA132" s="11">
        <v>19028</v>
      </c>
      <c r="AB132" s="11">
        <v>61</v>
      </c>
      <c r="AC132" s="12">
        <v>170523.24590163931</v>
      </c>
      <c r="AD132" s="12">
        <v>935.80327868852453</v>
      </c>
      <c r="AE132" s="13">
        <v>0.93916598604553414</v>
      </c>
      <c r="AF132" s="11">
        <v>5395776</v>
      </c>
      <c r="AG132" s="11">
        <v>27818</v>
      </c>
      <c r="AH132" s="11">
        <v>74</v>
      </c>
      <c r="AI132" s="12">
        <v>218747.67567567571</v>
      </c>
      <c r="AJ132" s="12">
        <v>1127.7567567567571</v>
      </c>
      <c r="AK132" s="13">
        <v>0.91029707044166552</v>
      </c>
      <c r="AL132" s="11">
        <v>6612620</v>
      </c>
      <c r="AM132" s="11">
        <v>38751</v>
      </c>
      <c r="AN132" s="11">
        <v>86</v>
      </c>
      <c r="AO132" s="12">
        <v>230672.79069767441</v>
      </c>
      <c r="AP132" s="12">
        <v>1351.779069767442</v>
      </c>
      <c r="AQ132" s="13">
        <v>0.97265564164326235</v>
      </c>
      <c r="AR132" s="11">
        <v>5666492</v>
      </c>
      <c r="AS132" s="11">
        <v>24758</v>
      </c>
      <c r="AT132" s="11">
        <v>84</v>
      </c>
      <c r="AU132" s="12">
        <v>202374.71428571429</v>
      </c>
      <c r="AV132" s="12">
        <v>884.21428571428578</v>
      </c>
      <c r="AW132" s="13">
        <v>0.84039453475203074</v>
      </c>
      <c r="AX132" s="11">
        <v>4036926</v>
      </c>
      <c r="AY132" s="11">
        <v>28945</v>
      </c>
      <c r="AZ132" s="11">
        <v>70</v>
      </c>
      <c r="BA132" s="12">
        <v>173011.11428571431</v>
      </c>
      <c r="BB132" s="12">
        <v>1240.5</v>
      </c>
      <c r="BC132" s="13">
        <v>1.077946749992224</v>
      </c>
      <c r="BD132" s="11">
        <v>3867884</v>
      </c>
      <c r="BE132" s="11">
        <v>20128</v>
      </c>
      <c r="BF132" s="11">
        <v>69</v>
      </c>
      <c r="BG132" s="12">
        <v>168168.86956521741</v>
      </c>
      <c r="BH132" s="12">
        <v>875.13043478260875</v>
      </c>
      <c r="BI132" s="13">
        <v>0.91642165048314583</v>
      </c>
      <c r="BJ132" s="11">
        <v>3400730</v>
      </c>
      <c r="BK132" s="11">
        <v>15285</v>
      </c>
      <c r="BL132" s="11">
        <v>58</v>
      </c>
      <c r="BM132" s="12">
        <v>175899.8275862069</v>
      </c>
      <c r="BN132" s="12">
        <v>790.60344827586209</v>
      </c>
      <c r="BO132" s="13">
        <v>0.84899145998885606</v>
      </c>
      <c r="BP132" s="11">
        <v>4615047</v>
      </c>
      <c r="BQ132" s="11">
        <v>19842</v>
      </c>
      <c r="BR132" s="11">
        <v>68</v>
      </c>
      <c r="BS132" s="12">
        <v>203605.01470588229</v>
      </c>
      <c r="BT132" s="12">
        <v>875.38235294117658</v>
      </c>
      <c r="BU132" s="13">
        <v>0.83202377200767208</v>
      </c>
      <c r="BV132" s="11">
        <v>3613052</v>
      </c>
      <c r="BW132" s="11">
        <v>17251</v>
      </c>
      <c r="BX132" s="11">
        <v>72</v>
      </c>
      <c r="BY132" s="12">
        <v>150543.83333333331</v>
      </c>
      <c r="BZ132" s="12">
        <v>718.79166666666674</v>
      </c>
      <c r="CA132" s="13">
        <v>0.87820003874076391</v>
      </c>
      <c r="CB132" s="11">
        <v>4090042</v>
      </c>
      <c r="CC132" s="11">
        <v>17605</v>
      </c>
      <c r="CD132" s="11">
        <v>69</v>
      </c>
      <c r="CE132" s="12">
        <v>177827.9130434783</v>
      </c>
      <c r="CF132" s="12">
        <v>765.43478260869563</v>
      </c>
      <c r="CG132" s="13">
        <v>0.83119948831014867</v>
      </c>
      <c r="CJ132" s="11"/>
      <c r="CK132" s="12"/>
      <c r="CL132" s="12"/>
      <c r="CM132" s="13"/>
      <c r="CN132" s="11"/>
      <c r="CO132" s="11"/>
      <c r="CP132" s="11"/>
    </row>
    <row r="133" spans="1:94" s="15" customFormat="1" x14ac:dyDescent="0.25">
      <c r="A133" s="2" t="s">
        <v>61</v>
      </c>
      <c r="B133" s="14">
        <v>186771055.38062772</v>
      </c>
      <c r="C133" s="14">
        <v>2717758.5773809534</v>
      </c>
      <c r="D133" s="14"/>
      <c r="E133" s="23"/>
      <c r="F133" s="23"/>
      <c r="G133" s="22"/>
      <c r="H133" s="14">
        <f>SUM(H67:H132)</f>
        <v>163596584.24910101</v>
      </c>
      <c r="I133" s="14">
        <f t="shared" ref="I133" si="27">SUM(I67:I132)</f>
        <v>2501541.8926767688</v>
      </c>
      <c r="J133" s="14"/>
      <c r="K133" s="14"/>
      <c r="L133" s="14"/>
      <c r="M133" s="22"/>
      <c r="N133" s="14">
        <f>SUM(N67:N132)</f>
        <v>226417697.04982933</v>
      </c>
      <c r="O133" s="14">
        <f t="shared" ref="O133" si="28">SUM(O67:O132)</f>
        <v>3161790.0669191922</v>
      </c>
      <c r="P133" s="14"/>
      <c r="Q133" s="14"/>
      <c r="R133" s="14"/>
      <c r="S133" s="14"/>
      <c r="T133" s="14">
        <f>SUM(T67:T132)</f>
        <v>230146010.1631</v>
      </c>
      <c r="U133" s="14">
        <f>SUM(U67:U132)</f>
        <v>3303675</v>
      </c>
      <c r="V133" s="14"/>
      <c r="W133" s="14"/>
      <c r="X133" s="14"/>
      <c r="Y133" s="24"/>
      <c r="Z133" s="14">
        <f>SUM(Z67:Z132)</f>
        <v>191617707.34</v>
      </c>
      <c r="AA133" s="14">
        <f>SUM(AA67:AA132)</f>
        <v>2808074</v>
      </c>
      <c r="AB133" s="14"/>
      <c r="AC133" s="14"/>
      <c r="AD133" s="14"/>
      <c r="AE133" s="24"/>
      <c r="AF133" s="14">
        <f>SUM(AF67:AF132)</f>
        <v>240457805.94000009</v>
      </c>
      <c r="AG133" s="14">
        <f>SUM(AG67:AG132)</f>
        <v>3352005</v>
      </c>
      <c r="AH133" s="14"/>
      <c r="AI133" s="14"/>
      <c r="AJ133" s="14"/>
      <c r="AK133" s="24"/>
      <c r="AL133" s="14">
        <f>SUM(AL67:AL132)</f>
        <v>269471459.43000001</v>
      </c>
      <c r="AM133" s="14">
        <f>SUM(AM67:AM132)</f>
        <v>3738769</v>
      </c>
      <c r="AN133" s="14"/>
      <c r="AO133" s="14"/>
      <c r="AP133" s="14"/>
      <c r="AQ133" s="24"/>
      <c r="AR133" s="14">
        <f>SUM(AR67:AR132)</f>
        <v>263872251.52000001</v>
      </c>
      <c r="AS133" s="14">
        <f>SUM(AS67:AS132)</f>
        <v>3591411</v>
      </c>
      <c r="AT133" s="14"/>
      <c r="AU133" s="14"/>
      <c r="AV133" s="14"/>
      <c r="AW133" s="24"/>
      <c r="AX133" s="14">
        <f>SUM(AX67:AX132)</f>
        <v>193808802.34135652</v>
      </c>
      <c r="AY133" s="14">
        <f>SUM(AY67:AY132)</f>
        <v>2769356</v>
      </c>
      <c r="AZ133" s="14"/>
      <c r="BA133" s="14"/>
      <c r="BB133" s="14"/>
      <c r="BC133" s="24"/>
      <c r="BD133" s="14">
        <f>SUM(BD67:BD132)</f>
        <v>205782943.21167031</v>
      </c>
      <c r="BE133" s="14">
        <f>SUM(BE67:BE132)</f>
        <v>2893523</v>
      </c>
      <c r="BF133" s="14"/>
      <c r="BG133" s="14"/>
      <c r="BH133" s="14"/>
      <c r="BI133" s="24"/>
      <c r="BJ133" s="14">
        <f>SUM(BJ67:BJ132)</f>
        <v>216220986.55600002</v>
      </c>
      <c r="BK133" s="14">
        <f>SUM(BK67:BK132)</f>
        <v>2985606</v>
      </c>
      <c r="BL133" s="14"/>
      <c r="BM133" s="14"/>
      <c r="BN133" s="14"/>
      <c r="BO133" s="24"/>
      <c r="BP133" s="14">
        <f>SUM(BP67:BP132)</f>
        <v>214721064.54799998</v>
      </c>
      <c r="BQ133" s="14">
        <f>SUM(BQ67:BQ132)</f>
        <v>2805861</v>
      </c>
      <c r="BR133" s="14"/>
      <c r="BS133" s="14"/>
      <c r="BT133" s="14"/>
      <c r="BU133" s="24"/>
      <c r="BV133" s="14">
        <f>SUM(BV67:BV132)</f>
        <v>202878362.95500004</v>
      </c>
      <c r="BW133" s="14">
        <f>SUM(BW67:BW132)</f>
        <v>2929285</v>
      </c>
      <c r="BX133" s="14"/>
      <c r="BY133" s="14"/>
      <c r="BZ133" s="14"/>
      <c r="CA133" s="24"/>
      <c r="CB133" s="14">
        <f>SUM(CB67:CB132)</f>
        <v>196611274.875</v>
      </c>
      <c r="CC133" s="14">
        <f>SUM(CC67:CC132)</f>
        <v>2996235</v>
      </c>
      <c r="CD133" s="14"/>
      <c r="CE133" s="14"/>
      <c r="CF133" s="14"/>
      <c r="CG133" s="24"/>
      <c r="CH133" s="14">
        <f>SUM(CH67:CH132)</f>
        <v>0</v>
      </c>
      <c r="CI133" s="14">
        <f>SUM(CI67:CI132)</f>
        <v>0</v>
      </c>
      <c r="CJ133" s="14"/>
      <c r="CK133" s="14"/>
      <c r="CL133" s="14"/>
      <c r="CM133" s="24"/>
      <c r="CN133" s="11"/>
    </row>
    <row r="134" spans="1:94" x14ac:dyDescent="0.25"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1"/>
      <c r="O134" s="11"/>
      <c r="P134" s="11"/>
      <c r="Q134" s="11"/>
      <c r="R134" s="17"/>
      <c r="S134" s="18"/>
    </row>
    <row r="135" spans="1:94" x14ac:dyDescent="0.25">
      <c r="A135" s="1"/>
      <c r="B135" s="26" t="s">
        <v>131</v>
      </c>
      <c r="C135" s="26"/>
      <c r="D135" s="26"/>
      <c r="E135" s="26"/>
      <c r="F135" s="26"/>
      <c r="G135" s="26"/>
      <c r="H135" s="26" t="s">
        <v>138</v>
      </c>
      <c r="I135" s="26"/>
      <c r="J135" s="26"/>
      <c r="K135" s="26"/>
      <c r="L135" s="26"/>
      <c r="M135" s="26"/>
      <c r="N135" s="26" t="s">
        <v>151</v>
      </c>
      <c r="O135" s="26"/>
      <c r="P135" s="26"/>
      <c r="Q135" s="26"/>
      <c r="R135" s="26"/>
      <c r="S135" s="26"/>
      <c r="T135" s="26" t="s">
        <v>139</v>
      </c>
      <c r="U135" s="26"/>
      <c r="V135" s="26"/>
      <c r="W135" s="26"/>
      <c r="X135" s="26"/>
      <c r="Y135" s="26"/>
      <c r="Z135" s="26" t="s">
        <v>140</v>
      </c>
      <c r="AA135" s="26"/>
      <c r="AB135" s="26"/>
      <c r="AC135" s="26"/>
      <c r="AD135" s="26"/>
      <c r="AE135" s="26"/>
      <c r="AF135" s="26" t="s">
        <v>141</v>
      </c>
      <c r="AG135" s="26"/>
      <c r="AH135" s="26"/>
      <c r="AI135" s="26"/>
      <c r="AJ135" s="26"/>
      <c r="AK135" s="26"/>
      <c r="AL135" s="26" t="s">
        <v>142</v>
      </c>
      <c r="AM135" s="26"/>
      <c r="AN135" s="26"/>
      <c r="AO135" s="26"/>
      <c r="AP135" s="26"/>
      <c r="AQ135" s="26"/>
      <c r="AR135" s="26" t="s">
        <v>143</v>
      </c>
      <c r="AS135" s="26"/>
      <c r="AT135" s="26"/>
      <c r="AU135" s="26"/>
      <c r="AV135" s="26"/>
      <c r="AW135" s="26"/>
      <c r="AX135" s="26" t="s">
        <v>144</v>
      </c>
      <c r="AY135" s="26"/>
      <c r="AZ135" s="26"/>
      <c r="BA135" s="26"/>
      <c r="BB135" s="26"/>
      <c r="BC135" s="26"/>
      <c r="BD135" s="26" t="s">
        <v>145</v>
      </c>
      <c r="BE135" s="26"/>
      <c r="BF135" s="26"/>
      <c r="BG135" s="26"/>
      <c r="BH135" s="26"/>
      <c r="BI135" s="26"/>
      <c r="BJ135" s="26" t="s">
        <v>146</v>
      </c>
      <c r="BK135" s="26"/>
      <c r="BL135" s="26"/>
      <c r="BM135" s="26"/>
      <c r="BN135" s="26"/>
      <c r="BO135" s="26"/>
      <c r="BP135" s="26" t="s">
        <v>147</v>
      </c>
      <c r="BQ135" s="26"/>
      <c r="BR135" s="26"/>
      <c r="BS135" s="26"/>
      <c r="BT135" s="26"/>
      <c r="BU135" s="26"/>
      <c r="BV135" s="26" t="s">
        <v>148</v>
      </c>
      <c r="BW135" s="26"/>
      <c r="BX135" s="26"/>
      <c r="BY135" s="26"/>
      <c r="BZ135" s="26"/>
      <c r="CA135" s="26"/>
      <c r="CB135" s="26" t="s">
        <v>149</v>
      </c>
      <c r="CC135" s="26"/>
      <c r="CD135" s="26"/>
      <c r="CE135" s="26"/>
      <c r="CF135" s="26"/>
      <c r="CG135" s="26"/>
      <c r="CH135" s="26" t="s">
        <v>150</v>
      </c>
      <c r="CI135" s="26"/>
      <c r="CJ135" s="26"/>
      <c r="CK135" s="26"/>
      <c r="CL135" s="26"/>
      <c r="CM135" s="26"/>
    </row>
    <row r="136" spans="1:94" s="6" customFormat="1" ht="75" x14ac:dyDescent="0.25">
      <c r="A136" s="4"/>
      <c r="B136" s="5" t="s">
        <v>133</v>
      </c>
      <c r="C136" s="5" t="s">
        <v>134</v>
      </c>
      <c r="D136" s="5" t="s">
        <v>135</v>
      </c>
      <c r="E136" s="5" t="s">
        <v>136</v>
      </c>
      <c r="F136" s="5" t="s">
        <v>137</v>
      </c>
      <c r="G136" s="5" t="s">
        <v>132</v>
      </c>
      <c r="H136" s="5" t="s">
        <v>133</v>
      </c>
      <c r="I136" s="5" t="s">
        <v>134</v>
      </c>
      <c r="J136" s="5" t="s">
        <v>135</v>
      </c>
      <c r="K136" s="5" t="s">
        <v>136</v>
      </c>
      <c r="L136" s="5" t="s">
        <v>137</v>
      </c>
      <c r="M136" s="5" t="s">
        <v>132</v>
      </c>
      <c r="N136" s="5" t="s">
        <v>133</v>
      </c>
      <c r="O136" s="5" t="s">
        <v>134</v>
      </c>
      <c r="P136" s="5" t="s">
        <v>135</v>
      </c>
      <c r="Q136" s="5" t="s">
        <v>136</v>
      </c>
      <c r="R136" s="5" t="s">
        <v>137</v>
      </c>
      <c r="S136" s="5" t="s">
        <v>132</v>
      </c>
      <c r="T136" s="5" t="s">
        <v>133</v>
      </c>
      <c r="U136" s="5" t="s">
        <v>134</v>
      </c>
      <c r="V136" s="5" t="s">
        <v>135</v>
      </c>
      <c r="W136" s="5" t="s">
        <v>136</v>
      </c>
      <c r="X136" s="5" t="s">
        <v>137</v>
      </c>
      <c r="Y136" s="5" t="s">
        <v>132</v>
      </c>
      <c r="Z136" s="5" t="s">
        <v>133</v>
      </c>
      <c r="AA136" s="5" t="s">
        <v>134</v>
      </c>
      <c r="AB136" s="5" t="s">
        <v>135</v>
      </c>
      <c r="AC136" s="5" t="s">
        <v>136</v>
      </c>
      <c r="AD136" s="5" t="s">
        <v>137</v>
      </c>
      <c r="AE136" s="5" t="s">
        <v>132</v>
      </c>
      <c r="AF136" s="5" t="s">
        <v>133</v>
      </c>
      <c r="AG136" s="5" t="s">
        <v>134</v>
      </c>
      <c r="AH136" s="5" t="s">
        <v>135</v>
      </c>
      <c r="AI136" s="5" t="s">
        <v>136</v>
      </c>
      <c r="AJ136" s="5" t="s">
        <v>137</v>
      </c>
      <c r="AK136" s="5" t="s">
        <v>132</v>
      </c>
      <c r="AL136" s="5" t="s">
        <v>133</v>
      </c>
      <c r="AM136" s="5" t="s">
        <v>134</v>
      </c>
      <c r="AN136" s="5" t="s">
        <v>135</v>
      </c>
      <c r="AO136" s="5" t="s">
        <v>136</v>
      </c>
      <c r="AP136" s="5" t="s">
        <v>137</v>
      </c>
      <c r="AQ136" s="5" t="s">
        <v>132</v>
      </c>
      <c r="AR136" s="5" t="s">
        <v>133</v>
      </c>
      <c r="AS136" s="5" t="s">
        <v>134</v>
      </c>
      <c r="AT136" s="5" t="s">
        <v>135</v>
      </c>
      <c r="AU136" s="5" t="s">
        <v>136</v>
      </c>
      <c r="AV136" s="5" t="s">
        <v>137</v>
      </c>
      <c r="AW136" s="5" t="s">
        <v>132</v>
      </c>
      <c r="AX136" s="5" t="s">
        <v>133</v>
      </c>
      <c r="AY136" s="5" t="s">
        <v>134</v>
      </c>
      <c r="AZ136" s="5" t="s">
        <v>135</v>
      </c>
      <c r="BA136" s="5" t="s">
        <v>136</v>
      </c>
      <c r="BB136" s="5" t="s">
        <v>137</v>
      </c>
      <c r="BC136" s="5" t="s">
        <v>132</v>
      </c>
      <c r="BD136" s="5" t="s">
        <v>133</v>
      </c>
      <c r="BE136" s="5" t="s">
        <v>134</v>
      </c>
      <c r="BF136" s="5" t="s">
        <v>135</v>
      </c>
      <c r="BG136" s="5" t="s">
        <v>136</v>
      </c>
      <c r="BH136" s="5" t="s">
        <v>137</v>
      </c>
      <c r="BI136" s="5" t="s">
        <v>132</v>
      </c>
      <c r="BJ136" s="5" t="s">
        <v>133</v>
      </c>
      <c r="BK136" s="5" t="s">
        <v>134</v>
      </c>
      <c r="BL136" s="5" t="s">
        <v>135</v>
      </c>
      <c r="BM136" s="5" t="s">
        <v>136</v>
      </c>
      <c r="BN136" s="5" t="s">
        <v>137</v>
      </c>
      <c r="BO136" s="5" t="s">
        <v>132</v>
      </c>
      <c r="BP136" s="5" t="s">
        <v>133</v>
      </c>
      <c r="BQ136" s="5" t="s">
        <v>134</v>
      </c>
      <c r="BR136" s="5" t="s">
        <v>135</v>
      </c>
      <c r="BS136" s="5" t="s">
        <v>136</v>
      </c>
      <c r="BT136" s="5" t="s">
        <v>137</v>
      </c>
      <c r="BU136" s="5" t="s">
        <v>132</v>
      </c>
      <c r="BV136" s="5" t="s">
        <v>133</v>
      </c>
      <c r="BW136" s="5" t="s">
        <v>134</v>
      </c>
      <c r="BX136" s="5" t="s">
        <v>135</v>
      </c>
      <c r="BY136" s="5" t="s">
        <v>136</v>
      </c>
      <c r="BZ136" s="5" t="s">
        <v>137</v>
      </c>
      <c r="CA136" s="5" t="s">
        <v>132</v>
      </c>
      <c r="CB136" s="5" t="s">
        <v>133</v>
      </c>
      <c r="CC136" s="5" t="s">
        <v>134</v>
      </c>
      <c r="CD136" s="5" t="s">
        <v>135</v>
      </c>
      <c r="CE136" s="5" t="s">
        <v>136</v>
      </c>
      <c r="CF136" s="5" t="s">
        <v>137</v>
      </c>
      <c r="CG136" s="5" t="s">
        <v>132</v>
      </c>
      <c r="CH136" s="5" t="s">
        <v>133</v>
      </c>
      <c r="CI136" s="5" t="s">
        <v>134</v>
      </c>
      <c r="CJ136" s="5" t="s">
        <v>135</v>
      </c>
      <c r="CK136" s="5" t="s">
        <v>136</v>
      </c>
      <c r="CL136" s="5" t="s">
        <v>137</v>
      </c>
      <c r="CM136" s="5" t="s">
        <v>132</v>
      </c>
    </row>
    <row r="137" spans="1:94" x14ac:dyDescent="0.25">
      <c r="A137" s="7" t="s">
        <v>128</v>
      </c>
      <c r="B137" s="8">
        <v>4936817.5999999996</v>
      </c>
      <c r="C137" s="8">
        <v>700864.6</v>
      </c>
      <c r="D137" s="8">
        <v>484</v>
      </c>
      <c r="E137" s="9">
        <v>306001.09090909088</v>
      </c>
      <c r="F137" s="9">
        <v>43442.020661157025</v>
      </c>
      <c r="G137" s="10">
        <v>4.6659999999999995</v>
      </c>
      <c r="H137" s="8">
        <v>1363313.4166666667</v>
      </c>
      <c r="I137" s="8">
        <v>750635.5</v>
      </c>
      <c r="J137" s="8">
        <v>346</v>
      </c>
      <c r="K137" s="9">
        <v>141847.63872832368</v>
      </c>
      <c r="L137" s="9">
        <v>78100.803468208091</v>
      </c>
      <c r="M137" s="10">
        <v>4.9195843497597336</v>
      </c>
      <c r="N137" s="8">
        <f t="shared" ref="N137:O139" si="29">IFERROR(AVERAGE(T137,Z137,AF137,AL137,AR137,AX137,BD137,BJ137,BP137,BV137,CB137,CH137)," ")</f>
        <v>2860810.4545454546</v>
      </c>
      <c r="O137" s="8">
        <f t="shared" si="29"/>
        <v>421466.45454545453</v>
      </c>
      <c r="P137" s="8">
        <f>IFERROR(SUM(V137,AB137,AH137,AN137,AT137,AZ137,BF137,BL137,BR137,BX137,CD137,CJ137)," ")</f>
        <v>352</v>
      </c>
      <c r="Q137" s="9">
        <f>IFERROR(SUM(T137,Z137,AF137,AL137,AR137,AX137,BD137,BJ137,BP137,BV137,CB137,CH137)/P137*3," ")</f>
        <v>268200.98011363635</v>
      </c>
      <c r="R137" s="9">
        <f>IFERROR(SUM(U137,AA137,AG137,AM137,AS137,AY137,BE137,BK137,BQ137,BW137,CC137,CI137)/P137*3," ")</f>
        <v>39512.48011363636</v>
      </c>
      <c r="S137" s="10">
        <f>IFERROR(AVERAGE(Y137,AE137,AK137,AQ137,AW137,BC137,BI137,BO137,BU137,CA137,CG137,CM137)," ")</f>
        <v>4.8975193244659811</v>
      </c>
      <c r="T137" s="11">
        <v>3567416</v>
      </c>
      <c r="U137" s="11">
        <v>528383</v>
      </c>
      <c r="V137" s="11">
        <v>36</v>
      </c>
      <c r="W137" s="12">
        <v>297284.66666666669</v>
      </c>
      <c r="X137" s="12">
        <v>44031.916666666657</v>
      </c>
      <c r="Y137" s="13">
        <v>4.9001691970555123</v>
      </c>
      <c r="Z137" s="11">
        <v>3111988</v>
      </c>
      <c r="AA137" s="11">
        <v>417959</v>
      </c>
      <c r="AB137" s="11">
        <v>30</v>
      </c>
      <c r="AC137" s="12">
        <v>311198.8</v>
      </c>
      <c r="AD137" s="12">
        <v>41795.9</v>
      </c>
      <c r="AE137" s="13">
        <v>4.6660590495667664</v>
      </c>
      <c r="AF137" s="11">
        <v>2932208</v>
      </c>
      <c r="AG137" s="11">
        <v>444358</v>
      </c>
      <c r="AH137" s="11">
        <v>33</v>
      </c>
      <c r="AI137" s="12">
        <v>266564.36363636359</v>
      </c>
      <c r="AJ137" s="12">
        <v>40396.181818181823</v>
      </c>
      <c r="AK137" s="13">
        <v>4.9565434351339936</v>
      </c>
      <c r="AL137" s="11">
        <v>3347959</v>
      </c>
      <c r="AM137" s="11">
        <v>511211</v>
      </c>
      <c r="AN137" s="11">
        <v>34</v>
      </c>
      <c r="AO137" s="12">
        <v>295408.1470588235</v>
      </c>
      <c r="AP137" s="12">
        <v>45106.852941176468</v>
      </c>
      <c r="AQ137" s="13">
        <v>4.9752557173417058</v>
      </c>
      <c r="AR137" s="11">
        <v>2884427</v>
      </c>
      <c r="AS137" s="11">
        <v>432326</v>
      </c>
      <c r="AT137" s="11">
        <v>28</v>
      </c>
      <c r="AU137" s="12">
        <v>309045.75</v>
      </c>
      <c r="AV137" s="12">
        <v>46320.642857142862</v>
      </c>
      <c r="AW137" s="13">
        <v>4.9294119792754936</v>
      </c>
      <c r="AX137" s="11">
        <v>1600752</v>
      </c>
      <c r="AY137" s="11">
        <v>252968</v>
      </c>
      <c r="AZ137" s="11">
        <v>17</v>
      </c>
      <c r="BA137" s="12">
        <v>282485.6470588235</v>
      </c>
      <c r="BB137" s="12">
        <v>44641.411764705881</v>
      </c>
      <c r="BC137" s="13">
        <v>5.0615751025820543</v>
      </c>
      <c r="BD137" s="11">
        <v>2013234</v>
      </c>
      <c r="BE137" s="11">
        <v>313452</v>
      </c>
      <c r="BF137" s="11">
        <v>25</v>
      </c>
      <c r="BG137" s="12">
        <v>241588.08</v>
      </c>
      <c r="BH137" s="12">
        <v>37614.239999999998</v>
      </c>
      <c r="BI137" s="13">
        <v>5.0241363146612761</v>
      </c>
      <c r="BJ137" s="11">
        <v>3111295</v>
      </c>
      <c r="BK137" s="11">
        <v>487419</v>
      </c>
      <c r="BL137" s="11">
        <v>34</v>
      </c>
      <c r="BM137" s="12">
        <v>274526.0294117647</v>
      </c>
      <c r="BN137" s="12">
        <v>43007.558823529413</v>
      </c>
      <c r="BO137" s="13">
        <v>5.0395661496478956</v>
      </c>
      <c r="BP137" s="11">
        <v>2562702</v>
      </c>
      <c r="BQ137" s="11">
        <v>343377</v>
      </c>
      <c r="BR137" s="11">
        <v>34</v>
      </c>
      <c r="BS137" s="12">
        <v>226120.76470588229</v>
      </c>
      <c r="BT137" s="12">
        <v>30297.97058823529</v>
      </c>
      <c r="BU137" s="13">
        <v>4.660451754678383</v>
      </c>
      <c r="BV137" s="11">
        <v>3498831</v>
      </c>
      <c r="BW137" s="11">
        <v>454835</v>
      </c>
      <c r="BX137" s="11">
        <v>43</v>
      </c>
      <c r="BY137" s="12">
        <v>244104.48837209301</v>
      </c>
      <c r="BZ137" s="12">
        <v>31732.674418604649</v>
      </c>
      <c r="CA137" s="13">
        <v>4.590429902537319</v>
      </c>
      <c r="CB137" s="11">
        <v>2838103</v>
      </c>
      <c r="CC137" s="11">
        <v>449843</v>
      </c>
      <c r="CD137" s="11">
        <v>38</v>
      </c>
      <c r="CE137" s="12">
        <v>224060.76315789469</v>
      </c>
      <c r="CF137" s="12">
        <v>35513.92105263158</v>
      </c>
      <c r="CG137" s="13">
        <v>5.0691139666453902</v>
      </c>
      <c r="CJ137" s="11"/>
      <c r="CK137" s="12"/>
      <c r="CL137" s="12"/>
      <c r="CM137" s="13"/>
      <c r="CN137" s="11"/>
    </row>
    <row r="138" spans="1:94" x14ac:dyDescent="0.25">
      <c r="A138" s="7" t="s">
        <v>129</v>
      </c>
      <c r="B138" s="8">
        <v>6152313</v>
      </c>
      <c r="C138" s="8">
        <v>869164.9</v>
      </c>
      <c r="D138" s="8">
        <v>585</v>
      </c>
      <c r="E138" s="9">
        <v>315503.23076923075</v>
      </c>
      <c r="F138" s="9">
        <v>44572.558974358974</v>
      </c>
      <c r="G138" s="10">
        <v>4.7880000000000003</v>
      </c>
      <c r="H138" s="8">
        <v>3116979.1666666665</v>
      </c>
      <c r="I138" s="8">
        <v>463607.41666666669</v>
      </c>
      <c r="J138" s="8">
        <v>374</v>
      </c>
      <c r="K138" s="9">
        <v>300030.08021390374</v>
      </c>
      <c r="L138" s="9">
        <v>44625.312834224598</v>
      </c>
      <c r="M138" s="10">
        <v>4.899061328719867</v>
      </c>
      <c r="N138" s="8">
        <f t="shared" si="29"/>
        <v>2920610.0909090908</v>
      </c>
      <c r="O138" s="8">
        <f t="shared" si="29"/>
        <v>432607.72727272729</v>
      </c>
      <c r="P138" s="8">
        <f>IFERROR(SUM(V138,AB138,AH138,AN138,AT138,AZ138,BF138,BL138,BR138,BX138,CD138,CJ138)," ")</f>
        <v>345</v>
      </c>
      <c r="Q138" s="9">
        <f>IFERROR(SUM(T138,Z138,AF138,AL138,AR138,AX138,BD138,BJ138,BP138,BV138,CB138,CH138)/P138*3," ")</f>
        <v>279362.70434782607</v>
      </c>
      <c r="R138" s="9">
        <f>IFERROR(SUM(U138,AA138,AG138,AM138,AS138,AY138,BE138,BK138,BQ138,BW138,CC138,CI138)/P138*3," ")</f>
        <v>41379.869565217392</v>
      </c>
      <c r="S138" s="10">
        <f>IFERROR(AVERAGE(Y138,AE138,AK138,AQ138,AW138,BC138,BI138,BO138,BU138,CA138,CG138,CM138)," ")</f>
        <v>4.8967165274776905</v>
      </c>
      <c r="T138" s="11">
        <v>1713754</v>
      </c>
      <c r="U138" s="11">
        <v>242223</v>
      </c>
      <c r="V138" s="11">
        <v>22</v>
      </c>
      <c r="W138" s="12">
        <v>233693.72727272729</v>
      </c>
      <c r="X138" s="12">
        <v>33030.409090909088</v>
      </c>
      <c r="Y138" s="13">
        <v>4.7865836328922136</v>
      </c>
      <c r="Z138" s="11">
        <v>2706454</v>
      </c>
      <c r="AA138" s="11">
        <v>345572</v>
      </c>
      <c r="AB138" s="11">
        <v>23</v>
      </c>
      <c r="AC138" s="12">
        <v>353015.73913043481</v>
      </c>
      <c r="AD138" s="12">
        <v>45074.608695652183</v>
      </c>
      <c r="AE138" s="13">
        <v>4.5493527663765772</v>
      </c>
      <c r="AF138" s="11">
        <v>2932788</v>
      </c>
      <c r="AG138" s="11">
        <v>443776</v>
      </c>
      <c r="AH138" s="11">
        <v>32</v>
      </c>
      <c r="AI138" s="12">
        <v>274948.875</v>
      </c>
      <c r="AJ138" s="12">
        <v>41604</v>
      </c>
      <c r="AK138" s="13">
        <v>4.9527919645173002</v>
      </c>
      <c r="AL138" s="11">
        <v>3416379</v>
      </c>
      <c r="AM138" s="11">
        <v>523656</v>
      </c>
      <c r="AN138" s="11">
        <v>34</v>
      </c>
      <c r="AO138" s="12">
        <v>301445.20588235301</v>
      </c>
      <c r="AP138" s="12">
        <v>46204.941176470587</v>
      </c>
      <c r="AQ138" s="13">
        <v>4.984836186828538</v>
      </c>
      <c r="AR138" s="11">
        <v>2781371</v>
      </c>
      <c r="AS138" s="11">
        <v>409176</v>
      </c>
      <c r="AT138" s="11">
        <v>28</v>
      </c>
      <c r="AU138" s="12">
        <v>298004.03571428568</v>
      </c>
      <c r="AV138" s="12">
        <v>43840.28571428571</v>
      </c>
      <c r="AW138" s="13">
        <v>4.8836372769344356</v>
      </c>
      <c r="AX138" s="11">
        <v>1593242</v>
      </c>
      <c r="AY138" s="11">
        <v>253385</v>
      </c>
      <c r="AZ138" s="11">
        <v>18</v>
      </c>
      <c r="BA138" s="12">
        <v>265540.33333333331</v>
      </c>
      <c r="BB138" s="12">
        <v>42230.833333333343</v>
      </c>
      <c r="BC138" s="13">
        <v>5.0777139506031466</v>
      </c>
      <c r="BD138" s="11">
        <v>3315145</v>
      </c>
      <c r="BE138" s="11">
        <v>488869</v>
      </c>
      <c r="BF138" s="11">
        <v>33</v>
      </c>
      <c r="BG138" s="12">
        <v>301376.81818181818</v>
      </c>
      <c r="BH138" s="12">
        <v>44442.636363636368</v>
      </c>
      <c r="BI138" s="13">
        <v>4.8893914440731177</v>
      </c>
      <c r="BJ138" s="11">
        <v>3560572</v>
      </c>
      <c r="BK138" s="11">
        <v>563581</v>
      </c>
      <c r="BL138" s="11">
        <v>38</v>
      </c>
      <c r="BM138" s="12">
        <v>281097.78947368421</v>
      </c>
      <c r="BN138" s="12">
        <v>44493.236842105267</v>
      </c>
      <c r="BO138" s="13">
        <v>5.065655969815805</v>
      </c>
      <c r="BP138" s="11">
        <v>3657345</v>
      </c>
      <c r="BQ138" s="11">
        <v>506355</v>
      </c>
      <c r="BR138" s="11">
        <v>39</v>
      </c>
      <c r="BS138" s="12">
        <v>281334.23076923081</v>
      </c>
      <c r="BT138" s="12">
        <v>38950.384615384617</v>
      </c>
      <c r="BU138" s="13">
        <v>4.7373930951622416</v>
      </c>
      <c r="BV138" s="11">
        <v>3255466</v>
      </c>
      <c r="BW138" s="11">
        <v>474742</v>
      </c>
      <c r="BX138" s="11">
        <v>42</v>
      </c>
      <c r="BY138" s="12">
        <v>232533.28571428571</v>
      </c>
      <c r="BZ138" s="12">
        <v>33910.142857142862</v>
      </c>
      <c r="CA138" s="13">
        <v>4.8620540856104766</v>
      </c>
      <c r="CB138" s="11">
        <v>3194195</v>
      </c>
      <c r="CC138" s="11">
        <v>507350</v>
      </c>
      <c r="CD138" s="11">
        <v>36</v>
      </c>
      <c r="CE138" s="12">
        <v>266182.91666666669</v>
      </c>
      <c r="CF138" s="12">
        <v>42279.166666666657</v>
      </c>
      <c r="CG138" s="13">
        <v>5.074471429440738</v>
      </c>
      <c r="CJ138" s="11"/>
      <c r="CK138" s="12"/>
      <c r="CL138" s="12"/>
      <c r="CM138" s="13"/>
    </row>
    <row r="139" spans="1:94" x14ac:dyDescent="0.25">
      <c r="A139" s="7" t="s">
        <v>130</v>
      </c>
      <c r="B139" s="8">
        <v>1740853.8</v>
      </c>
      <c r="C139" s="8">
        <v>1717824.7</v>
      </c>
      <c r="D139" s="8">
        <v>553</v>
      </c>
      <c r="E139" s="9">
        <v>94440.531645569616</v>
      </c>
      <c r="F139" s="9">
        <v>93191.21338155515</v>
      </c>
      <c r="G139" s="10">
        <v>14.41</v>
      </c>
      <c r="H139" s="8">
        <v>2624881.4166666665</v>
      </c>
      <c r="I139" s="8">
        <v>583700.58333333337</v>
      </c>
      <c r="J139" s="8">
        <v>371</v>
      </c>
      <c r="K139" s="9">
        <v>254705.47439353101</v>
      </c>
      <c r="L139" s="9">
        <v>56639.409703504047</v>
      </c>
      <c r="M139" s="10">
        <v>14.746029969905649</v>
      </c>
      <c r="N139" s="8">
        <f t="shared" si="29"/>
        <v>814799.63636363635</v>
      </c>
      <c r="O139" s="8">
        <f t="shared" si="29"/>
        <v>860900.90909090906</v>
      </c>
      <c r="P139" s="8">
        <f>IFERROR(SUM(V139,AB139,AH139,AN139,AT139,AZ139,BF139,BL139,BR139,BX139,CD139,CJ139)," ")</f>
        <v>359</v>
      </c>
      <c r="Q139" s="9">
        <f>IFERROR(SUM(T139,Z139,AF139,AL139,AR139,AX139,BD139,BJ139,BP139,BV139,CB139,CH139)/P139*3," ")</f>
        <v>74898.016713091929</v>
      </c>
      <c r="R139" s="9">
        <f>IFERROR(SUM(U139,AA139,AG139,AM139,AS139,AY139,BE139,BK139,BQ139,BW139,CC139,CI139)/P139*3," ")</f>
        <v>79135.738161559886</v>
      </c>
      <c r="S139" s="10">
        <f>IFERROR(AVERAGE(Y139,AE139,AK139,AQ139,AW139,BC139,BI139,BO139,BU139,CA139,CG139,CM139)," ")</f>
        <v>14.70977001838321</v>
      </c>
      <c r="T139" s="11">
        <v>670174</v>
      </c>
      <c r="U139" s="11">
        <v>675322</v>
      </c>
      <c r="V139" s="11">
        <v>27</v>
      </c>
      <c r="W139" s="12">
        <v>74463.777777777781</v>
      </c>
      <c r="X139" s="12">
        <v>75035.777777777781</v>
      </c>
      <c r="Y139" s="13">
        <v>14.696865111193199</v>
      </c>
      <c r="Z139" s="11">
        <v>801065</v>
      </c>
      <c r="AA139" s="11">
        <v>900712</v>
      </c>
      <c r="AB139" s="11">
        <v>30</v>
      </c>
      <c r="AC139" s="12">
        <v>80106.5</v>
      </c>
      <c r="AD139" s="12">
        <v>90071.2</v>
      </c>
      <c r="AE139" s="13">
        <v>13.98553979154573</v>
      </c>
      <c r="AF139" s="11">
        <v>840406</v>
      </c>
      <c r="AG139" s="11">
        <v>852577</v>
      </c>
      <c r="AH139" s="11">
        <v>33</v>
      </c>
      <c r="AI139" s="12">
        <v>76400.545454545456</v>
      </c>
      <c r="AJ139" s="12">
        <v>77507</v>
      </c>
      <c r="AK139" s="13">
        <v>14.61205435467823</v>
      </c>
      <c r="AL139" s="11">
        <v>924913</v>
      </c>
      <c r="AM139" s="11">
        <v>841014</v>
      </c>
      <c r="AN139" s="11">
        <v>37</v>
      </c>
      <c r="AO139" s="12">
        <v>74992.945945945947</v>
      </c>
      <c r="AP139" s="12">
        <v>68190.32432432432</v>
      </c>
      <c r="AQ139" s="13">
        <v>15.237273093056119</v>
      </c>
      <c r="AR139" s="11">
        <v>856503</v>
      </c>
      <c r="AS139" s="11">
        <v>890724</v>
      </c>
      <c r="AT139" s="11">
        <v>33</v>
      </c>
      <c r="AU139" s="12">
        <v>77863.909090909088</v>
      </c>
      <c r="AV139" s="12">
        <v>80974.909090909088</v>
      </c>
      <c r="AW139" s="13">
        <v>14.424283987988259</v>
      </c>
      <c r="AX139" s="11">
        <v>474729</v>
      </c>
      <c r="AY139" s="11">
        <v>554628</v>
      </c>
      <c r="AZ139" s="11">
        <v>22</v>
      </c>
      <c r="BA139" s="12">
        <v>64735.772727272721</v>
      </c>
      <c r="BB139" s="12">
        <v>75631.090909090912</v>
      </c>
      <c r="BC139" s="13">
        <v>15.28816482477353</v>
      </c>
      <c r="BD139" s="11">
        <v>742643</v>
      </c>
      <c r="BE139" s="11">
        <v>830335</v>
      </c>
      <c r="BF139" s="11">
        <v>27</v>
      </c>
      <c r="BG139" s="12">
        <v>82515.888888888891</v>
      </c>
      <c r="BH139" s="12">
        <v>92259.444444444453</v>
      </c>
      <c r="BI139" s="13">
        <v>14.95608386098756</v>
      </c>
      <c r="BJ139" s="11">
        <v>902868</v>
      </c>
      <c r="BK139" s="11">
        <v>1028093</v>
      </c>
      <c r="BL139" s="11">
        <v>36</v>
      </c>
      <c r="BM139" s="12">
        <v>75239</v>
      </c>
      <c r="BN139" s="12">
        <v>85674.416666666672</v>
      </c>
      <c r="BO139" s="13">
        <v>15.092936314380101</v>
      </c>
      <c r="BP139" s="11">
        <v>958315</v>
      </c>
      <c r="BQ139" s="11">
        <v>965338</v>
      </c>
      <c r="BR139" s="11">
        <v>37</v>
      </c>
      <c r="BS139" s="12">
        <v>77701.216216216213</v>
      </c>
      <c r="BT139" s="12">
        <v>78270.648648648654</v>
      </c>
      <c r="BU139" s="13">
        <v>14.19625490159047</v>
      </c>
      <c r="BV139" s="11">
        <v>870538</v>
      </c>
      <c r="BW139" s="11">
        <v>862573</v>
      </c>
      <c r="BX139" s="11">
        <v>38</v>
      </c>
      <c r="BY139" s="12">
        <v>68726.68421052632</v>
      </c>
      <c r="BZ139" s="12">
        <v>68097.868421052626</v>
      </c>
      <c r="CA139" s="13">
        <v>14.079840959584629</v>
      </c>
      <c r="CB139" s="11">
        <v>920642</v>
      </c>
      <c r="CC139" s="11">
        <v>1068594</v>
      </c>
      <c r="CD139" s="11">
        <v>39</v>
      </c>
      <c r="CE139" s="12">
        <v>70818.61538461539</v>
      </c>
      <c r="CF139" s="12">
        <v>82199.538461538454</v>
      </c>
      <c r="CG139" s="13">
        <v>15.23817300243749</v>
      </c>
      <c r="CJ139" s="11"/>
      <c r="CK139" s="12"/>
      <c r="CL139" s="12"/>
      <c r="CM139" s="13"/>
    </row>
    <row r="140" spans="1:94" s="15" customFormat="1" x14ac:dyDescent="0.25">
      <c r="A140" s="2" t="s">
        <v>61</v>
      </c>
      <c r="B140" s="14">
        <v>12829984.4</v>
      </c>
      <c r="C140" s="14">
        <v>3287854.2</v>
      </c>
      <c r="D140" s="14"/>
      <c r="E140" s="25"/>
      <c r="F140" s="25"/>
      <c r="G140" s="22"/>
      <c r="H140" s="14">
        <f>SUM(H137:H139)</f>
        <v>7105174</v>
      </c>
      <c r="I140" s="14">
        <f t="shared" ref="I140" si="30">SUM(I137:I139)</f>
        <v>1797943.5</v>
      </c>
      <c r="J140" s="14"/>
      <c r="K140" s="14"/>
      <c r="L140" s="14"/>
      <c r="M140" s="22"/>
      <c r="N140" s="14">
        <f>SUM(N137:N139)</f>
        <v>6596220.1818181816</v>
      </c>
      <c r="O140" s="14">
        <f>SUM(O137:O139)</f>
        <v>1714975.0909090908</v>
      </c>
      <c r="P140" s="14"/>
      <c r="Q140" s="14"/>
      <c r="R140" s="14"/>
      <c r="S140" s="14"/>
      <c r="T140" s="14">
        <f>SUM(T137:T139)</f>
        <v>5951344</v>
      </c>
      <c r="U140" s="14">
        <f>SUM(U137:U139)</f>
        <v>1445928</v>
      </c>
      <c r="V140" s="14"/>
      <c r="W140" s="14"/>
      <c r="X140" s="22"/>
      <c r="Y140" s="14"/>
      <c r="Z140" s="14">
        <f>SUM(Z137:Z139)</f>
        <v>6619507</v>
      </c>
      <c r="AA140" s="14">
        <f>SUM(AA137:AA139)</f>
        <v>1664243</v>
      </c>
      <c r="AB140" s="14"/>
      <c r="AC140" s="14"/>
      <c r="AD140" s="22"/>
      <c r="AE140" s="14"/>
      <c r="AF140" s="14">
        <f>SUM(AF137:AF139)</f>
        <v>6705402</v>
      </c>
      <c r="AG140" s="14">
        <f>SUM(AG137:AG139)</f>
        <v>1740711</v>
      </c>
      <c r="AH140" s="14"/>
      <c r="AI140" s="14"/>
      <c r="AJ140" s="22"/>
      <c r="AK140" s="14"/>
      <c r="AL140" s="14">
        <f>SUM(AL137:AL139)</f>
        <v>7689251</v>
      </c>
      <c r="AM140" s="14">
        <f>SUM(AM137:AM139)</f>
        <v>1875881</v>
      </c>
      <c r="AN140" s="14"/>
      <c r="AO140" s="14"/>
      <c r="AP140" s="22"/>
      <c r="AQ140" s="14"/>
      <c r="AR140" s="14">
        <f>SUM(AR137:AR139)</f>
        <v>6522301</v>
      </c>
      <c r="AS140" s="14">
        <f>SUM(AS137:AS139)</f>
        <v>1732226</v>
      </c>
      <c r="AT140" s="14"/>
      <c r="AU140" s="14"/>
      <c r="AV140" s="22"/>
      <c r="AW140" s="14"/>
      <c r="AX140" s="14">
        <f>SUM(AX137:AX139)</f>
        <v>3668723</v>
      </c>
      <c r="AY140" s="14">
        <f>SUM(AY137:AY139)</f>
        <v>1060981</v>
      </c>
      <c r="AZ140" s="14"/>
      <c r="BA140" s="14"/>
      <c r="BB140" s="22"/>
      <c r="BC140" s="14"/>
      <c r="BD140" s="14">
        <f>SUM(BD137:BD139)</f>
        <v>6071022</v>
      </c>
      <c r="BE140" s="14">
        <f>SUM(BE137:BE139)</f>
        <v>1632656</v>
      </c>
      <c r="BF140" s="14"/>
      <c r="BG140" s="14"/>
      <c r="BH140" s="22"/>
      <c r="BI140" s="14"/>
      <c r="BJ140" s="14">
        <f>SUM(BJ137:BJ139)</f>
        <v>7574735</v>
      </c>
      <c r="BK140" s="14">
        <f>SUM(BK137:BK139)</f>
        <v>2079093</v>
      </c>
      <c r="BL140" s="14"/>
      <c r="BM140" s="14"/>
      <c r="BN140" s="22"/>
      <c r="BO140" s="14"/>
      <c r="BP140" s="14">
        <f>SUM(BP137:BP139)</f>
        <v>7178362</v>
      </c>
      <c r="BQ140" s="14">
        <f>SUM(BQ137:BQ139)</f>
        <v>1815070</v>
      </c>
      <c r="BR140" s="14"/>
      <c r="BS140" s="14"/>
      <c r="BT140" s="22"/>
      <c r="BU140" s="14"/>
      <c r="BV140" s="14">
        <f>SUM(BV137:BV139)</f>
        <v>7624835</v>
      </c>
      <c r="BW140" s="14">
        <f>SUM(BW137:BW139)</f>
        <v>1792150</v>
      </c>
      <c r="BX140" s="14"/>
      <c r="BY140" s="14"/>
      <c r="BZ140" s="22"/>
      <c r="CA140" s="14"/>
      <c r="CB140" s="14">
        <f>SUM(CB137:CB139)</f>
        <v>6952940</v>
      </c>
      <c r="CC140" s="14">
        <f>SUM(CC137:CC139)</f>
        <v>2025787</v>
      </c>
      <c r="CD140" s="14"/>
      <c r="CE140" s="14"/>
      <c r="CF140" s="22"/>
      <c r="CG140" s="14"/>
      <c r="CH140" s="14">
        <f>SUM(CH137:CH139)</f>
        <v>0</v>
      </c>
      <c r="CI140" s="14">
        <f>SUM(CI137:CI139)</f>
        <v>0</v>
      </c>
      <c r="CJ140" s="14"/>
      <c r="CK140" s="14"/>
      <c r="CL140" s="22"/>
      <c r="CM140" s="14"/>
    </row>
    <row r="143" spans="1:94" x14ac:dyDescent="0.25">
      <c r="BK143" s="11"/>
      <c r="BM143" s="11"/>
    </row>
    <row r="146" spans="22:27" x14ac:dyDescent="0.25">
      <c r="V146" s="11"/>
      <c r="W146" s="11"/>
      <c r="X146" s="11"/>
      <c r="Y146" s="11"/>
      <c r="Z146" s="11"/>
      <c r="AA146" s="11"/>
    </row>
  </sheetData>
  <autoFilter ref="A2:CM63" xr:uid="{B264AC42-3408-4CC4-A254-80BEFA0AA9F5}"/>
  <mergeCells count="45">
    <mergeCell ref="B135:G135"/>
    <mergeCell ref="H135:M135"/>
    <mergeCell ref="CB1:CG1"/>
    <mergeCell ref="CH1:CM1"/>
    <mergeCell ref="N1:S1"/>
    <mergeCell ref="B65:G65"/>
    <mergeCell ref="H65:M65"/>
    <mergeCell ref="AR1:AW1"/>
    <mergeCell ref="AX1:BC1"/>
    <mergeCell ref="BD1:BI1"/>
    <mergeCell ref="BJ1:BO1"/>
    <mergeCell ref="BP1:BU1"/>
    <mergeCell ref="BV1:CA1"/>
    <mergeCell ref="AL1:AQ1"/>
    <mergeCell ref="B1:G1"/>
    <mergeCell ref="H1:M1"/>
    <mergeCell ref="T1:Y1"/>
    <mergeCell ref="Z1:AE1"/>
    <mergeCell ref="AF1:AK1"/>
    <mergeCell ref="T65:Y65"/>
    <mergeCell ref="Z65:AE65"/>
    <mergeCell ref="AF65:AK65"/>
    <mergeCell ref="BP65:BU65"/>
    <mergeCell ref="BV65:CA65"/>
    <mergeCell ref="CB65:CG65"/>
    <mergeCell ref="CH65:CM65"/>
    <mergeCell ref="N65:S65"/>
    <mergeCell ref="AL65:AQ65"/>
    <mergeCell ref="AR65:AW65"/>
    <mergeCell ref="AX65:BC65"/>
    <mergeCell ref="BD65:BI65"/>
    <mergeCell ref="BJ65:BO65"/>
    <mergeCell ref="CB135:CG135"/>
    <mergeCell ref="CH135:CM135"/>
    <mergeCell ref="N135:S135"/>
    <mergeCell ref="AX135:BC135"/>
    <mergeCell ref="BD135:BI135"/>
    <mergeCell ref="BJ135:BO135"/>
    <mergeCell ref="BP135:BU135"/>
    <mergeCell ref="BV135:CA135"/>
    <mergeCell ref="T135:Y135"/>
    <mergeCell ref="Z135:AE135"/>
    <mergeCell ref="AF135:AK135"/>
    <mergeCell ref="AL135:AQ135"/>
    <mergeCell ref="AR135:AW135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Günlük Ortalama Üretim</vt:lpstr>
      <vt:lpstr>'Günlük Ortalama Üretim'!_VeritabaniniFiltrele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2025-01-07T14:18:46Z</dcterms:created>
  <dcterms:modified xsi:type="dcterms:W3CDTF">2025-12-01T08:15:22Z</dcterms:modified>
</cp:coreProperties>
</file>