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816BA3C8-B10D-47F0-B545-218AEE2FEB54}" xr6:coauthVersionLast="47" xr6:coauthVersionMax="47" xr10:uidLastSave="{00000000-0000-0000-0000-000000000000}"/>
  <bookViews>
    <workbookView xWindow="-120" yWindow="-120" windowWidth="29040" windowHeight="15720" xr2:uid="{8FA9AADE-0AF1-42A7-AB4A-1A5F3041D90E}"/>
  </bookViews>
  <sheets>
    <sheet name="Günlük Ortalama Üretim" sheetId="1" r:id="rId1"/>
  </sheets>
  <definedNames>
    <definedName name="_xlnm._FilterDatabase" localSheetId="0">'Günlük Ortalama Üretim'!$A$2:$CM$53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I53" i="1"/>
  <c r="H112" i="1"/>
  <c r="I112" i="1"/>
  <c r="H119" i="1"/>
  <c r="I119" i="1"/>
  <c r="N117" i="1"/>
  <c r="O117" i="1"/>
  <c r="P117" i="1"/>
  <c r="Q117" i="1" s="1"/>
  <c r="S117" i="1"/>
  <c r="N118" i="1"/>
  <c r="O118" i="1"/>
  <c r="P118" i="1"/>
  <c r="Q118" i="1" s="1"/>
  <c r="S118" i="1"/>
  <c r="S116" i="1"/>
  <c r="P116" i="1"/>
  <c r="R116" i="1" s="1"/>
  <c r="O116" i="1"/>
  <c r="N116" i="1"/>
  <c r="N57" i="1"/>
  <c r="O57" i="1"/>
  <c r="P57" i="1"/>
  <c r="R57" i="1" s="1"/>
  <c r="S57" i="1"/>
  <c r="N58" i="1"/>
  <c r="O58" i="1"/>
  <c r="P58" i="1"/>
  <c r="Q58" i="1" s="1"/>
  <c r="S58" i="1"/>
  <c r="N59" i="1"/>
  <c r="O59" i="1"/>
  <c r="P59" i="1"/>
  <c r="R59" i="1" s="1"/>
  <c r="S59" i="1"/>
  <c r="N60" i="1"/>
  <c r="O60" i="1"/>
  <c r="P60" i="1"/>
  <c r="Q60" i="1" s="1"/>
  <c r="S60" i="1"/>
  <c r="N61" i="1"/>
  <c r="O61" i="1"/>
  <c r="P61" i="1"/>
  <c r="Q61" i="1" s="1"/>
  <c r="S61" i="1"/>
  <c r="N62" i="1"/>
  <c r="O62" i="1"/>
  <c r="P62" i="1"/>
  <c r="Q62" i="1" s="1"/>
  <c r="S62" i="1"/>
  <c r="N63" i="1"/>
  <c r="O63" i="1"/>
  <c r="P63" i="1"/>
  <c r="R63" i="1" s="1"/>
  <c r="S63" i="1"/>
  <c r="N64" i="1"/>
  <c r="O64" i="1"/>
  <c r="P64" i="1"/>
  <c r="Q64" i="1" s="1"/>
  <c r="S64" i="1"/>
  <c r="N65" i="1"/>
  <c r="O65" i="1"/>
  <c r="P65" i="1"/>
  <c r="Q65" i="1" s="1"/>
  <c r="S65" i="1"/>
  <c r="N66" i="1"/>
  <c r="O66" i="1"/>
  <c r="P66" i="1"/>
  <c r="Q66" i="1" s="1"/>
  <c r="S66" i="1"/>
  <c r="N67" i="1"/>
  <c r="O67" i="1"/>
  <c r="P67" i="1"/>
  <c r="R67" i="1" s="1"/>
  <c r="S67" i="1"/>
  <c r="N68" i="1"/>
  <c r="O68" i="1"/>
  <c r="P68" i="1"/>
  <c r="Q68" i="1" s="1"/>
  <c r="S68" i="1"/>
  <c r="N69" i="1"/>
  <c r="O69" i="1"/>
  <c r="P69" i="1"/>
  <c r="Q69" i="1" s="1"/>
  <c r="S69" i="1"/>
  <c r="N70" i="1"/>
  <c r="O70" i="1"/>
  <c r="P70" i="1"/>
  <c r="Q70" i="1" s="1"/>
  <c r="S70" i="1"/>
  <c r="N71" i="1"/>
  <c r="O71" i="1"/>
  <c r="P71" i="1"/>
  <c r="R71" i="1" s="1"/>
  <c r="S71" i="1"/>
  <c r="N72" i="1"/>
  <c r="O72" i="1"/>
  <c r="P72" i="1"/>
  <c r="Q72" i="1" s="1"/>
  <c r="S72" i="1"/>
  <c r="N73" i="1"/>
  <c r="O73" i="1"/>
  <c r="P73" i="1"/>
  <c r="Q73" i="1" s="1"/>
  <c r="S73" i="1"/>
  <c r="N74" i="1"/>
  <c r="O74" i="1"/>
  <c r="P74" i="1"/>
  <c r="Q74" i="1" s="1"/>
  <c r="S74" i="1"/>
  <c r="N75" i="1"/>
  <c r="O75" i="1"/>
  <c r="P75" i="1"/>
  <c r="Q75" i="1" s="1"/>
  <c r="S75" i="1"/>
  <c r="N76" i="1"/>
  <c r="O76" i="1"/>
  <c r="P76" i="1"/>
  <c r="Q76" i="1" s="1"/>
  <c r="S76" i="1"/>
  <c r="N77" i="1"/>
  <c r="O77" i="1"/>
  <c r="P77" i="1"/>
  <c r="Q77" i="1" s="1"/>
  <c r="S77" i="1"/>
  <c r="N78" i="1"/>
  <c r="O78" i="1"/>
  <c r="P78" i="1"/>
  <c r="R78" i="1" s="1"/>
  <c r="S78" i="1"/>
  <c r="N79" i="1"/>
  <c r="O79" i="1"/>
  <c r="P79" i="1"/>
  <c r="Q79" i="1" s="1"/>
  <c r="S79" i="1"/>
  <c r="N80" i="1"/>
  <c r="O80" i="1"/>
  <c r="P80" i="1"/>
  <c r="Q80" i="1" s="1"/>
  <c r="S80" i="1"/>
  <c r="N81" i="1"/>
  <c r="O81" i="1"/>
  <c r="P81" i="1"/>
  <c r="Q81" i="1" s="1"/>
  <c r="S81" i="1"/>
  <c r="N82" i="1"/>
  <c r="O82" i="1"/>
  <c r="P82" i="1"/>
  <c r="R82" i="1" s="1"/>
  <c r="S82" i="1"/>
  <c r="N83" i="1"/>
  <c r="O83" i="1"/>
  <c r="P83" i="1"/>
  <c r="Q83" i="1" s="1"/>
  <c r="S83" i="1"/>
  <c r="N84" i="1"/>
  <c r="O84" i="1"/>
  <c r="P84" i="1"/>
  <c r="Q84" i="1" s="1"/>
  <c r="S84" i="1"/>
  <c r="N85" i="1"/>
  <c r="O85" i="1"/>
  <c r="P85" i="1"/>
  <c r="Q85" i="1" s="1"/>
  <c r="S85" i="1"/>
  <c r="N86" i="1"/>
  <c r="O86" i="1"/>
  <c r="P86" i="1"/>
  <c r="R86" i="1" s="1"/>
  <c r="S86" i="1"/>
  <c r="N87" i="1"/>
  <c r="O87" i="1"/>
  <c r="P87" i="1"/>
  <c r="Q87" i="1" s="1"/>
  <c r="S87" i="1"/>
  <c r="N88" i="1"/>
  <c r="O88" i="1"/>
  <c r="P88" i="1"/>
  <c r="Q88" i="1" s="1"/>
  <c r="S88" i="1"/>
  <c r="N89" i="1"/>
  <c r="O89" i="1"/>
  <c r="P89" i="1"/>
  <c r="R89" i="1" s="1"/>
  <c r="S89" i="1"/>
  <c r="N90" i="1"/>
  <c r="O90" i="1"/>
  <c r="P90" i="1"/>
  <c r="Q90" i="1" s="1"/>
  <c r="S90" i="1"/>
  <c r="N91" i="1"/>
  <c r="O91" i="1"/>
  <c r="P91" i="1"/>
  <c r="Q91" i="1" s="1"/>
  <c r="S91" i="1"/>
  <c r="N92" i="1"/>
  <c r="O92" i="1"/>
  <c r="P92" i="1"/>
  <c r="Q92" i="1" s="1"/>
  <c r="S92" i="1"/>
  <c r="N93" i="1"/>
  <c r="O93" i="1"/>
  <c r="P93" i="1"/>
  <c r="R93" i="1" s="1"/>
  <c r="S93" i="1"/>
  <c r="N94" i="1"/>
  <c r="O94" i="1"/>
  <c r="P94" i="1"/>
  <c r="Q94" i="1" s="1"/>
  <c r="S94" i="1"/>
  <c r="N95" i="1"/>
  <c r="O95" i="1"/>
  <c r="P95" i="1"/>
  <c r="Q95" i="1" s="1"/>
  <c r="S95" i="1"/>
  <c r="N96" i="1"/>
  <c r="O96" i="1"/>
  <c r="P96" i="1"/>
  <c r="Q96" i="1" s="1"/>
  <c r="S96" i="1"/>
  <c r="N97" i="1"/>
  <c r="O97" i="1"/>
  <c r="P97" i="1"/>
  <c r="R97" i="1" s="1"/>
  <c r="S97" i="1"/>
  <c r="N98" i="1"/>
  <c r="O98" i="1"/>
  <c r="P98" i="1"/>
  <c r="Q98" i="1" s="1"/>
  <c r="S98" i="1"/>
  <c r="N99" i="1"/>
  <c r="O99" i="1"/>
  <c r="P99" i="1"/>
  <c r="Q99" i="1" s="1"/>
  <c r="S99" i="1"/>
  <c r="N100" i="1"/>
  <c r="O100" i="1"/>
  <c r="P100" i="1"/>
  <c r="Q100" i="1" s="1"/>
  <c r="S100" i="1"/>
  <c r="N101" i="1"/>
  <c r="O101" i="1"/>
  <c r="P101" i="1"/>
  <c r="R101" i="1" s="1"/>
  <c r="S101" i="1"/>
  <c r="N102" i="1"/>
  <c r="O102" i="1"/>
  <c r="P102" i="1"/>
  <c r="Q102" i="1" s="1"/>
  <c r="S102" i="1"/>
  <c r="N103" i="1"/>
  <c r="O103" i="1"/>
  <c r="P103" i="1"/>
  <c r="Q103" i="1" s="1"/>
  <c r="S103" i="1"/>
  <c r="N104" i="1"/>
  <c r="O104" i="1"/>
  <c r="P104" i="1"/>
  <c r="Q104" i="1" s="1"/>
  <c r="S104" i="1"/>
  <c r="N105" i="1"/>
  <c r="O105" i="1"/>
  <c r="P105" i="1"/>
  <c r="R105" i="1" s="1"/>
  <c r="S105" i="1"/>
  <c r="N106" i="1"/>
  <c r="O106" i="1"/>
  <c r="P106" i="1"/>
  <c r="Q106" i="1" s="1"/>
  <c r="S106" i="1"/>
  <c r="N107" i="1"/>
  <c r="O107" i="1"/>
  <c r="P107" i="1"/>
  <c r="Q107" i="1" s="1"/>
  <c r="S107" i="1"/>
  <c r="N108" i="1"/>
  <c r="O108" i="1"/>
  <c r="P108" i="1"/>
  <c r="Q108" i="1" s="1"/>
  <c r="S108" i="1"/>
  <c r="N109" i="1"/>
  <c r="O109" i="1"/>
  <c r="P109" i="1"/>
  <c r="R109" i="1" s="1"/>
  <c r="S109" i="1"/>
  <c r="N110" i="1"/>
  <c r="O110" i="1"/>
  <c r="P110" i="1"/>
  <c r="Q110" i="1" s="1"/>
  <c r="S110" i="1"/>
  <c r="N111" i="1"/>
  <c r="O111" i="1"/>
  <c r="P111" i="1"/>
  <c r="Q111" i="1" s="1"/>
  <c r="S111" i="1"/>
  <c r="N4" i="1"/>
  <c r="O4" i="1"/>
  <c r="P4" i="1"/>
  <c r="Q4" i="1" s="1"/>
  <c r="S4" i="1"/>
  <c r="N5" i="1"/>
  <c r="O5" i="1"/>
  <c r="P5" i="1"/>
  <c r="Q5" i="1" s="1"/>
  <c r="S5" i="1"/>
  <c r="N6" i="1"/>
  <c r="O6" i="1"/>
  <c r="P6" i="1"/>
  <c r="R6" i="1" s="1"/>
  <c r="S6" i="1"/>
  <c r="N7" i="1"/>
  <c r="O7" i="1"/>
  <c r="P7" i="1"/>
  <c r="Q7" i="1" s="1"/>
  <c r="S7" i="1"/>
  <c r="N8" i="1"/>
  <c r="O8" i="1"/>
  <c r="P8" i="1"/>
  <c r="Q8" i="1" s="1"/>
  <c r="S8" i="1"/>
  <c r="N9" i="1"/>
  <c r="O9" i="1"/>
  <c r="P9" i="1"/>
  <c r="Q9" i="1" s="1"/>
  <c r="S9" i="1"/>
  <c r="N10" i="1"/>
  <c r="O10" i="1"/>
  <c r="P10" i="1"/>
  <c r="R10" i="1" s="1"/>
  <c r="S10" i="1"/>
  <c r="N11" i="1"/>
  <c r="O11" i="1"/>
  <c r="P11" i="1"/>
  <c r="R11" i="1" s="1"/>
  <c r="S11" i="1"/>
  <c r="N12" i="1"/>
  <c r="O12" i="1"/>
  <c r="P12" i="1"/>
  <c r="Q12" i="1" s="1"/>
  <c r="S12" i="1"/>
  <c r="N13" i="1"/>
  <c r="O13" i="1"/>
  <c r="P13" i="1"/>
  <c r="R13" i="1" s="1"/>
  <c r="S13" i="1"/>
  <c r="N14" i="1"/>
  <c r="O14" i="1"/>
  <c r="P14" i="1"/>
  <c r="Q14" i="1" s="1"/>
  <c r="S14" i="1"/>
  <c r="N15" i="1"/>
  <c r="O15" i="1"/>
  <c r="P15" i="1"/>
  <c r="R15" i="1" s="1"/>
  <c r="S15" i="1"/>
  <c r="N16" i="1"/>
  <c r="O16" i="1"/>
  <c r="P16" i="1"/>
  <c r="R16" i="1" s="1"/>
  <c r="S16" i="1"/>
  <c r="N17" i="1"/>
  <c r="O17" i="1"/>
  <c r="P17" i="1"/>
  <c r="Q17" i="1" s="1"/>
  <c r="S17" i="1"/>
  <c r="N18" i="1"/>
  <c r="O18" i="1"/>
  <c r="P18" i="1"/>
  <c r="Q18" i="1" s="1"/>
  <c r="S18" i="1"/>
  <c r="N19" i="1"/>
  <c r="O19" i="1"/>
  <c r="P19" i="1"/>
  <c r="Q19" i="1" s="1"/>
  <c r="S19" i="1"/>
  <c r="N20" i="1"/>
  <c r="O20" i="1"/>
  <c r="P20" i="1"/>
  <c r="Q20" i="1" s="1"/>
  <c r="S20" i="1"/>
  <c r="N21" i="1"/>
  <c r="O21" i="1"/>
  <c r="P21" i="1"/>
  <c r="R21" i="1" s="1"/>
  <c r="S21" i="1"/>
  <c r="N22" i="1"/>
  <c r="O22" i="1"/>
  <c r="P22" i="1"/>
  <c r="Q22" i="1" s="1"/>
  <c r="S22" i="1"/>
  <c r="N23" i="1"/>
  <c r="O23" i="1"/>
  <c r="P23" i="1"/>
  <c r="R23" i="1" s="1"/>
  <c r="S23" i="1"/>
  <c r="N24" i="1"/>
  <c r="O24" i="1"/>
  <c r="P24" i="1"/>
  <c r="Q24" i="1" s="1"/>
  <c r="S24" i="1"/>
  <c r="N25" i="1"/>
  <c r="O25" i="1"/>
  <c r="P25" i="1"/>
  <c r="Q25" i="1" s="1"/>
  <c r="S25" i="1"/>
  <c r="N26" i="1"/>
  <c r="O26" i="1"/>
  <c r="P26" i="1"/>
  <c r="Q26" i="1" s="1"/>
  <c r="S26" i="1"/>
  <c r="N27" i="1"/>
  <c r="O27" i="1"/>
  <c r="P27" i="1"/>
  <c r="Q27" i="1" s="1"/>
  <c r="S27" i="1"/>
  <c r="N28" i="1"/>
  <c r="O28" i="1"/>
  <c r="P28" i="1"/>
  <c r="Q28" i="1" s="1"/>
  <c r="S28" i="1"/>
  <c r="N29" i="1"/>
  <c r="O29" i="1"/>
  <c r="P29" i="1"/>
  <c r="Q29" i="1" s="1"/>
  <c r="S29" i="1"/>
  <c r="N30" i="1"/>
  <c r="O30" i="1"/>
  <c r="P30" i="1"/>
  <c r="Q30" i="1" s="1"/>
  <c r="S30" i="1"/>
  <c r="N31" i="1"/>
  <c r="O31" i="1"/>
  <c r="P31" i="1"/>
  <c r="Q31" i="1" s="1"/>
  <c r="S31" i="1"/>
  <c r="N32" i="1"/>
  <c r="O32" i="1"/>
  <c r="P32" i="1"/>
  <c r="R32" i="1" s="1"/>
  <c r="S32" i="1"/>
  <c r="N33" i="1"/>
  <c r="O33" i="1"/>
  <c r="P33" i="1"/>
  <c r="Q33" i="1" s="1"/>
  <c r="S33" i="1"/>
  <c r="N34" i="1"/>
  <c r="O34" i="1"/>
  <c r="P34" i="1"/>
  <c r="Q34" i="1" s="1"/>
  <c r="S34" i="1"/>
  <c r="N35" i="1"/>
  <c r="O35" i="1"/>
  <c r="P35" i="1"/>
  <c r="Q35" i="1" s="1"/>
  <c r="S35" i="1"/>
  <c r="N36" i="1"/>
  <c r="O36" i="1"/>
  <c r="P36" i="1"/>
  <c r="R36" i="1" s="1"/>
  <c r="S36" i="1"/>
  <c r="N37" i="1"/>
  <c r="O37" i="1"/>
  <c r="P37" i="1"/>
  <c r="Q37" i="1" s="1"/>
  <c r="S37" i="1"/>
  <c r="N38" i="1"/>
  <c r="O38" i="1"/>
  <c r="P38" i="1"/>
  <c r="Q38" i="1" s="1"/>
  <c r="S38" i="1"/>
  <c r="N39" i="1"/>
  <c r="O39" i="1"/>
  <c r="P39" i="1"/>
  <c r="Q39" i="1" s="1"/>
  <c r="S39" i="1"/>
  <c r="N40" i="1"/>
  <c r="O40" i="1"/>
  <c r="P40" i="1"/>
  <c r="R40" i="1" s="1"/>
  <c r="S40" i="1"/>
  <c r="N41" i="1"/>
  <c r="O41" i="1"/>
  <c r="P41" i="1"/>
  <c r="Q41" i="1" s="1"/>
  <c r="S41" i="1"/>
  <c r="N42" i="1"/>
  <c r="O42" i="1"/>
  <c r="P42" i="1"/>
  <c r="Q42" i="1" s="1"/>
  <c r="S42" i="1"/>
  <c r="N43" i="1"/>
  <c r="O43" i="1"/>
  <c r="P43" i="1"/>
  <c r="Q43" i="1" s="1"/>
  <c r="S43" i="1"/>
  <c r="N44" i="1"/>
  <c r="O44" i="1"/>
  <c r="P44" i="1"/>
  <c r="R44" i="1" s="1"/>
  <c r="S44" i="1"/>
  <c r="N45" i="1"/>
  <c r="O45" i="1"/>
  <c r="P45" i="1"/>
  <c r="Q45" i="1" s="1"/>
  <c r="S45" i="1"/>
  <c r="N46" i="1"/>
  <c r="O46" i="1"/>
  <c r="P46" i="1"/>
  <c r="Q46" i="1" s="1"/>
  <c r="S46" i="1"/>
  <c r="N47" i="1"/>
  <c r="O47" i="1"/>
  <c r="P47" i="1"/>
  <c r="Q47" i="1" s="1"/>
  <c r="S47" i="1"/>
  <c r="N48" i="1"/>
  <c r="O48" i="1"/>
  <c r="P48" i="1"/>
  <c r="R48" i="1" s="1"/>
  <c r="S48" i="1"/>
  <c r="N49" i="1"/>
  <c r="O49" i="1"/>
  <c r="P49" i="1"/>
  <c r="Q49" i="1" s="1"/>
  <c r="S49" i="1"/>
  <c r="N50" i="1"/>
  <c r="O50" i="1"/>
  <c r="P50" i="1"/>
  <c r="Q50" i="1" s="1"/>
  <c r="S50" i="1"/>
  <c r="N51" i="1"/>
  <c r="O51" i="1"/>
  <c r="P51" i="1"/>
  <c r="Q51" i="1" s="1"/>
  <c r="S51" i="1"/>
  <c r="N52" i="1"/>
  <c r="O52" i="1"/>
  <c r="P52" i="1"/>
  <c r="R52" i="1" s="1"/>
  <c r="S52" i="1"/>
  <c r="S3" i="1"/>
  <c r="P3" i="1"/>
  <c r="R3" i="1" s="1"/>
  <c r="O3" i="1"/>
  <c r="N3" i="1"/>
  <c r="CI119" i="1"/>
  <c r="CH119" i="1"/>
  <c r="CC119" i="1"/>
  <c r="CB119" i="1"/>
  <c r="BW119" i="1"/>
  <c r="BV119" i="1"/>
  <c r="BQ119" i="1"/>
  <c r="BP119" i="1"/>
  <c r="BK119" i="1"/>
  <c r="BJ119" i="1"/>
  <c r="BE119" i="1"/>
  <c r="BD119" i="1"/>
  <c r="AY119" i="1"/>
  <c r="AX119" i="1"/>
  <c r="AS119" i="1"/>
  <c r="AR119" i="1"/>
  <c r="AM119" i="1"/>
  <c r="AL119" i="1"/>
  <c r="AG119" i="1"/>
  <c r="AF119" i="1"/>
  <c r="AA119" i="1"/>
  <c r="Z119" i="1"/>
  <c r="U119" i="1"/>
  <c r="T119" i="1"/>
  <c r="CI112" i="1"/>
  <c r="CH112" i="1"/>
  <c r="CC112" i="1"/>
  <c r="CB112" i="1"/>
  <c r="BW112" i="1"/>
  <c r="BV112" i="1"/>
  <c r="BQ112" i="1"/>
  <c r="BP112" i="1"/>
  <c r="BK112" i="1"/>
  <c r="BJ112" i="1"/>
  <c r="BE112" i="1"/>
  <c r="BD112" i="1"/>
  <c r="AY112" i="1"/>
  <c r="AX112" i="1"/>
  <c r="AS112" i="1"/>
  <c r="AR112" i="1"/>
  <c r="AM112" i="1"/>
  <c r="AL112" i="1"/>
  <c r="AG112" i="1"/>
  <c r="AF112" i="1"/>
  <c r="AA112" i="1"/>
  <c r="Z112" i="1"/>
  <c r="U112" i="1"/>
  <c r="T112" i="1"/>
  <c r="CI53" i="1"/>
  <c r="CH53" i="1"/>
  <c r="CC53" i="1"/>
  <c r="CB53" i="1"/>
  <c r="BW53" i="1"/>
  <c r="BV53" i="1"/>
  <c r="BQ53" i="1"/>
  <c r="BP53" i="1"/>
  <c r="BK53" i="1"/>
  <c r="BJ53" i="1"/>
  <c r="BE53" i="1"/>
  <c r="BD53" i="1"/>
  <c r="AY53" i="1"/>
  <c r="AX53" i="1"/>
  <c r="AS53" i="1"/>
  <c r="AR53" i="1"/>
  <c r="AM53" i="1"/>
  <c r="AL53" i="1"/>
  <c r="AG53" i="1"/>
  <c r="AF53" i="1"/>
  <c r="AA53" i="1"/>
  <c r="Z53" i="1"/>
  <c r="U53" i="1"/>
  <c r="T53" i="1"/>
  <c r="Q78" i="1" l="1"/>
  <c r="R75" i="1"/>
  <c r="R98" i="1"/>
  <c r="Q109" i="1"/>
  <c r="Q59" i="1"/>
  <c r="Q89" i="1"/>
  <c r="R68" i="1"/>
  <c r="Q86" i="1"/>
  <c r="R45" i="1"/>
  <c r="R43" i="1"/>
  <c r="R41" i="1"/>
  <c r="R22" i="1"/>
  <c r="Q63" i="1"/>
  <c r="Q101" i="1"/>
  <c r="R28" i="1"/>
  <c r="Q16" i="1"/>
  <c r="R29" i="1"/>
  <c r="R7" i="1"/>
  <c r="R49" i="1"/>
  <c r="R79" i="1"/>
  <c r="Q71" i="1"/>
  <c r="R60" i="1"/>
  <c r="R35" i="1"/>
  <c r="Q11" i="1"/>
  <c r="Q105" i="1"/>
  <c r="R90" i="1"/>
  <c r="R117" i="1"/>
  <c r="R110" i="1"/>
  <c r="R64" i="1"/>
  <c r="R51" i="1"/>
  <c r="R26" i="1"/>
  <c r="Q93" i="1"/>
  <c r="R83" i="1"/>
  <c r="R118" i="1"/>
  <c r="Q82" i="1"/>
  <c r="Q67" i="1"/>
  <c r="Q57" i="1"/>
  <c r="R106" i="1"/>
  <c r="Q97" i="1"/>
  <c r="R72" i="1"/>
  <c r="R58" i="1"/>
  <c r="R33" i="1"/>
  <c r="R37" i="1"/>
  <c r="R104" i="1"/>
  <c r="R96" i="1"/>
  <c r="R88" i="1"/>
  <c r="R81" i="1"/>
  <c r="R74" i="1"/>
  <c r="R66" i="1"/>
  <c r="R102" i="1"/>
  <c r="R94" i="1"/>
  <c r="R108" i="1"/>
  <c r="R100" i="1"/>
  <c r="R92" i="1"/>
  <c r="R85" i="1"/>
  <c r="R77" i="1"/>
  <c r="R70" i="1"/>
  <c r="R62" i="1"/>
  <c r="R47" i="1"/>
  <c r="R39" i="1"/>
  <c r="R31" i="1"/>
  <c r="R25" i="1"/>
  <c r="R20" i="1"/>
  <c r="R5" i="1"/>
  <c r="R18" i="1"/>
  <c r="R9" i="1"/>
  <c r="Q116" i="1"/>
  <c r="R111" i="1"/>
  <c r="R107" i="1"/>
  <c r="R103" i="1"/>
  <c r="R99" i="1"/>
  <c r="R95" i="1"/>
  <c r="R91" i="1"/>
  <c r="R87" i="1"/>
  <c r="R84" i="1"/>
  <c r="R80" i="1"/>
  <c r="R76" i="1"/>
  <c r="R73" i="1"/>
  <c r="R69" i="1"/>
  <c r="R65" i="1"/>
  <c r="R61" i="1"/>
  <c r="Q52" i="1"/>
  <c r="Q48" i="1"/>
  <c r="Q44" i="1"/>
  <c r="Q40" i="1"/>
  <c r="Q36" i="1"/>
  <c r="Q32" i="1"/>
  <c r="Q23" i="1"/>
  <c r="Q21" i="1"/>
  <c r="Q15" i="1"/>
  <c r="Q13" i="1"/>
  <c r="Q10" i="1"/>
  <c r="Q6" i="1"/>
  <c r="R50" i="1"/>
  <c r="R46" i="1"/>
  <c r="R42" i="1"/>
  <c r="R38" i="1"/>
  <c r="R34" i="1"/>
  <c r="R30" i="1"/>
  <c r="R27" i="1"/>
  <c r="R24" i="1"/>
  <c r="R19" i="1"/>
  <c r="R17" i="1"/>
  <c r="R14" i="1"/>
  <c r="R12" i="1"/>
  <c r="R8" i="1"/>
  <c r="R4" i="1"/>
  <c r="Q3" i="1"/>
  <c r="N119" i="1"/>
  <c r="O53" i="1"/>
  <c r="O119" i="1"/>
  <c r="N112" i="1"/>
  <c r="O112" i="1"/>
  <c r="N53" i="1"/>
</calcChain>
</file>

<file path=xl/sharedStrings.xml><?xml version="1.0" encoding="utf-8"?>
<sst xmlns="http://schemas.openxmlformats.org/spreadsheetml/2006/main" count="426" uniqueCount="131">
  <si>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</si>
  <si>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</si>
  <si>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</si>
  <si>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</si>
  <si>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</si>
  <si>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</si>
  <si>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</si>
  <si>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</si>
  <si>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</si>
  <si>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</si>
  <si>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</si>
  <si>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</si>
  <si>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</si>
  <si>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</si>
  <si>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</si>
  <si>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</si>
  <si>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</si>
  <si>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</si>
  <si>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</si>
  <si>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</si>
  <si>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</si>
  <si>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</si>
  <si>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</si>
  <si>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</si>
  <si>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</si>
  <si>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</si>
  <si>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</si>
  <si>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</si>
  <si>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</si>
  <si>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</si>
  <si>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</si>
  <si>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</si>
  <si>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</si>
  <si>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</si>
  <si>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</si>
  <si>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M456</t>
  </si>
  <si>
    <t>M491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</si>
  <si>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</si>
  <si>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</si>
  <si>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</si>
  <si>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</si>
  <si>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</si>
  <si>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</si>
  <si>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</si>
  <si>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</si>
  <si>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</si>
  <si>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</si>
  <si>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</si>
  <si>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</si>
  <si>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</si>
  <si>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Toplam</t>
  </si>
  <si>
    <t>M104</t>
  </si>
  <si>
    <t>M116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</si>
  <si>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</si>
  <si>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</si>
  <si>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</si>
  <si>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</si>
  <si>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</si>
  <si>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</si>
  <si>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</si>
  <si>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</si>
  <si>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</si>
  <si>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</si>
  <si>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</si>
  <si>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</si>
  <si>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</si>
  <si>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</si>
  <si>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</si>
  <si>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</si>
  <si>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</si>
  <si>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</si>
  <si>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</si>
  <si>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</si>
  <si>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</si>
  <si>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</si>
  <si>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</si>
  <si>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</si>
  <si>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</si>
  <si>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</si>
  <si>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</si>
  <si>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</si>
  <si>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</si>
  <si>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</si>
  <si>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</si>
  <si>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</si>
  <si>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</si>
  <si>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</si>
  <si>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</si>
  <si>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</si>
  <si>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</si>
  <si>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</si>
  <si>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</si>
  <si>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</si>
  <si>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</si>
  <si>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</si>
  <si>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</si>
  <si>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</si>
  <si>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</si>
  <si>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</si>
  <si>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</si>
  <si>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</si>
  <si>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</si>
  <si>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</si>
  <si>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</si>
  <si>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</si>
  <si>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</si>
  <si>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</si>
  <si>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</si>
  <si>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</si>
  <si>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2023 Aylık Ortalama</t>
  </si>
  <si>
    <t>Ortalama Çap
(mm)</t>
  </si>
  <si>
    <t>Ortalama Aylık Üretilen Uzunluk
(m)</t>
  </si>
  <si>
    <t>Ortalama
Aylık Üretilen Miktar
(kg)</t>
  </si>
  <si>
    <t>Toplam Gerçekleşen Vardiya Miktarı</t>
  </si>
  <si>
    <t>Ortalama Günlük Üretilen Uzunluk
(m)</t>
  </si>
  <si>
    <t>Ortalama
Günlük Üretilen Miktar
(kg)</t>
  </si>
  <si>
    <t>2024 Aylık Ortalama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</si>
  <si>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</si>
  <si>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</si>
  <si>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</si>
  <si>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</si>
  <si>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</si>
  <si>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</si>
  <si>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</si>
  <si>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</si>
  <si>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</si>
  <si>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</si>
  <si>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</si>
  <si>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</si>
  <si>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2025 Aylık Ortalama</t>
  </si>
  <si>
    <t>2026 Aylık 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</si>
</sst>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vertical="center" wrapText="1"/>
    </xf>
    <xf numFmtId="0" fontId="3" fillId="0" borderId="0" xfId="1" applyAlignment="1">
      <alignment vertical="center"/>
    </xf>
    <xf numFmtId="49" fontId="2" fillId="0" borderId="0" xfId="1" applyNumberFormat="1" applyFont="1" applyAlignment="1">
      <alignment horizontal="center"/>
    </xf>
    <xf numFmtId="3" fontId="3" fillId="2" borderId="0" xfId="1" applyNumberFormat="1" applyFill="1"/>
    <xf numFmtId="3" fontId="3" fillId="3" borderId="0" xfId="1" applyNumberFormat="1" applyFill="1"/>
    <xf numFmtId="2" fontId="3" fillId="3" borderId="0" xfId="1" applyNumberFormat="1" applyFill="1"/>
    <xf numFmtId="3" fontId="3" fillId="0" borderId="0" xfId="1" applyNumberFormat="1"/>
    <xf numFmtId="3" fontId="3" fillId="4" borderId="0" xfId="1" applyNumberFormat="1" applyFill="1"/>
    <xf numFmtId="4" fontId="3" fillId="4" borderId="0" xfId="1" applyNumberFormat="1" applyFill="1"/>
    <xf numFmtId="3" fontId="2" fillId="2" borderId="0" xfId="1" applyNumberFormat="1" applyFont="1" applyFill="1"/>
    <xf numFmtId="0" fontId="2" fillId="0" borderId="0" xfId="1" applyFont="1"/>
    <xf numFmtId="0" fontId="3" fillId="0" borderId="0" xfId="1" applyAlignment="1">
      <alignment horizontal="center"/>
    </xf>
    <xf numFmtId="9" fontId="3" fillId="0" borderId="0" xfId="2" applyFont="1" applyFill="1"/>
    <xf numFmtId="2" fontId="3" fillId="0" borderId="0" xfId="2" applyNumberFormat="1" applyFont="1" applyFill="1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2" fontId="2" fillId="2" borderId="0" xfId="2" applyNumberFormat="1" applyFont="1" applyFill="1"/>
    <xf numFmtId="3" fontId="2" fillId="2" borderId="0" xfId="2" applyNumberFormat="1" applyFont="1" applyFill="1" applyBorder="1"/>
    <xf numFmtId="9" fontId="2" fillId="2" borderId="0" xfId="2" applyFont="1" applyFill="1"/>
    <xf numFmtId="3" fontId="2" fillId="2" borderId="0" xfId="2" applyNumberFormat="1" applyFont="1" applyFill="1"/>
    <xf numFmtId="0" fontId="2" fillId="2" borderId="0" xfId="1" applyFont="1" applyFill="1" applyAlignment="1">
      <alignment horizontal="center"/>
    </xf>
  </cellXfs>
  <cellStyles count="3">
    <cellStyle name="Normal" xfId="0" builtinId="0"/>
    <cellStyle name="Normal 2" xfId="1" xr:uid="{54E630F8-1119-49C1-96CD-67D14AC27434}"/>
    <cellStyle name="Yüzde 2" xfId="2" xr:uid="{84D3FCC6-BF51-44C7-A8B3-68B6CBCF5C91}"/>
  </cellStyles>
  <dxfs count="0"/>
  <tableStyles count="1" defaultTableStyle="TableStyleMedium2" defaultPivotStyle="PivotStyleLight16">
    <tableStyle name="Invisible" pivot="0" table="0" count="0" xr9:uid="{5A48E859-7578-4CD2-8153-E9E8C71225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3A2-38AA-49CC-85C8-C1C6DC7EE1FA}">
  <sheetPr>
    <tabColor theme="9" tint="0.79998168889431442"/>
  </sheetPr>
  <dimension ref="A1:CP125"/>
  <sheetViews>
    <sheetView showGridLines="0" tabSelected="1" zoomScale="80" zoomScaleNormal="80" workbookViewId="0">
      <pane xSplit="1" ySplit="2" topLeftCell="N104" activePane="bottomRight" state="frozen"/>
      <selection pane="topRight" activeCell="B1" sqref="B1"/>
      <selection pane="bottomLeft" activeCell="A3" sqref="A3"/>
      <selection pane="bottomRight" activeCell="AF116" sqref="AF116:AK118"/>
    </sheetView>
  </sheetViews>
  <sheetFormatPr defaultRowHeight="15" x14ac:dyDescent="0.25"/>
  <cols>
    <col min="1" max="1" width="12.140625" style="16" bestFit="1" customWidth="1"/>
    <col min="2" max="2" width="11.85546875" style="3" bestFit="1" customWidth="1"/>
    <col min="3" max="7" width="9.7109375" style="3" customWidth="1"/>
    <col min="8" max="8" width="12.7109375" style="3" bestFit="1" customWidth="1"/>
    <col min="9" max="13" width="9.7109375" style="3" customWidth="1"/>
    <col min="14" max="14" width="12.28515625" style="3" bestFit="1" customWidth="1"/>
    <col min="15" max="19" width="9.7109375" style="3" customWidth="1"/>
    <col min="20" max="20" width="12.28515625" style="3" bestFit="1" customWidth="1"/>
    <col min="21" max="25" width="9.7109375" style="3" customWidth="1"/>
    <col min="26" max="26" width="12.28515625" style="3" bestFit="1" customWidth="1"/>
    <col min="27" max="31" width="9.7109375" style="3" customWidth="1"/>
    <col min="32" max="32" width="12.28515625" style="3" bestFit="1" customWidth="1"/>
    <col min="33" max="37" width="9.7109375" style="3" customWidth="1"/>
    <col min="38" max="38" width="12.28515625" style="3" bestFit="1" customWidth="1"/>
    <col min="39" max="43" width="9.7109375" style="3" customWidth="1"/>
    <col min="44" max="44" width="12.28515625" style="3" bestFit="1" customWidth="1"/>
    <col min="45" max="49" width="9.7109375" style="3" customWidth="1"/>
    <col min="50" max="50" width="12.28515625" style="3" bestFit="1" customWidth="1"/>
    <col min="51" max="55" width="9.7109375" style="3" customWidth="1"/>
    <col min="56" max="56" width="12.42578125" style="3" customWidth="1"/>
    <col min="57" max="61" width="9.7109375" style="3" customWidth="1"/>
    <col min="62" max="62" width="12.28515625" style="3" bestFit="1" customWidth="1"/>
    <col min="63" max="67" width="9.7109375" style="3" customWidth="1"/>
    <col min="68" max="68" width="12.28515625" style="3" bestFit="1" customWidth="1"/>
    <col min="69" max="73" width="9.7109375" style="3" customWidth="1"/>
    <col min="74" max="74" width="12.28515625" style="3" bestFit="1" customWidth="1"/>
    <col min="75" max="79" width="9.7109375" style="3" customWidth="1"/>
    <col min="80" max="80" width="12.28515625" style="3" bestFit="1" customWidth="1"/>
    <col min="81" max="85" width="9.7109375" style="3" customWidth="1"/>
    <col min="86" max="86" width="12.28515625" style="11" bestFit="1" customWidth="1"/>
    <col min="87" max="87" width="9.7109375" style="11" customWidth="1"/>
    <col min="88" max="91" width="9.7109375" style="3" customWidth="1"/>
    <col min="92" max="257" width="8.85546875" style="3"/>
    <col min="258" max="258" width="12.140625" style="3" bestFit="1" customWidth="1"/>
    <col min="259" max="259" width="11.140625" style="3" bestFit="1" customWidth="1"/>
    <col min="260" max="269" width="9.7109375" style="3" customWidth="1"/>
    <col min="270" max="270" width="11.140625" style="3" bestFit="1" customWidth="1"/>
    <col min="271" max="275" width="9.7109375" style="3" customWidth="1"/>
    <col min="276" max="276" width="11.140625" style="3" customWidth="1"/>
    <col min="277" max="281" width="9.7109375" style="3" customWidth="1"/>
    <col min="282" max="282" width="11.140625" style="3" customWidth="1"/>
    <col min="283" max="287" width="9.7109375" style="3" customWidth="1"/>
    <col min="288" max="288" width="11.140625" style="3" customWidth="1"/>
    <col min="289" max="293" width="9.7109375" style="3" customWidth="1"/>
    <col min="294" max="294" width="11.140625" style="3" customWidth="1"/>
    <col min="295" max="299" width="9.7109375" style="3" customWidth="1"/>
    <col min="300" max="300" width="11.140625" style="3" customWidth="1"/>
    <col min="301" max="305" width="9.7109375" style="3" customWidth="1"/>
    <col min="306" max="306" width="11.140625" style="3" customWidth="1"/>
    <col min="307" max="311" width="9.7109375" style="3" customWidth="1"/>
    <col min="312" max="312" width="11.140625" style="3" customWidth="1"/>
    <col min="313" max="317" width="9.7109375" style="3" customWidth="1"/>
    <col min="318" max="318" width="11.140625" style="3" customWidth="1"/>
    <col min="319" max="323" width="9.7109375" style="3" customWidth="1"/>
    <col min="324" max="324" width="11.140625" style="3" customWidth="1"/>
    <col min="325" max="329" width="9.7109375" style="3" customWidth="1"/>
    <col min="330" max="330" width="11.140625" style="3" customWidth="1"/>
    <col min="331" max="335" width="9.7109375" style="3" customWidth="1"/>
    <col min="336" max="336" width="11.140625" style="3" customWidth="1"/>
    <col min="337" max="341" width="9.7109375" style="3" customWidth="1"/>
    <col min="342" max="342" width="11.140625" style="3" customWidth="1"/>
    <col min="343" max="347" width="9.7109375" style="3" customWidth="1"/>
    <col min="348" max="513" width="8.85546875" style="3"/>
    <col min="514" max="514" width="12.140625" style="3" bestFit="1" customWidth="1"/>
    <col min="515" max="515" width="11.140625" style="3" bestFit="1" customWidth="1"/>
    <col min="516" max="525" width="9.7109375" style="3" customWidth="1"/>
    <col min="526" max="526" width="11.140625" style="3" bestFit="1" customWidth="1"/>
    <col min="527" max="531" width="9.7109375" style="3" customWidth="1"/>
    <col min="532" max="532" width="11.140625" style="3" customWidth="1"/>
    <col min="533" max="537" width="9.7109375" style="3" customWidth="1"/>
    <col min="538" max="538" width="11.140625" style="3" customWidth="1"/>
    <col min="539" max="543" width="9.7109375" style="3" customWidth="1"/>
    <col min="544" max="544" width="11.140625" style="3" customWidth="1"/>
    <col min="545" max="549" width="9.7109375" style="3" customWidth="1"/>
    <col min="550" max="550" width="11.140625" style="3" customWidth="1"/>
    <col min="551" max="555" width="9.7109375" style="3" customWidth="1"/>
    <col min="556" max="556" width="11.140625" style="3" customWidth="1"/>
    <col min="557" max="561" width="9.7109375" style="3" customWidth="1"/>
    <col min="562" max="562" width="11.140625" style="3" customWidth="1"/>
    <col min="563" max="567" width="9.7109375" style="3" customWidth="1"/>
    <col min="568" max="568" width="11.140625" style="3" customWidth="1"/>
    <col min="569" max="573" width="9.7109375" style="3" customWidth="1"/>
    <col min="574" max="574" width="11.140625" style="3" customWidth="1"/>
    <col min="575" max="579" width="9.7109375" style="3" customWidth="1"/>
    <col min="580" max="580" width="11.140625" style="3" customWidth="1"/>
    <col min="581" max="585" width="9.7109375" style="3" customWidth="1"/>
    <col min="586" max="586" width="11.140625" style="3" customWidth="1"/>
    <col min="587" max="591" width="9.7109375" style="3" customWidth="1"/>
    <col min="592" max="592" width="11.140625" style="3" customWidth="1"/>
    <col min="593" max="597" width="9.7109375" style="3" customWidth="1"/>
    <col min="598" max="598" width="11.140625" style="3" customWidth="1"/>
    <col min="599" max="603" width="9.7109375" style="3" customWidth="1"/>
    <col min="604" max="769" width="8.85546875" style="3"/>
    <col min="770" max="770" width="12.140625" style="3" bestFit="1" customWidth="1"/>
    <col min="771" max="771" width="11.140625" style="3" bestFit="1" customWidth="1"/>
    <col min="772" max="781" width="9.7109375" style="3" customWidth="1"/>
    <col min="782" max="782" width="11.140625" style="3" bestFit="1" customWidth="1"/>
    <col min="783" max="787" width="9.7109375" style="3" customWidth="1"/>
    <col min="788" max="788" width="11.140625" style="3" customWidth="1"/>
    <col min="789" max="793" width="9.7109375" style="3" customWidth="1"/>
    <col min="794" max="794" width="11.140625" style="3" customWidth="1"/>
    <col min="795" max="799" width="9.7109375" style="3" customWidth="1"/>
    <col min="800" max="800" width="11.140625" style="3" customWidth="1"/>
    <col min="801" max="805" width="9.7109375" style="3" customWidth="1"/>
    <col min="806" max="806" width="11.140625" style="3" customWidth="1"/>
    <col min="807" max="811" width="9.7109375" style="3" customWidth="1"/>
    <col min="812" max="812" width="11.140625" style="3" customWidth="1"/>
    <col min="813" max="817" width="9.7109375" style="3" customWidth="1"/>
    <col min="818" max="818" width="11.140625" style="3" customWidth="1"/>
    <col min="819" max="823" width="9.7109375" style="3" customWidth="1"/>
    <col min="824" max="824" width="11.140625" style="3" customWidth="1"/>
    <col min="825" max="829" width="9.7109375" style="3" customWidth="1"/>
    <col min="830" max="830" width="11.140625" style="3" customWidth="1"/>
    <col min="831" max="835" width="9.7109375" style="3" customWidth="1"/>
    <col min="836" max="836" width="11.140625" style="3" customWidth="1"/>
    <col min="837" max="841" width="9.7109375" style="3" customWidth="1"/>
    <col min="842" max="842" width="11.140625" style="3" customWidth="1"/>
    <col min="843" max="847" width="9.7109375" style="3" customWidth="1"/>
    <col min="848" max="848" width="11.140625" style="3" customWidth="1"/>
    <col min="849" max="853" width="9.7109375" style="3" customWidth="1"/>
    <col min="854" max="854" width="11.140625" style="3" customWidth="1"/>
    <col min="855" max="859" width="9.7109375" style="3" customWidth="1"/>
    <col min="860" max="1025" width="8.85546875" style="3"/>
    <col min="1026" max="1026" width="12.140625" style="3" bestFit="1" customWidth="1"/>
    <col min="1027" max="1027" width="11.140625" style="3" bestFit="1" customWidth="1"/>
    <col min="1028" max="1037" width="9.7109375" style="3" customWidth="1"/>
    <col min="1038" max="1038" width="11.140625" style="3" bestFit="1" customWidth="1"/>
    <col min="1039" max="1043" width="9.7109375" style="3" customWidth="1"/>
    <col min="1044" max="1044" width="11.140625" style="3" customWidth="1"/>
    <col min="1045" max="1049" width="9.7109375" style="3" customWidth="1"/>
    <col min="1050" max="1050" width="11.140625" style="3" customWidth="1"/>
    <col min="1051" max="1055" width="9.7109375" style="3" customWidth="1"/>
    <col min="1056" max="1056" width="11.140625" style="3" customWidth="1"/>
    <col min="1057" max="1061" width="9.7109375" style="3" customWidth="1"/>
    <col min="1062" max="1062" width="11.140625" style="3" customWidth="1"/>
    <col min="1063" max="1067" width="9.7109375" style="3" customWidth="1"/>
    <col min="1068" max="1068" width="11.140625" style="3" customWidth="1"/>
    <col min="1069" max="1073" width="9.7109375" style="3" customWidth="1"/>
    <col min="1074" max="1074" width="11.140625" style="3" customWidth="1"/>
    <col min="1075" max="1079" width="9.7109375" style="3" customWidth="1"/>
    <col min="1080" max="1080" width="11.140625" style="3" customWidth="1"/>
    <col min="1081" max="1085" width="9.7109375" style="3" customWidth="1"/>
    <col min="1086" max="1086" width="11.140625" style="3" customWidth="1"/>
    <col min="1087" max="1091" width="9.7109375" style="3" customWidth="1"/>
    <col min="1092" max="1092" width="11.140625" style="3" customWidth="1"/>
    <col min="1093" max="1097" width="9.7109375" style="3" customWidth="1"/>
    <col min="1098" max="1098" width="11.140625" style="3" customWidth="1"/>
    <col min="1099" max="1103" width="9.7109375" style="3" customWidth="1"/>
    <col min="1104" max="1104" width="11.140625" style="3" customWidth="1"/>
    <col min="1105" max="1109" width="9.7109375" style="3" customWidth="1"/>
    <col min="1110" max="1110" width="11.140625" style="3" customWidth="1"/>
    <col min="1111" max="1115" width="9.7109375" style="3" customWidth="1"/>
    <col min="1116" max="1281" width="8.85546875" style="3"/>
    <col min="1282" max="1282" width="12.140625" style="3" bestFit="1" customWidth="1"/>
    <col min="1283" max="1283" width="11.140625" style="3" bestFit="1" customWidth="1"/>
    <col min="1284" max="1293" width="9.7109375" style="3" customWidth="1"/>
    <col min="1294" max="1294" width="11.140625" style="3" bestFit="1" customWidth="1"/>
    <col min="1295" max="1299" width="9.7109375" style="3" customWidth="1"/>
    <col min="1300" max="1300" width="11.140625" style="3" customWidth="1"/>
    <col min="1301" max="1305" width="9.7109375" style="3" customWidth="1"/>
    <col min="1306" max="1306" width="11.140625" style="3" customWidth="1"/>
    <col min="1307" max="1311" width="9.7109375" style="3" customWidth="1"/>
    <col min="1312" max="1312" width="11.140625" style="3" customWidth="1"/>
    <col min="1313" max="1317" width="9.7109375" style="3" customWidth="1"/>
    <col min="1318" max="1318" width="11.140625" style="3" customWidth="1"/>
    <col min="1319" max="1323" width="9.7109375" style="3" customWidth="1"/>
    <col min="1324" max="1324" width="11.140625" style="3" customWidth="1"/>
    <col min="1325" max="1329" width="9.7109375" style="3" customWidth="1"/>
    <col min="1330" max="1330" width="11.140625" style="3" customWidth="1"/>
    <col min="1331" max="1335" width="9.7109375" style="3" customWidth="1"/>
    <col min="1336" max="1336" width="11.140625" style="3" customWidth="1"/>
    <col min="1337" max="1341" width="9.7109375" style="3" customWidth="1"/>
    <col min="1342" max="1342" width="11.140625" style="3" customWidth="1"/>
    <col min="1343" max="1347" width="9.7109375" style="3" customWidth="1"/>
    <col min="1348" max="1348" width="11.140625" style="3" customWidth="1"/>
    <col min="1349" max="1353" width="9.7109375" style="3" customWidth="1"/>
    <col min="1354" max="1354" width="11.140625" style="3" customWidth="1"/>
    <col min="1355" max="1359" width="9.7109375" style="3" customWidth="1"/>
    <col min="1360" max="1360" width="11.140625" style="3" customWidth="1"/>
    <col min="1361" max="1365" width="9.7109375" style="3" customWidth="1"/>
    <col min="1366" max="1366" width="11.140625" style="3" customWidth="1"/>
    <col min="1367" max="1371" width="9.7109375" style="3" customWidth="1"/>
    <col min="1372" max="1537" width="8.85546875" style="3"/>
    <col min="1538" max="1538" width="12.140625" style="3" bestFit="1" customWidth="1"/>
    <col min="1539" max="1539" width="11.140625" style="3" bestFit="1" customWidth="1"/>
    <col min="1540" max="1549" width="9.7109375" style="3" customWidth="1"/>
    <col min="1550" max="1550" width="11.140625" style="3" bestFit="1" customWidth="1"/>
    <col min="1551" max="1555" width="9.7109375" style="3" customWidth="1"/>
    <col min="1556" max="1556" width="11.140625" style="3" customWidth="1"/>
    <col min="1557" max="1561" width="9.7109375" style="3" customWidth="1"/>
    <col min="1562" max="1562" width="11.140625" style="3" customWidth="1"/>
    <col min="1563" max="1567" width="9.7109375" style="3" customWidth="1"/>
    <col min="1568" max="1568" width="11.140625" style="3" customWidth="1"/>
    <col min="1569" max="1573" width="9.7109375" style="3" customWidth="1"/>
    <col min="1574" max="1574" width="11.140625" style="3" customWidth="1"/>
    <col min="1575" max="1579" width="9.7109375" style="3" customWidth="1"/>
    <col min="1580" max="1580" width="11.140625" style="3" customWidth="1"/>
    <col min="1581" max="1585" width="9.7109375" style="3" customWidth="1"/>
    <col min="1586" max="1586" width="11.140625" style="3" customWidth="1"/>
    <col min="1587" max="1591" width="9.7109375" style="3" customWidth="1"/>
    <col min="1592" max="1592" width="11.140625" style="3" customWidth="1"/>
    <col min="1593" max="1597" width="9.7109375" style="3" customWidth="1"/>
    <col min="1598" max="1598" width="11.140625" style="3" customWidth="1"/>
    <col min="1599" max="1603" width="9.7109375" style="3" customWidth="1"/>
    <col min="1604" max="1604" width="11.140625" style="3" customWidth="1"/>
    <col min="1605" max="1609" width="9.7109375" style="3" customWidth="1"/>
    <col min="1610" max="1610" width="11.140625" style="3" customWidth="1"/>
    <col min="1611" max="1615" width="9.7109375" style="3" customWidth="1"/>
    <col min="1616" max="1616" width="11.140625" style="3" customWidth="1"/>
    <col min="1617" max="1621" width="9.7109375" style="3" customWidth="1"/>
    <col min="1622" max="1622" width="11.140625" style="3" customWidth="1"/>
    <col min="1623" max="1627" width="9.7109375" style="3" customWidth="1"/>
    <col min="1628" max="1793" width="8.85546875" style="3"/>
    <col min="1794" max="1794" width="12.140625" style="3" bestFit="1" customWidth="1"/>
    <col min="1795" max="1795" width="11.140625" style="3" bestFit="1" customWidth="1"/>
    <col min="1796" max="1805" width="9.7109375" style="3" customWidth="1"/>
    <col min="1806" max="1806" width="11.140625" style="3" bestFit="1" customWidth="1"/>
    <col min="1807" max="1811" width="9.7109375" style="3" customWidth="1"/>
    <col min="1812" max="1812" width="11.140625" style="3" customWidth="1"/>
    <col min="1813" max="1817" width="9.7109375" style="3" customWidth="1"/>
    <col min="1818" max="1818" width="11.140625" style="3" customWidth="1"/>
    <col min="1819" max="1823" width="9.7109375" style="3" customWidth="1"/>
    <col min="1824" max="1824" width="11.140625" style="3" customWidth="1"/>
    <col min="1825" max="1829" width="9.7109375" style="3" customWidth="1"/>
    <col min="1830" max="1830" width="11.140625" style="3" customWidth="1"/>
    <col min="1831" max="1835" width="9.7109375" style="3" customWidth="1"/>
    <col min="1836" max="1836" width="11.140625" style="3" customWidth="1"/>
    <col min="1837" max="1841" width="9.7109375" style="3" customWidth="1"/>
    <col min="1842" max="1842" width="11.140625" style="3" customWidth="1"/>
    <col min="1843" max="1847" width="9.7109375" style="3" customWidth="1"/>
    <col min="1848" max="1848" width="11.140625" style="3" customWidth="1"/>
    <col min="1849" max="1853" width="9.7109375" style="3" customWidth="1"/>
    <col min="1854" max="1854" width="11.140625" style="3" customWidth="1"/>
    <col min="1855" max="1859" width="9.7109375" style="3" customWidth="1"/>
    <col min="1860" max="1860" width="11.140625" style="3" customWidth="1"/>
    <col min="1861" max="1865" width="9.7109375" style="3" customWidth="1"/>
    <col min="1866" max="1866" width="11.140625" style="3" customWidth="1"/>
    <col min="1867" max="1871" width="9.7109375" style="3" customWidth="1"/>
    <col min="1872" max="1872" width="11.140625" style="3" customWidth="1"/>
    <col min="1873" max="1877" width="9.7109375" style="3" customWidth="1"/>
    <col min="1878" max="1878" width="11.140625" style="3" customWidth="1"/>
    <col min="1879" max="1883" width="9.7109375" style="3" customWidth="1"/>
    <col min="1884" max="2049" width="8.85546875" style="3"/>
    <col min="2050" max="2050" width="12.140625" style="3" bestFit="1" customWidth="1"/>
    <col min="2051" max="2051" width="11.140625" style="3" bestFit="1" customWidth="1"/>
    <col min="2052" max="2061" width="9.7109375" style="3" customWidth="1"/>
    <col min="2062" max="2062" width="11.140625" style="3" bestFit="1" customWidth="1"/>
    <col min="2063" max="2067" width="9.7109375" style="3" customWidth="1"/>
    <col min="2068" max="2068" width="11.140625" style="3" customWidth="1"/>
    <col min="2069" max="2073" width="9.7109375" style="3" customWidth="1"/>
    <col min="2074" max="2074" width="11.140625" style="3" customWidth="1"/>
    <col min="2075" max="2079" width="9.7109375" style="3" customWidth="1"/>
    <col min="2080" max="2080" width="11.140625" style="3" customWidth="1"/>
    <col min="2081" max="2085" width="9.7109375" style="3" customWidth="1"/>
    <col min="2086" max="2086" width="11.140625" style="3" customWidth="1"/>
    <col min="2087" max="2091" width="9.7109375" style="3" customWidth="1"/>
    <col min="2092" max="2092" width="11.140625" style="3" customWidth="1"/>
    <col min="2093" max="2097" width="9.7109375" style="3" customWidth="1"/>
    <col min="2098" max="2098" width="11.140625" style="3" customWidth="1"/>
    <col min="2099" max="2103" width="9.7109375" style="3" customWidth="1"/>
    <col min="2104" max="2104" width="11.140625" style="3" customWidth="1"/>
    <col min="2105" max="2109" width="9.7109375" style="3" customWidth="1"/>
    <col min="2110" max="2110" width="11.140625" style="3" customWidth="1"/>
    <col min="2111" max="2115" width="9.7109375" style="3" customWidth="1"/>
    <col min="2116" max="2116" width="11.140625" style="3" customWidth="1"/>
    <col min="2117" max="2121" width="9.7109375" style="3" customWidth="1"/>
    <col min="2122" max="2122" width="11.140625" style="3" customWidth="1"/>
    <col min="2123" max="2127" width="9.7109375" style="3" customWidth="1"/>
    <col min="2128" max="2128" width="11.140625" style="3" customWidth="1"/>
    <col min="2129" max="2133" width="9.7109375" style="3" customWidth="1"/>
    <col min="2134" max="2134" width="11.140625" style="3" customWidth="1"/>
    <col min="2135" max="2139" width="9.7109375" style="3" customWidth="1"/>
    <col min="2140" max="2305" width="8.85546875" style="3"/>
    <col min="2306" max="2306" width="12.140625" style="3" bestFit="1" customWidth="1"/>
    <col min="2307" max="2307" width="11.140625" style="3" bestFit="1" customWidth="1"/>
    <col min="2308" max="2317" width="9.7109375" style="3" customWidth="1"/>
    <col min="2318" max="2318" width="11.140625" style="3" bestFit="1" customWidth="1"/>
    <col min="2319" max="2323" width="9.7109375" style="3" customWidth="1"/>
    <col min="2324" max="2324" width="11.140625" style="3" customWidth="1"/>
    <col min="2325" max="2329" width="9.7109375" style="3" customWidth="1"/>
    <col min="2330" max="2330" width="11.140625" style="3" customWidth="1"/>
    <col min="2331" max="2335" width="9.7109375" style="3" customWidth="1"/>
    <col min="2336" max="2336" width="11.140625" style="3" customWidth="1"/>
    <col min="2337" max="2341" width="9.7109375" style="3" customWidth="1"/>
    <col min="2342" max="2342" width="11.140625" style="3" customWidth="1"/>
    <col min="2343" max="2347" width="9.7109375" style="3" customWidth="1"/>
    <col min="2348" max="2348" width="11.140625" style="3" customWidth="1"/>
    <col min="2349" max="2353" width="9.7109375" style="3" customWidth="1"/>
    <col min="2354" max="2354" width="11.140625" style="3" customWidth="1"/>
    <col min="2355" max="2359" width="9.7109375" style="3" customWidth="1"/>
    <col min="2360" max="2360" width="11.140625" style="3" customWidth="1"/>
    <col min="2361" max="2365" width="9.7109375" style="3" customWidth="1"/>
    <col min="2366" max="2366" width="11.140625" style="3" customWidth="1"/>
    <col min="2367" max="2371" width="9.7109375" style="3" customWidth="1"/>
    <col min="2372" max="2372" width="11.140625" style="3" customWidth="1"/>
    <col min="2373" max="2377" width="9.7109375" style="3" customWidth="1"/>
    <col min="2378" max="2378" width="11.140625" style="3" customWidth="1"/>
    <col min="2379" max="2383" width="9.7109375" style="3" customWidth="1"/>
    <col min="2384" max="2384" width="11.140625" style="3" customWidth="1"/>
    <col min="2385" max="2389" width="9.7109375" style="3" customWidth="1"/>
    <col min="2390" max="2390" width="11.140625" style="3" customWidth="1"/>
    <col min="2391" max="2395" width="9.7109375" style="3" customWidth="1"/>
    <col min="2396" max="2561" width="8.85546875" style="3"/>
    <col min="2562" max="2562" width="12.140625" style="3" bestFit="1" customWidth="1"/>
    <col min="2563" max="2563" width="11.140625" style="3" bestFit="1" customWidth="1"/>
    <col min="2564" max="2573" width="9.7109375" style="3" customWidth="1"/>
    <col min="2574" max="2574" width="11.140625" style="3" bestFit="1" customWidth="1"/>
    <col min="2575" max="2579" width="9.7109375" style="3" customWidth="1"/>
    <col min="2580" max="2580" width="11.140625" style="3" customWidth="1"/>
    <col min="2581" max="2585" width="9.7109375" style="3" customWidth="1"/>
    <col min="2586" max="2586" width="11.140625" style="3" customWidth="1"/>
    <col min="2587" max="2591" width="9.7109375" style="3" customWidth="1"/>
    <col min="2592" max="2592" width="11.140625" style="3" customWidth="1"/>
    <col min="2593" max="2597" width="9.7109375" style="3" customWidth="1"/>
    <col min="2598" max="2598" width="11.140625" style="3" customWidth="1"/>
    <col min="2599" max="2603" width="9.7109375" style="3" customWidth="1"/>
    <col min="2604" max="2604" width="11.140625" style="3" customWidth="1"/>
    <col min="2605" max="2609" width="9.7109375" style="3" customWidth="1"/>
    <col min="2610" max="2610" width="11.140625" style="3" customWidth="1"/>
    <col min="2611" max="2615" width="9.7109375" style="3" customWidth="1"/>
    <col min="2616" max="2616" width="11.140625" style="3" customWidth="1"/>
    <col min="2617" max="2621" width="9.7109375" style="3" customWidth="1"/>
    <col min="2622" max="2622" width="11.140625" style="3" customWidth="1"/>
    <col min="2623" max="2627" width="9.7109375" style="3" customWidth="1"/>
    <col min="2628" max="2628" width="11.140625" style="3" customWidth="1"/>
    <col min="2629" max="2633" width="9.7109375" style="3" customWidth="1"/>
    <col min="2634" max="2634" width="11.140625" style="3" customWidth="1"/>
    <col min="2635" max="2639" width="9.7109375" style="3" customWidth="1"/>
    <col min="2640" max="2640" width="11.140625" style="3" customWidth="1"/>
    <col min="2641" max="2645" width="9.7109375" style="3" customWidth="1"/>
    <col min="2646" max="2646" width="11.140625" style="3" customWidth="1"/>
    <col min="2647" max="2651" width="9.7109375" style="3" customWidth="1"/>
    <col min="2652" max="2817" width="8.85546875" style="3"/>
    <col min="2818" max="2818" width="12.140625" style="3" bestFit="1" customWidth="1"/>
    <col min="2819" max="2819" width="11.140625" style="3" bestFit="1" customWidth="1"/>
    <col min="2820" max="2829" width="9.7109375" style="3" customWidth="1"/>
    <col min="2830" max="2830" width="11.140625" style="3" bestFit="1" customWidth="1"/>
    <col min="2831" max="2835" width="9.7109375" style="3" customWidth="1"/>
    <col min="2836" max="2836" width="11.140625" style="3" customWidth="1"/>
    <col min="2837" max="2841" width="9.7109375" style="3" customWidth="1"/>
    <col min="2842" max="2842" width="11.140625" style="3" customWidth="1"/>
    <col min="2843" max="2847" width="9.7109375" style="3" customWidth="1"/>
    <col min="2848" max="2848" width="11.140625" style="3" customWidth="1"/>
    <col min="2849" max="2853" width="9.7109375" style="3" customWidth="1"/>
    <col min="2854" max="2854" width="11.140625" style="3" customWidth="1"/>
    <col min="2855" max="2859" width="9.7109375" style="3" customWidth="1"/>
    <col min="2860" max="2860" width="11.140625" style="3" customWidth="1"/>
    <col min="2861" max="2865" width="9.7109375" style="3" customWidth="1"/>
    <col min="2866" max="2866" width="11.140625" style="3" customWidth="1"/>
    <col min="2867" max="2871" width="9.7109375" style="3" customWidth="1"/>
    <col min="2872" max="2872" width="11.140625" style="3" customWidth="1"/>
    <col min="2873" max="2877" width="9.7109375" style="3" customWidth="1"/>
    <col min="2878" max="2878" width="11.140625" style="3" customWidth="1"/>
    <col min="2879" max="2883" width="9.7109375" style="3" customWidth="1"/>
    <col min="2884" max="2884" width="11.140625" style="3" customWidth="1"/>
    <col min="2885" max="2889" width="9.7109375" style="3" customWidth="1"/>
    <col min="2890" max="2890" width="11.140625" style="3" customWidth="1"/>
    <col min="2891" max="2895" width="9.7109375" style="3" customWidth="1"/>
    <col min="2896" max="2896" width="11.140625" style="3" customWidth="1"/>
    <col min="2897" max="2901" width="9.7109375" style="3" customWidth="1"/>
    <col min="2902" max="2902" width="11.140625" style="3" customWidth="1"/>
    <col min="2903" max="2907" width="9.7109375" style="3" customWidth="1"/>
    <col min="2908" max="3073" width="8.85546875" style="3"/>
    <col min="3074" max="3074" width="12.140625" style="3" bestFit="1" customWidth="1"/>
    <col min="3075" max="3075" width="11.140625" style="3" bestFit="1" customWidth="1"/>
    <col min="3076" max="3085" width="9.7109375" style="3" customWidth="1"/>
    <col min="3086" max="3086" width="11.140625" style="3" bestFit="1" customWidth="1"/>
    <col min="3087" max="3091" width="9.7109375" style="3" customWidth="1"/>
    <col min="3092" max="3092" width="11.140625" style="3" customWidth="1"/>
    <col min="3093" max="3097" width="9.7109375" style="3" customWidth="1"/>
    <col min="3098" max="3098" width="11.140625" style="3" customWidth="1"/>
    <col min="3099" max="3103" width="9.7109375" style="3" customWidth="1"/>
    <col min="3104" max="3104" width="11.140625" style="3" customWidth="1"/>
    <col min="3105" max="3109" width="9.7109375" style="3" customWidth="1"/>
    <col min="3110" max="3110" width="11.140625" style="3" customWidth="1"/>
    <col min="3111" max="3115" width="9.7109375" style="3" customWidth="1"/>
    <col min="3116" max="3116" width="11.140625" style="3" customWidth="1"/>
    <col min="3117" max="3121" width="9.7109375" style="3" customWidth="1"/>
    <col min="3122" max="3122" width="11.140625" style="3" customWidth="1"/>
    <col min="3123" max="3127" width="9.7109375" style="3" customWidth="1"/>
    <col min="3128" max="3128" width="11.140625" style="3" customWidth="1"/>
    <col min="3129" max="3133" width="9.7109375" style="3" customWidth="1"/>
    <col min="3134" max="3134" width="11.140625" style="3" customWidth="1"/>
    <col min="3135" max="3139" width="9.7109375" style="3" customWidth="1"/>
    <col min="3140" max="3140" width="11.140625" style="3" customWidth="1"/>
    <col min="3141" max="3145" width="9.7109375" style="3" customWidth="1"/>
    <col min="3146" max="3146" width="11.140625" style="3" customWidth="1"/>
    <col min="3147" max="3151" width="9.7109375" style="3" customWidth="1"/>
    <col min="3152" max="3152" width="11.140625" style="3" customWidth="1"/>
    <col min="3153" max="3157" width="9.7109375" style="3" customWidth="1"/>
    <col min="3158" max="3158" width="11.140625" style="3" customWidth="1"/>
    <col min="3159" max="3163" width="9.7109375" style="3" customWidth="1"/>
    <col min="3164" max="3329" width="8.85546875" style="3"/>
    <col min="3330" max="3330" width="12.140625" style="3" bestFit="1" customWidth="1"/>
    <col min="3331" max="3331" width="11.140625" style="3" bestFit="1" customWidth="1"/>
    <col min="3332" max="3341" width="9.7109375" style="3" customWidth="1"/>
    <col min="3342" max="3342" width="11.140625" style="3" bestFit="1" customWidth="1"/>
    <col min="3343" max="3347" width="9.7109375" style="3" customWidth="1"/>
    <col min="3348" max="3348" width="11.140625" style="3" customWidth="1"/>
    <col min="3349" max="3353" width="9.7109375" style="3" customWidth="1"/>
    <col min="3354" max="3354" width="11.140625" style="3" customWidth="1"/>
    <col min="3355" max="3359" width="9.7109375" style="3" customWidth="1"/>
    <col min="3360" max="3360" width="11.140625" style="3" customWidth="1"/>
    <col min="3361" max="3365" width="9.7109375" style="3" customWidth="1"/>
    <col min="3366" max="3366" width="11.140625" style="3" customWidth="1"/>
    <col min="3367" max="3371" width="9.7109375" style="3" customWidth="1"/>
    <col min="3372" max="3372" width="11.140625" style="3" customWidth="1"/>
    <col min="3373" max="3377" width="9.7109375" style="3" customWidth="1"/>
    <col min="3378" max="3378" width="11.140625" style="3" customWidth="1"/>
    <col min="3379" max="3383" width="9.7109375" style="3" customWidth="1"/>
    <col min="3384" max="3384" width="11.140625" style="3" customWidth="1"/>
    <col min="3385" max="3389" width="9.7109375" style="3" customWidth="1"/>
    <col min="3390" max="3390" width="11.140625" style="3" customWidth="1"/>
    <col min="3391" max="3395" width="9.7109375" style="3" customWidth="1"/>
    <col min="3396" max="3396" width="11.140625" style="3" customWidth="1"/>
    <col min="3397" max="3401" width="9.7109375" style="3" customWidth="1"/>
    <col min="3402" max="3402" width="11.140625" style="3" customWidth="1"/>
    <col min="3403" max="3407" width="9.7109375" style="3" customWidth="1"/>
    <col min="3408" max="3408" width="11.140625" style="3" customWidth="1"/>
    <col min="3409" max="3413" width="9.7109375" style="3" customWidth="1"/>
    <col min="3414" max="3414" width="11.140625" style="3" customWidth="1"/>
    <col min="3415" max="3419" width="9.7109375" style="3" customWidth="1"/>
    <col min="3420" max="3585" width="8.85546875" style="3"/>
    <col min="3586" max="3586" width="12.140625" style="3" bestFit="1" customWidth="1"/>
    <col min="3587" max="3587" width="11.140625" style="3" bestFit="1" customWidth="1"/>
    <col min="3588" max="3597" width="9.7109375" style="3" customWidth="1"/>
    <col min="3598" max="3598" width="11.140625" style="3" bestFit="1" customWidth="1"/>
    <col min="3599" max="3603" width="9.7109375" style="3" customWidth="1"/>
    <col min="3604" max="3604" width="11.140625" style="3" customWidth="1"/>
    <col min="3605" max="3609" width="9.7109375" style="3" customWidth="1"/>
    <col min="3610" max="3610" width="11.140625" style="3" customWidth="1"/>
    <col min="3611" max="3615" width="9.7109375" style="3" customWidth="1"/>
    <col min="3616" max="3616" width="11.140625" style="3" customWidth="1"/>
    <col min="3617" max="3621" width="9.7109375" style="3" customWidth="1"/>
    <col min="3622" max="3622" width="11.140625" style="3" customWidth="1"/>
    <col min="3623" max="3627" width="9.7109375" style="3" customWidth="1"/>
    <col min="3628" max="3628" width="11.140625" style="3" customWidth="1"/>
    <col min="3629" max="3633" width="9.7109375" style="3" customWidth="1"/>
    <col min="3634" max="3634" width="11.140625" style="3" customWidth="1"/>
    <col min="3635" max="3639" width="9.7109375" style="3" customWidth="1"/>
    <col min="3640" max="3640" width="11.140625" style="3" customWidth="1"/>
    <col min="3641" max="3645" width="9.7109375" style="3" customWidth="1"/>
    <col min="3646" max="3646" width="11.140625" style="3" customWidth="1"/>
    <col min="3647" max="3651" width="9.7109375" style="3" customWidth="1"/>
    <col min="3652" max="3652" width="11.140625" style="3" customWidth="1"/>
    <col min="3653" max="3657" width="9.7109375" style="3" customWidth="1"/>
    <col min="3658" max="3658" width="11.140625" style="3" customWidth="1"/>
    <col min="3659" max="3663" width="9.7109375" style="3" customWidth="1"/>
    <col min="3664" max="3664" width="11.140625" style="3" customWidth="1"/>
    <col min="3665" max="3669" width="9.7109375" style="3" customWidth="1"/>
    <col min="3670" max="3670" width="11.140625" style="3" customWidth="1"/>
    <col min="3671" max="3675" width="9.7109375" style="3" customWidth="1"/>
    <col min="3676" max="3841" width="8.85546875" style="3"/>
    <col min="3842" max="3842" width="12.140625" style="3" bestFit="1" customWidth="1"/>
    <col min="3843" max="3843" width="11.140625" style="3" bestFit="1" customWidth="1"/>
    <col min="3844" max="3853" width="9.7109375" style="3" customWidth="1"/>
    <col min="3854" max="3854" width="11.140625" style="3" bestFit="1" customWidth="1"/>
    <col min="3855" max="3859" width="9.7109375" style="3" customWidth="1"/>
    <col min="3860" max="3860" width="11.140625" style="3" customWidth="1"/>
    <col min="3861" max="3865" width="9.7109375" style="3" customWidth="1"/>
    <col min="3866" max="3866" width="11.140625" style="3" customWidth="1"/>
    <col min="3867" max="3871" width="9.7109375" style="3" customWidth="1"/>
    <col min="3872" max="3872" width="11.140625" style="3" customWidth="1"/>
    <col min="3873" max="3877" width="9.7109375" style="3" customWidth="1"/>
    <col min="3878" max="3878" width="11.140625" style="3" customWidth="1"/>
    <col min="3879" max="3883" width="9.7109375" style="3" customWidth="1"/>
    <col min="3884" max="3884" width="11.140625" style="3" customWidth="1"/>
    <col min="3885" max="3889" width="9.7109375" style="3" customWidth="1"/>
    <col min="3890" max="3890" width="11.140625" style="3" customWidth="1"/>
    <col min="3891" max="3895" width="9.7109375" style="3" customWidth="1"/>
    <col min="3896" max="3896" width="11.140625" style="3" customWidth="1"/>
    <col min="3897" max="3901" width="9.7109375" style="3" customWidth="1"/>
    <col min="3902" max="3902" width="11.140625" style="3" customWidth="1"/>
    <col min="3903" max="3907" width="9.7109375" style="3" customWidth="1"/>
    <col min="3908" max="3908" width="11.140625" style="3" customWidth="1"/>
    <col min="3909" max="3913" width="9.7109375" style="3" customWidth="1"/>
    <col min="3914" max="3914" width="11.140625" style="3" customWidth="1"/>
    <col min="3915" max="3919" width="9.7109375" style="3" customWidth="1"/>
    <col min="3920" max="3920" width="11.140625" style="3" customWidth="1"/>
    <col min="3921" max="3925" width="9.7109375" style="3" customWidth="1"/>
    <col min="3926" max="3926" width="11.140625" style="3" customWidth="1"/>
    <col min="3927" max="3931" width="9.7109375" style="3" customWidth="1"/>
    <col min="3932" max="4097" width="8.85546875" style="3"/>
    <col min="4098" max="4098" width="12.140625" style="3" bestFit="1" customWidth="1"/>
    <col min="4099" max="4099" width="11.140625" style="3" bestFit="1" customWidth="1"/>
    <col min="4100" max="4109" width="9.7109375" style="3" customWidth="1"/>
    <col min="4110" max="4110" width="11.140625" style="3" bestFit="1" customWidth="1"/>
    <col min="4111" max="4115" width="9.7109375" style="3" customWidth="1"/>
    <col min="4116" max="4116" width="11.140625" style="3" customWidth="1"/>
    <col min="4117" max="4121" width="9.7109375" style="3" customWidth="1"/>
    <col min="4122" max="4122" width="11.140625" style="3" customWidth="1"/>
    <col min="4123" max="4127" width="9.7109375" style="3" customWidth="1"/>
    <col min="4128" max="4128" width="11.140625" style="3" customWidth="1"/>
    <col min="4129" max="4133" width="9.7109375" style="3" customWidth="1"/>
    <col min="4134" max="4134" width="11.140625" style="3" customWidth="1"/>
    <col min="4135" max="4139" width="9.7109375" style="3" customWidth="1"/>
    <col min="4140" max="4140" width="11.140625" style="3" customWidth="1"/>
    <col min="4141" max="4145" width="9.7109375" style="3" customWidth="1"/>
    <col min="4146" max="4146" width="11.140625" style="3" customWidth="1"/>
    <col min="4147" max="4151" width="9.7109375" style="3" customWidth="1"/>
    <col min="4152" max="4152" width="11.140625" style="3" customWidth="1"/>
    <col min="4153" max="4157" width="9.7109375" style="3" customWidth="1"/>
    <col min="4158" max="4158" width="11.140625" style="3" customWidth="1"/>
    <col min="4159" max="4163" width="9.7109375" style="3" customWidth="1"/>
    <col min="4164" max="4164" width="11.140625" style="3" customWidth="1"/>
    <col min="4165" max="4169" width="9.7109375" style="3" customWidth="1"/>
    <col min="4170" max="4170" width="11.140625" style="3" customWidth="1"/>
    <col min="4171" max="4175" width="9.7109375" style="3" customWidth="1"/>
    <col min="4176" max="4176" width="11.140625" style="3" customWidth="1"/>
    <col min="4177" max="4181" width="9.7109375" style="3" customWidth="1"/>
    <col min="4182" max="4182" width="11.140625" style="3" customWidth="1"/>
    <col min="4183" max="4187" width="9.7109375" style="3" customWidth="1"/>
    <col min="4188" max="4353" width="8.85546875" style="3"/>
    <col min="4354" max="4354" width="12.140625" style="3" bestFit="1" customWidth="1"/>
    <col min="4355" max="4355" width="11.140625" style="3" bestFit="1" customWidth="1"/>
    <col min="4356" max="4365" width="9.7109375" style="3" customWidth="1"/>
    <col min="4366" max="4366" width="11.140625" style="3" bestFit="1" customWidth="1"/>
    <col min="4367" max="4371" width="9.7109375" style="3" customWidth="1"/>
    <col min="4372" max="4372" width="11.140625" style="3" customWidth="1"/>
    <col min="4373" max="4377" width="9.7109375" style="3" customWidth="1"/>
    <col min="4378" max="4378" width="11.140625" style="3" customWidth="1"/>
    <col min="4379" max="4383" width="9.7109375" style="3" customWidth="1"/>
    <col min="4384" max="4384" width="11.140625" style="3" customWidth="1"/>
    <col min="4385" max="4389" width="9.7109375" style="3" customWidth="1"/>
    <col min="4390" max="4390" width="11.140625" style="3" customWidth="1"/>
    <col min="4391" max="4395" width="9.7109375" style="3" customWidth="1"/>
    <col min="4396" max="4396" width="11.140625" style="3" customWidth="1"/>
    <col min="4397" max="4401" width="9.7109375" style="3" customWidth="1"/>
    <col min="4402" max="4402" width="11.140625" style="3" customWidth="1"/>
    <col min="4403" max="4407" width="9.7109375" style="3" customWidth="1"/>
    <col min="4408" max="4408" width="11.140625" style="3" customWidth="1"/>
    <col min="4409" max="4413" width="9.7109375" style="3" customWidth="1"/>
    <col min="4414" max="4414" width="11.140625" style="3" customWidth="1"/>
    <col min="4415" max="4419" width="9.7109375" style="3" customWidth="1"/>
    <col min="4420" max="4420" width="11.140625" style="3" customWidth="1"/>
    <col min="4421" max="4425" width="9.7109375" style="3" customWidth="1"/>
    <col min="4426" max="4426" width="11.140625" style="3" customWidth="1"/>
    <col min="4427" max="4431" width="9.7109375" style="3" customWidth="1"/>
    <col min="4432" max="4432" width="11.140625" style="3" customWidth="1"/>
    <col min="4433" max="4437" width="9.7109375" style="3" customWidth="1"/>
    <col min="4438" max="4438" width="11.140625" style="3" customWidth="1"/>
    <col min="4439" max="4443" width="9.7109375" style="3" customWidth="1"/>
    <col min="4444" max="4609" width="8.85546875" style="3"/>
    <col min="4610" max="4610" width="12.140625" style="3" bestFit="1" customWidth="1"/>
    <col min="4611" max="4611" width="11.140625" style="3" bestFit="1" customWidth="1"/>
    <col min="4612" max="4621" width="9.7109375" style="3" customWidth="1"/>
    <col min="4622" max="4622" width="11.140625" style="3" bestFit="1" customWidth="1"/>
    <col min="4623" max="4627" width="9.7109375" style="3" customWidth="1"/>
    <col min="4628" max="4628" width="11.140625" style="3" customWidth="1"/>
    <col min="4629" max="4633" width="9.7109375" style="3" customWidth="1"/>
    <col min="4634" max="4634" width="11.140625" style="3" customWidth="1"/>
    <col min="4635" max="4639" width="9.7109375" style="3" customWidth="1"/>
    <col min="4640" max="4640" width="11.140625" style="3" customWidth="1"/>
    <col min="4641" max="4645" width="9.7109375" style="3" customWidth="1"/>
    <col min="4646" max="4646" width="11.140625" style="3" customWidth="1"/>
    <col min="4647" max="4651" width="9.7109375" style="3" customWidth="1"/>
    <col min="4652" max="4652" width="11.140625" style="3" customWidth="1"/>
    <col min="4653" max="4657" width="9.7109375" style="3" customWidth="1"/>
    <col min="4658" max="4658" width="11.140625" style="3" customWidth="1"/>
    <col min="4659" max="4663" width="9.7109375" style="3" customWidth="1"/>
    <col min="4664" max="4664" width="11.140625" style="3" customWidth="1"/>
    <col min="4665" max="4669" width="9.7109375" style="3" customWidth="1"/>
    <col min="4670" max="4670" width="11.140625" style="3" customWidth="1"/>
    <col min="4671" max="4675" width="9.7109375" style="3" customWidth="1"/>
    <col min="4676" max="4676" width="11.140625" style="3" customWidth="1"/>
    <col min="4677" max="4681" width="9.7109375" style="3" customWidth="1"/>
    <col min="4682" max="4682" width="11.140625" style="3" customWidth="1"/>
    <col min="4683" max="4687" width="9.7109375" style="3" customWidth="1"/>
    <col min="4688" max="4688" width="11.140625" style="3" customWidth="1"/>
    <col min="4689" max="4693" width="9.7109375" style="3" customWidth="1"/>
    <col min="4694" max="4694" width="11.140625" style="3" customWidth="1"/>
    <col min="4695" max="4699" width="9.7109375" style="3" customWidth="1"/>
    <col min="4700" max="4865" width="8.85546875" style="3"/>
    <col min="4866" max="4866" width="12.140625" style="3" bestFit="1" customWidth="1"/>
    <col min="4867" max="4867" width="11.140625" style="3" bestFit="1" customWidth="1"/>
    <col min="4868" max="4877" width="9.7109375" style="3" customWidth="1"/>
    <col min="4878" max="4878" width="11.140625" style="3" bestFit="1" customWidth="1"/>
    <col min="4879" max="4883" width="9.7109375" style="3" customWidth="1"/>
    <col min="4884" max="4884" width="11.140625" style="3" customWidth="1"/>
    <col min="4885" max="4889" width="9.7109375" style="3" customWidth="1"/>
    <col min="4890" max="4890" width="11.140625" style="3" customWidth="1"/>
    <col min="4891" max="4895" width="9.7109375" style="3" customWidth="1"/>
    <col min="4896" max="4896" width="11.140625" style="3" customWidth="1"/>
    <col min="4897" max="4901" width="9.7109375" style="3" customWidth="1"/>
    <col min="4902" max="4902" width="11.140625" style="3" customWidth="1"/>
    <col min="4903" max="4907" width="9.7109375" style="3" customWidth="1"/>
    <col min="4908" max="4908" width="11.140625" style="3" customWidth="1"/>
    <col min="4909" max="4913" width="9.7109375" style="3" customWidth="1"/>
    <col min="4914" max="4914" width="11.140625" style="3" customWidth="1"/>
    <col min="4915" max="4919" width="9.7109375" style="3" customWidth="1"/>
    <col min="4920" max="4920" width="11.140625" style="3" customWidth="1"/>
    <col min="4921" max="4925" width="9.7109375" style="3" customWidth="1"/>
    <col min="4926" max="4926" width="11.140625" style="3" customWidth="1"/>
    <col min="4927" max="4931" width="9.7109375" style="3" customWidth="1"/>
    <col min="4932" max="4932" width="11.140625" style="3" customWidth="1"/>
    <col min="4933" max="4937" width="9.7109375" style="3" customWidth="1"/>
    <col min="4938" max="4938" width="11.140625" style="3" customWidth="1"/>
    <col min="4939" max="4943" width="9.7109375" style="3" customWidth="1"/>
    <col min="4944" max="4944" width="11.140625" style="3" customWidth="1"/>
    <col min="4945" max="4949" width="9.7109375" style="3" customWidth="1"/>
    <col min="4950" max="4950" width="11.140625" style="3" customWidth="1"/>
    <col min="4951" max="4955" width="9.7109375" style="3" customWidth="1"/>
    <col min="4956" max="5121" width="8.85546875" style="3"/>
    <col min="5122" max="5122" width="12.140625" style="3" bestFit="1" customWidth="1"/>
    <col min="5123" max="5123" width="11.140625" style="3" bestFit="1" customWidth="1"/>
    <col min="5124" max="5133" width="9.7109375" style="3" customWidth="1"/>
    <col min="5134" max="5134" width="11.140625" style="3" bestFit="1" customWidth="1"/>
    <col min="5135" max="5139" width="9.7109375" style="3" customWidth="1"/>
    <col min="5140" max="5140" width="11.140625" style="3" customWidth="1"/>
    <col min="5141" max="5145" width="9.7109375" style="3" customWidth="1"/>
    <col min="5146" max="5146" width="11.140625" style="3" customWidth="1"/>
    <col min="5147" max="5151" width="9.7109375" style="3" customWidth="1"/>
    <col min="5152" max="5152" width="11.140625" style="3" customWidth="1"/>
    <col min="5153" max="5157" width="9.7109375" style="3" customWidth="1"/>
    <col min="5158" max="5158" width="11.140625" style="3" customWidth="1"/>
    <col min="5159" max="5163" width="9.7109375" style="3" customWidth="1"/>
    <col min="5164" max="5164" width="11.140625" style="3" customWidth="1"/>
    <col min="5165" max="5169" width="9.7109375" style="3" customWidth="1"/>
    <col min="5170" max="5170" width="11.140625" style="3" customWidth="1"/>
    <col min="5171" max="5175" width="9.7109375" style="3" customWidth="1"/>
    <col min="5176" max="5176" width="11.140625" style="3" customWidth="1"/>
    <col min="5177" max="5181" width="9.7109375" style="3" customWidth="1"/>
    <col min="5182" max="5182" width="11.140625" style="3" customWidth="1"/>
    <col min="5183" max="5187" width="9.7109375" style="3" customWidth="1"/>
    <col min="5188" max="5188" width="11.140625" style="3" customWidth="1"/>
    <col min="5189" max="5193" width="9.7109375" style="3" customWidth="1"/>
    <col min="5194" max="5194" width="11.140625" style="3" customWidth="1"/>
    <col min="5195" max="5199" width="9.7109375" style="3" customWidth="1"/>
    <col min="5200" max="5200" width="11.140625" style="3" customWidth="1"/>
    <col min="5201" max="5205" width="9.7109375" style="3" customWidth="1"/>
    <col min="5206" max="5206" width="11.140625" style="3" customWidth="1"/>
    <col min="5207" max="5211" width="9.7109375" style="3" customWidth="1"/>
    <col min="5212" max="5377" width="8.85546875" style="3"/>
    <col min="5378" max="5378" width="12.140625" style="3" bestFit="1" customWidth="1"/>
    <col min="5379" max="5379" width="11.140625" style="3" bestFit="1" customWidth="1"/>
    <col min="5380" max="5389" width="9.7109375" style="3" customWidth="1"/>
    <col min="5390" max="5390" width="11.140625" style="3" bestFit="1" customWidth="1"/>
    <col min="5391" max="5395" width="9.7109375" style="3" customWidth="1"/>
    <col min="5396" max="5396" width="11.140625" style="3" customWidth="1"/>
    <col min="5397" max="5401" width="9.7109375" style="3" customWidth="1"/>
    <col min="5402" max="5402" width="11.140625" style="3" customWidth="1"/>
    <col min="5403" max="5407" width="9.7109375" style="3" customWidth="1"/>
    <col min="5408" max="5408" width="11.140625" style="3" customWidth="1"/>
    <col min="5409" max="5413" width="9.7109375" style="3" customWidth="1"/>
    <col min="5414" max="5414" width="11.140625" style="3" customWidth="1"/>
    <col min="5415" max="5419" width="9.7109375" style="3" customWidth="1"/>
    <col min="5420" max="5420" width="11.140625" style="3" customWidth="1"/>
    <col min="5421" max="5425" width="9.7109375" style="3" customWidth="1"/>
    <col min="5426" max="5426" width="11.140625" style="3" customWidth="1"/>
    <col min="5427" max="5431" width="9.7109375" style="3" customWidth="1"/>
    <col min="5432" max="5432" width="11.140625" style="3" customWidth="1"/>
    <col min="5433" max="5437" width="9.7109375" style="3" customWidth="1"/>
    <col min="5438" max="5438" width="11.140625" style="3" customWidth="1"/>
    <col min="5439" max="5443" width="9.7109375" style="3" customWidth="1"/>
    <col min="5444" max="5444" width="11.140625" style="3" customWidth="1"/>
    <col min="5445" max="5449" width="9.7109375" style="3" customWidth="1"/>
    <col min="5450" max="5450" width="11.140625" style="3" customWidth="1"/>
    <col min="5451" max="5455" width="9.7109375" style="3" customWidth="1"/>
    <col min="5456" max="5456" width="11.140625" style="3" customWidth="1"/>
    <col min="5457" max="5461" width="9.7109375" style="3" customWidth="1"/>
    <col min="5462" max="5462" width="11.140625" style="3" customWidth="1"/>
    <col min="5463" max="5467" width="9.7109375" style="3" customWidth="1"/>
    <col min="5468" max="5633" width="8.85546875" style="3"/>
    <col min="5634" max="5634" width="12.140625" style="3" bestFit="1" customWidth="1"/>
    <col min="5635" max="5635" width="11.140625" style="3" bestFit="1" customWidth="1"/>
    <col min="5636" max="5645" width="9.7109375" style="3" customWidth="1"/>
    <col min="5646" max="5646" width="11.140625" style="3" bestFit="1" customWidth="1"/>
    <col min="5647" max="5651" width="9.7109375" style="3" customWidth="1"/>
    <col min="5652" max="5652" width="11.140625" style="3" customWidth="1"/>
    <col min="5653" max="5657" width="9.7109375" style="3" customWidth="1"/>
    <col min="5658" max="5658" width="11.140625" style="3" customWidth="1"/>
    <col min="5659" max="5663" width="9.7109375" style="3" customWidth="1"/>
    <col min="5664" max="5664" width="11.140625" style="3" customWidth="1"/>
    <col min="5665" max="5669" width="9.7109375" style="3" customWidth="1"/>
    <col min="5670" max="5670" width="11.140625" style="3" customWidth="1"/>
    <col min="5671" max="5675" width="9.7109375" style="3" customWidth="1"/>
    <col min="5676" max="5676" width="11.140625" style="3" customWidth="1"/>
    <col min="5677" max="5681" width="9.7109375" style="3" customWidth="1"/>
    <col min="5682" max="5682" width="11.140625" style="3" customWidth="1"/>
    <col min="5683" max="5687" width="9.7109375" style="3" customWidth="1"/>
    <col min="5688" max="5688" width="11.140625" style="3" customWidth="1"/>
    <col min="5689" max="5693" width="9.7109375" style="3" customWidth="1"/>
    <col min="5694" max="5694" width="11.140625" style="3" customWidth="1"/>
    <col min="5695" max="5699" width="9.7109375" style="3" customWidth="1"/>
    <col min="5700" max="5700" width="11.140625" style="3" customWidth="1"/>
    <col min="5701" max="5705" width="9.7109375" style="3" customWidth="1"/>
    <col min="5706" max="5706" width="11.140625" style="3" customWidth="1"/>
    <col min="5707" max="5711" width="9.7109375" style="3" customWidth="1"/>
    <col min="5712" max="5712" width="11.140625" style="3" customWidth="1"/>
    <col min="5713" max="5717" width="9.7109375" style="3" customWidth="1"/>
    <col min="5718" max="5718" width="11.140625" style="3" customWidth="1"/>
    <col min="5719" max="5723" width="9.7109375" style="3" customWidth="1"/>
    <col min="5724" max="5889" width="8.85546875" style="3"/>
    <col min="5890" max="5890" width="12.140625" style="3" bestFit="1" customWidth="1"/>
    <col min="5891" max="5891" width="11.140625" style="3" bestFit="1" customWidth="1"/>
    <col min="5892" max="5901" width="9.7109375" style="3" customWidth="1"/>
    <col min="5902" max="5902" width="11.140625" style="3" bestFit="1" customWidth="1"/>
    <col min="5903" max="5907" width="9.7109375" style="3" customWidth="1"/>
    <col min="5908" max="5908" width="11.140625" style="3" customWidth="1"/>
    <col min="5909" max="5913" width="9.7109375" style="3" customWidth="1"/>
    <col min="5914" max="5914" width="11.140625" style="3" customWidth="1"/>
    <col min="5915" max="5919" width="9.7109375" style="3" customWidth="1"/>
    <col min="5920" max="5920" width="11.140625" style="3" customWidth="1"/>
    <col min="5921" max="5925" width="9.7109375" style="3" customWidth="1"/>
    <col min="5926" max="5926" width="11.140625" style="3" customWidth="1"/>
    <col min="5927" max="5931" width="9.7109375" style="3" customWidth="1"/>
    <col min="5932" max="5932" width="11.140625" style="3" customWidth="1"/>
    <col min="5933" max="5937" width="9.7109375" style="3" customWidth="1"/>
    <col min="5938" max="5938" width="11.140625" style="3" customWidth="1"/>
    <col min="5939" max="5943" width="9.7109375" style="3" customWidth="1"/>
    <col min="5944" max="5944" width="11.140625" style="3" customWidth="1"/>
    <col min="5945" max="5949" width="9.7109375" style="3" customWidth="1"/>
    <col min="5950" max="5950" width="11.140625" style="3" customWidth="1"/>
    <col min="5951" max="5955" width="9.7109375" style="3" customWidth="1"/>
    <col min="5956" max="5956" width="11.140625" style="3" customWidth="1"/>
    <col min="5957" max="5961" width="9.7109375" style="3" customWidth="1"/>
    <col min="5962" max="5962" width="11.140625" style="3" customWidth="1"/>
    <col min="5963" max="5967" width="9.7109375" style="3" customWidth="1"/>
    <col min="5968" max="5968" width="11.140625" style="3" customWidth="1"/>
    <col min="5969" max="5973" width="9.7109375" style="3" customWidth="1"/>
    <col min="5974" max="5974" width="11.140625" style="3" customWidth="1"/>
    <col min="5975" max="5979" width="9.7109375" style="3" customWidth="1"/>
    <col min="5980" max="6145" width="8.85546875" style="3"/>
    <col min="6146" max="6146" width="12.140625" style="3" bestFit="1" customWidth="1"/>
    <col min="6147" max="6147" width="11.140625" style="3" bestFit="1" customWidth="1"/>
    <col min="6148" max="6157" width="9.7109375" style="3" customWidth="1"/>
    <col min="6158" max="6158" width="11.140625" style="3" bestFit="1" customWidth="1"/>
    <col min="6159" max="6163" width="9.7109375" style="3" customWidth="1"/>
    <col min="6164" max="6164" width="11.140625" style="3" customWidth="1"/>
    <col min="6165" max="6169" width="9.7109375" style="3" customWidth="1"/>
    <col min="6170" max="6170" width="11.140625" style="3" customWidth="1"/>
    <col min="6171" max="6175" width="9.7109375" style="3" customWidth="1"/>
    <col min="6176" max="6176" width="11.140625" style="3" customWidth="1"/>
    <col min="6177" max="6181" width="9.7109375" style="3" customWidth="1"/>
    <col min="6182" max="6182" width="11.140625" style="3" customWidth="1"/>
    <col min="6183" max="6187" width="9.7109375" style="3" customWidth="1"/>
    <col min="6188" max="6188" width="11.140625" style="3" customWidth="1"/>
    <col min="6189" max="6193" width="9.7109375" style="3" customWidth="1"/>
    <col min="6194" max="6194" width="11.140625" style="3" customWidth="1"/>
    <col min="6195" max="6199" width="9.7109375" style="3" customWidth="1"/>
    <col min="6200" max="6200" width="11.140625" style="3" customWidth="1"/>
    <col min="6201" max="6205" width="9.7109375" style="3" customWidth="1"/>
    <col min="6206" max="6206" width="11.140625" style="3" customWidth="1"/>
    <col min="6207" max="6211" width="9.7109375" style="3" customWidth="1"/>
    <col min="6212" max="6212" width="11.140625" style="3" customWidth="1"/>
    <col min="6213" max="6217" width="9.7109375" style="3" customWidth="1"/>
    <col min="6218" max="6218" width="11.140625" style="3" customWidth="1"/>
    <col min="6219" max="6223" width="9.7109375" style="3" customWidth="1"/>
    <col min="6224" max="6224" width="11.140625" style="3" customWidth="1"/>
    <col min="6225" max="6229" width="9.7109375" style="3" customWidth="1"/>
    <col min="6230" max="6230" width="11.140625" style="3" customWidth="1"/>
    <col min="6231" max="6235" width="9.7109375" style="3" customWidth="1"/>
    <col min="6236" max="6401" width="8.85546875" style="3"/>
    <col min="6402" max="6402" width="12.140625" style="3" bestFit="1" customWidth="1"/>
    <col min="6403" max="6403" width="11.140625" style="3" bestFit="1" customWidth="1"/>
    <col min="6404" max="6413" width="9.7109375" style="3" customWidth="1"/>
    <col min="6414" max="6414" width="11.140625" style="3" bestFit="1" customWidth="1"/>
    <col min="6415" max="6419" width="9.7109375" style="3" customWidth="1"/>
    <col min="6420" max="6420" width="11.140625" style="3" customWidth="1"/>
    <col min="6421" max="6425" width="9.7109375" style="3" customWidth="1"/>
    <col min="6426" max="6426" width="11.140625" style="3" customWidth="1"/>
    <col min="6427" max="6431" width="9.7109375" style="3" customWidth="1"/>
    <col min="6432" max="6432" width="11.140625" style="3" customWidth="1"/>
    <col min="6433" max="6437" width="9.7109375" style="3" customWidth="1"/>
    <col min="6438" max="6438" width="11.140625" style="3" customWidth="1"/>
    <col min="6439" max="6443" width="9.7109375" style="3" customWidth="1"/>
    <col min="6444" max="6444" width="11.140625" style="3" customWidth="1"/>
    <col min="6445" max="6449" width="9.7109375" style="3" customWidth="1"/>
    <col min="6450" max="6450" width="11.140625" style="3" customWidth="1"/>
    <col min="6451" max="6455" width="9.7109375" style="3" customWidth="1"/>
    <col min="6456" max="6456" width="11.140625" style="3" customWidth="1"/>
    <col min="6457" max="6461" width="9.7109375" style="3" customWidth="1"/>
    <col min="6462" max="6462" width="11.140625" style="3" customWidth="1"/>
    <col min="6463" max="6467" width="9.7109375" style="3" customWidth="1"/>
    <col min="6468" max="6468" width="11.140625" style="3" customWidth="1"/>
    <col min="6469" max="6473" width="9.7109375" style="3" customWidth="1"/>
    <col min="6474" max="6474" width="11.140625" style="3" customWidth="1"/>
    <col min="6475" max="6479" width="9.7109375" style="3" customWidth="1"/>
    <col min="6480" max="6480" width="11.140625" style="3" customWidth="1"/>
    <col min="6481" max="6485" width="9.7109375" style="3" customWidth="1"/>
    <col min="6486" max="6486" width="11.140625" style="3" customWidth="1"/>
    <col min="6487" max="6491" width="9.7109375" style="3" customWidth="1"/>
    <col min="6492" max="6657" width="8.85546875" style="3"/>
    <col min="6658" max="6658" width="12.140625" style="3" bestFit="1" customWidth="1"/>
    <col min="6659" max="6659" width="11.140625" style="3" bestFit="1" customWidth="1"/>
    <col min="6660" max="6669" width="9.7109375" style="3" customWidth="1"/>
    <col min="6670" max="6670" width="11.140625" style="3" bestFit="1" customWidth="1"/>
    <col min="6671" max="6675" width="9.7109375" style="3" customWidth="1"/>
    <col min="6676" max="6676" width="11.140625" style="3" customWidth="1"/>
    <col min="6677" max="6681" width="9.7109375" style="3" customWidth="1"/>
    <col min="6682" max="6682" width="11.140625" style="3" customWidth="1"/>
    <col min="6683" max="6687" width="9.7109375" style="3" customWidth="1"/>
    <col min="6688" max="6688" width="11.140625" style="3" customWidth="1"/>
    <col min="6689" max="6693" width="9.7109375" style="3" customWidth="1"/>
    <col min="6694" max="6694" width="11.140625" style="3" customWidth="1"/>
    <col min="6695" max="6699" width="9.7109375" style="3" customWidth="1"/>
    <col min="6700" max="6700" width="11.140625" style="3" customWidth="1"/>
    <col min="6701" max="6705" width="9.7109375" style="3" customWidth="1"/>
    <col min="6706" max="6706" width="11.140625" style="3" customWidth="1"/>
    <col min="6707" max="6711" width="9.7109375" style="3" customWidth="1"/>
    <col min="6712" max="6712" width="11.140625" style="3" customWidth="1"/>
    <col min="6713" max="6717" width="9.7109375" style="3" customWidth="1"/>
    <col min="6718" max="6718" width="11.140625" style="3" customWidth="1"/>
    <col min="6719" max="6723" width="9.7109375" style="3" customWidth="1"/>
    <col min="6724" max="6724" width="11.140625" style="3" customWidth="1"/>
    <col min="6725" max="6729" width="9.7109375" style="3" customWidth="1"/>
    <col min="6730" max="6730" width="11.140625" style="3" customWidth="1"/>
    <col min="6731" max="6735" width="9.7109375" style="3" customWidth="1"/>
    <col min="6736" max="6736" width="11.140625" style="3" customWidth="1"/>
    <col min="6737" max="6741" width="9.7109375" style="3" customWidth="1"/>
    <col min="6742" max="6742" width="11.140625" style="3" customWidth="1"/>
    <col min="6743" max="6747" width="9.7109375" style="3" customWidth="1"/>
    <col min="6748" max="6913" width="8.85546875" style="3"/>
    <col min="6914" max="6914" width="12.140625" style="3" bestFit="1" customWidth="1"/>
    <col min="6915" max="6915" width="11.140625" style="3" bestFit="1" customWidth="1"/>
    <col min="6916" max="6925" width="9.7109375" style="3" customWidth="1"/>
    <col min="6926" max="6926" width="11.140625" style="3" bestFit="1" customWidth="1"/>
    <col min="6927" max="6931" width="9.7109375" style="3" customWidth="1"/>
    <col min="6932" max="6932" width="11.140625" style="3" customWidth="1"/>
    <col min="6933" max="6937" width="9.7109375" style="3" customWidth="1"/>
    <col min="6938" max="6938" width="11.140625" style="3" customWidth="1"/>
    <col min="6939" max="6943" width="9.7109375" style="3" customWidth="1"/>
    <col min="6944" max="6944" width="11.140625" style="3" customWidth="1"/>
    <col min="6945" max="6949" width="9.7109375" style="3" customWidth="1"/>
    <col min="6950" max="6950" width="11.140625" style="3" customWidth="1"/>
    <col min="6951" max="6955" width="9.7109375" style="3" customWidth="1"/>
    <col min="6956" max="6956" width="11.140625" style="3" customWidth="1"/>
    <col min="6957" max="6961" width="9.7109375" style="3" customWidth="1"/>
    <col min="6962" max="6962" width="11.140625" style="3" customWidth="1"/>
    <col min="6963" max="6967" width="9.7109375" style="3" customWidth="1"/>
    <col min="6968" max="6968" width="11.140625" style="3" customWidth="1"/>
    <col min="6969" max="6973" width="9.7109375" style="3" customWidth="1"/>
    <col min="6974" max="6974" width="11.140625" style="3" customWidth="1"/>
    <col min="6975" max="6979" width="9.7109375" style="3" customWidth="1"/>
    <col min="6980" max="6980" width="11.140625" style="3" customWidth="1"/>
    <col min="6981" max="6985" width="9.7109375" style="3" customWidth="1"/>
    <col min="6986" max="6986" width="11.140625" style="3" customWidth="1"/>
    <col min="6987" max="6991" width="9.7109375" style="3" customWidth="1"/>
    <col min="6992" max="6992" width="11.140625" style="3" customWidth="1"/>
    <col min="6993" max="6997" width="9.7109375" style="3" customWidth="1"/>
    <col min="6998" max="6998" width="11.140625" style="3" customWidth="1"/>
    <col min="6999" max="7003" width="9.7109375" style="3" customWidth="1"/>
    <col min="7004" max="7169" width="8.85546875" style="3"/>
    <col min="7170" max="7170" width="12.140625" style="3" bestFit="1" customWidth="1"/>
    <col min="7171" max="7171" width="11.140625" style="3" bestFit="1" customWidth="1"/>
    <col min="7172" max="7181" width="9.7109375" style="3" customWidth="1"/>
    <col min="7182" max="7182" width="11.140625" style="3" bestFit="1" customWidth="1"/>
    <col min="7183" max="7187" width="9.7109375" style="3" customWidth="1"/>
    <col min="7188" max="7188" width="11.140625" style="3" customWidth="1"/>
    <col min="7189" max="7193" width="9.7109375" style="3" customWidth="1"/>
    <col min="7194" max="7194" width="11.140625" style="3" customWidth="1"/>
    <col min="7195" max="7199" width="9.7109375" style="3" customWidth="1"/>
    <col min="7200" max="7200" width="11.140625" style="3" customWidth="1"/>
    <col min="7201" max="7205" width="9.7109375" style="3" customWidth="1"/>
    <col min="7206" max="7206" width="11.140625" style="3" customWidth="1"/>
    <col min="7207" max="7211" width="9.7109375" style="3" customWidth="1"/>
    <col min="7212" max="7212" width="11.140625" style="3" customWidth="1"/>
    <col min="7213" max="7217" width="9.7109375" style="3" customWidth="1"/>
    <col min="7218" max="7218" width="11.140625" style="3" customWidth="1"/>
    <col min="7219" max="7223" width="9.7109375" style="3" customWidth="1"/>
    <col min="7224" max="7224" width="11.140625" style="3" customWidth="1"/>
    <col min="7225" max="7229" width="9.7109375" style="3" customWidth="1"/>
    <col min="7230" max="7230" width="11.140625" style="3" customWidth="1"/>
    <col min="7231" max="7235" width="9.7109375" style="3" customWidth="1"/>
    <col min="7236" max="7236" width="11.140625" style="3" customWidth="1"/>
    <col min="7237" max="7241" width="9.7109375" style="3" customWidth="1"/>
    <col min="7242" max="7242" width="11.140625" style="3" customWidth="1"/>
    <col min="7243" max="7247" width="9.7109375" style="3" customWidth="1"/>
    <col min="7248" max="7248" width="11.140625" style="3" customWidth="1"/>
    <col min="7249" max="7253" width="9.7109375" style="3" customWidth="1"/>
    <col min="7254" max="7254" width="11.140625" style="3" customWidth="1"/>
    <col min="7255" max="7259" width="9.7109375" style="3" customWidth="1"/>
    <col min="7260" max="7425" width="8.85546875" style="3"/>
    <col min="7426" max="7426" width="12.140625" style="3" bestFit="1" customWidth="1"/>
    <col min="7427" max="7427" width="11.140625" style="3" bestFit="1" customWidth="1"/>
    <col min="7428" max="7437" width="9.7109375" style="3" customWidth="1"/>
    <col min="7438" max="7438" width="11.140625" style="3" bestFit="1" customWidth="1"/>
    <col min="7439" max="7443" width="9.7109375" style="3" customWidth="1"/>
    <col min="7444" max="7444" width="11.140625" style="3" customWidth="1"/>
    <col min="7445" max="7449" width="9.7109375" style="3" customWidth="1"/>
    <col min="7450" max="7450" width="11.140625" style="3" customWidth="1"/>
    <col min="7451" max="7455" width="9.7109375" style="3" customWidth="1"/>
    <col min="7456" max="7456" width="11.140625" style="3" customWidth="1"/>
    <col min="7457" max="7461" width="9.7109375" style="3" customWidth="1"/>
    <col min="7462" max="7462" width="11.140625" style="3" customWidth="1"/>
    <col min="7463" max="7467" width="9.7109375" style="3" customWidth="1"/>
    <col min="7468" max="7468" width="11.140625" style="3" customWidth="1"/>
    <col min="7469" max="7473" width="9.7109375" style="3" customWidth="1"/>
    <col min="7474" max="7474" width="11.140625" style="3" customWidth="1"/>
    <col min="7475" max="7479" width="9.7109375" style="3" customWidth="1"/>
    <col min="7480" max="7480" width="11.140625" style="3" customWidth="1"/>
    <col min="7481" max="7485" width="9.7109375" style="3" customWidth="1"/>
    <col min="7486" max="7486" width="11.140625" style="3" customWidth="1"/>
    <col min="7487" max="7491" width="9.7109375" style="3" customWidth="1"/>
    <col min="7492" max="7492" width="11.140625" style="3" customWidth="1"/>
    <col min="7493" max="7497" width="9.7109375" style="3" customWidth="1"/>
    <col min="7498" max="7498" width="11.140625" style="3" customWidth="1"/>
    <col min="7499" max="7503" width="9.7109375" style="3" customWidth="1"/>
    <col min="7504" max="7504" width="11.140625" style="3" customWidth="1"/>
    <col min="7505" max="7509" width="9.7109375" style="3" customWidth="1"/>
    <col min="7510" max="7510" width="11.140625" style="3" customWidth="1"/>
    <col min="7511" max="7515" width="9.7109375" style="3" customWidth="1"/>
    <col min="7516" max="7681" width="8.85546875" style="3"/>
    <col min="7682" max="7682" width="12.140625" style="3" bestFit="1" customWidth="1"/>
    <col min="7683" max="7683" width="11.140625" style="3" bestFit="1" customWidth="1"/>
    <col min="7684" max="7693" width="9.7109375" style="3" customWidth="1"/>
    <col min="7694" max="7694" width="11.140625" style="3" bestFit="1" customWidth="1"/>
    <col min="7695" max="7699" width="9.7109375" style="3" customWidth="1"/>
    <col min="7700" max="7700" width="11.140625" style="3" customWidth="1"/>
    <col min="7701" max="7705" width="9.7109375" style="3" customWidth="1"/>
    <col min="7706" max="7706" width="11.140625" style="3" customWidth="1"/>
    <col min="7707" max="7711" width="9.7109375" style="3" customWidth="1"/>
    <col min="7712" max="7712" width="11.140625" style="3" customWidth="1"/>
    <col min="7713" max="7717" width="9.7109375" style="3" customWidth="1"/>
    <col min="7718" max="7718" width="11.140625" style="3" customWidth="1"/>
    <col min="7719" max="7723" width="9.7109375" style="3" customWidth="1"/>
    <col min="7724" max="7724" width="11.140625" style="3" customWidth="1"/>
    <col min="7725" max="7729" width="9.7109375" style="3" customWidth="1"/>
    <col min="7730" max="7730" width="11.140625" style="3" customWidth="1"/>
    <col min="7731" max="7735" width="9.7109375" style="3" customWidth="1"/>
    <col min="7736" max="7736" width="11.140625" style="3" customWidth="1"/>
    <col min="7737" max="7741" width="9.7109375" style="3" customWidth="1"/>
    <col min="7742" max="7742" width="11.140625" style="3" customWidth="1"/>
    <col min="7743" max="7747" width="9.7109375" style="3" customWidth="1"/>
    <col min="7748" max="7748" width="11.140625" style="3" customWidth="1"/>
    <col min="7749" max="7753" width="9.7109375" style="3" customWidth="1"/>
    <col min="7754" max="7754" width="11.140625" style="3" customWidth="1"/>
    <col min="7755" max="7759" width="9.7109375" style="3" customWidth="1"/>
    <col min="7760" max="7760" width="11.140625" style="3" customWidth="1"/>
    <col min="7761" max="7765" width="9.7109375" style="3" customWidth="1"/>
    <col min="7766" max="7766" width="11.140625" style="3" customWidth="1"/>
    <col min="7767" max="7771" width="9.7109375" style="3" customWidth="1"/>
    <col min="7772" max="7937" width="8.85546875" style="3"/>
    <col min="7938" max="7938" width="12.140625" style="3" bestFit="1" customWidth="1"/>
    <col min="7939" max="7939" width="11.140625" style="3" bestFit="1" customWidth="1"/>
    <col min="7940" max="7949" width="9.7109375" style="3" customWidth="1"/>
    <col min="7950" max="7950" width="11.140625" style="3" bestFit="1" customWidth="1"/>
    <col min="7951" max="7955" width="9.7109375" style="3" customWidth="1"/>
    <col min="7956" max="7956" width="11.140625" style="3" customWidth="1"/>
    <col min="7957" max="7961" width="9.7109375" style="3" customWidth="1"/>
    <col min="7962" max="7962" width="11.140625" style="3" customWidth="1"/>
    <col min="7963" max="7967" width="9.7109375" style="3" customWidth="1"/>
    <col min="7968" max="7968" width="11.140625" style="3" customWidth="1"/>
    <col min="7969" max="7973" width="9.7109375" style="3" customWidth="1"/>
    <col min="7974" max="7974" width="11.140625" style="3" customWidth="1"/>
    <col min="7975" max="7979" width="9.7109375" style="3" customWidth="1"/>
    <col min="7980" max="7980" width="11.140625" style="3" customWidth="1"/>
    <col min="7981" max="7985" width="9.7109375" style="3" customWidth="1"/>
    <col min="7986" max="7986" width="11.140625" style="3" customWidth="1"/>
    <col min="7987" max="7991" width="9.7109375" style="3" customWidth="1"/>
    <col min="7992" max="7992" width="11.140625" style="3" customWidth="1"/>
    <col min="7993" max="7997" width="9.7109375" style="3" customWidth="1"/>
    <col min="7998" max="7998" width="11.140625" style="3" customWidth="1"/>
    <col min="7999" max="8003" width="9.7109375" style="3" customWidth="1"/>
    <col min="8004" max="8004" width="11.140625" style="3" customWidth="1"/>
    <col min="8005" max="8009" width="9.7109375" style="3" customWidth="1"/>
    <col min="8010" max="8010" width="11.140625" style="3" customWidth="1"/>
    <col min="8011" max="8015" width="9.7109375" style="3" customWidth="1"/>
    <col min="8016" max="8016" width="11.140625" style="3" customWidth="1"/>
    <col min="8017" max="8021" width="9.7109375" style="3" customWidth="1"/>
    <col min="8022" max="8022" width="11.140625" style="3" customWidth="1"/>
    <col min="8023" max="8027" width="9.7109375" style="3" customWidth="1"/>
    <col min="8028" max="8193" width="8.85546875" style="3"/>
    <col min="8194" max="8194" width="12.140625" style="3" bestFit="1" customWidth="1"/>
    <col min="8195" max="8195" width="11.140625" style="3" bestFit="1" customWidth="1"/>
    <col min="8196" max="8205" width="9.7109375" style="3" customWidth="1"/>
    <col min="8206" max="8206" width="11.140625" style="3" bestFit="1" customWidth="1"/>
    <col min="8207" max="8211" width="9.7109375" style="3" customWidth="1"/>
    <col min="8212" max="8212" width="11.140625" style="3" customWidth="1"/>
    <col min="8213" max="8217" width="9.7109375" style="3" customWidth="1"/>
    <col min="8218" max="8218" width="11.140625" style="3" customWidth="1"/>
    <col min="8219" max="8223" width="9.7109375" style="3" customWidth="1"/>
    <col min="8224" max="8224" width="11.140625" style="3" customWidth="1"/>
    <col min="8225" max="8229" width="9.7109375" style="3" customWidth="1"/>
    <col min="8230" max="8230" width="11.140625" style="3" customWidth="1"/>
    <col min="8231" max="8235" width="9.7109375" style="3" customWidth="1"/>
    <col min="8236" max="8236" width="11.140625" style="3" customWidth="1"/>
    <col min="8237" max="8241" width="9.7109375" style="3" customWidth="1"/>
    <col min="8242" max="8242" width="11.140625" style="3" customWidth="1"/>
    <col min="8243" max="8247" width="9.7109375" style="3" customWidth="1"/>
    <col min="8248" max="8248" width="11.140625" style="3" customWidth="1"/>
    <col min="8249" max="8253" width="9.7109375" style="3" customWidth="1"/>
    <col min="8254" max="8254" width="11.140625" style="3" customWidth="1"/>
    <col min="8255" max="8259" width="9.7109375" style="3" customWidth="1"/>
    <col min="8260" max="8260" width="11.140625" style="3" customWidth="1"/>
    <col min="8261" max="8265" width="9.7109375" style="3" customWidth="1"/>
    <col min="8266" max="8266" width="11.140625" style="3" customWidth="1"/>
    <col min="8267" max="8271" width="9.7109375" style="3" customWidth="1"/>
    <col min="8272" max="8272" width="11.140625" style="3" customWidth="1"/>
    <col min="8273" max="8277" width="9.7109375" style="3" customWidth="1"/>
    <col min="8278" max="8278" width="11.140625" style="3" customWidth="1"/>
    <col min="8279" max="8283" width="9.7109375" style="3" customWidth="1"/>
    <col min="8284" max="8449" width="8.85546875" style="3"/>
    <col min="8450" max="8450" width="12.140625" style="3" bestFit="1" customWidth="1"/>
    <col min="8451" max="8451" width="11.140625" style="3" bestFit="1" customWidth="1"/>
    <col min="8452" max="8461" width="9.7109375" style="3" customWidth="1"/>
    <col min="8462" max="8462" width="11.140625" style="3" bestFit="1" customWidth="1"/>
    <col min="8463" max="8467" width="9.7109375" style="3" customWidth="1"/>
    <col min="8468" max="8468" width="11.140625" style="3" customWidth="1"/>
    <col min="8469" max="8473" width="9.7109375" style="3" customWidth="1"/>
    <col min="8474" max="8474" width="11.140625" style="3" customWidth="1"/>
    <col min="8475" max="8479" width="9.7109375" style="3" customWidth="1"/>
    <col min="8480" max="8480" width="11.140625" style="3" customWidth="1"/>
    <col min="8481" max="8485" width="9.7109375" style="3" customWidth="1"/>
    <col min="8486" max="8486" width="11.140625" style="3" customWidth="1"/>
    <col min="8487" max="8491" width="9.7109375" style="3" customWidth="1"/>
    <col min="8492" max="8492" width="11.140625" style="3" customWidth="1"/>
    <col min="8493" max="8497" width="9.7109375" style="3" customWidth="1"/>
    <col min="8498" max="8498" width="11.140625" style="3" customWidth="1"/>
    <col min="8499" max="8503" width="9.7109375" style="3" customWidth="1"/>
    <col min="8504" max="8504" width="11.140625" style="3" customWidth="1"/>
    <col min="8505" max="8509" width="9.7109375" style="3" customWidth="1"/>
    <col min="8510" max="8510" width="11.140625" style="3" customWidth="1"/>
    <col min="8511" max="8515" width="9.7109375" style="3" customWidth="1"/>
    <col min="8516" max="8516" width="11.140625" style="3" customWidth="1"/>
    <col min="8517" max="8521" width="9.7109375" style="3" customWidth="1"/>
    <col min="8522" max="8522" width="11.140625" style="3" customWidth="1"/>
    <col min="8523" max="8527" width="9.7109375" style="3" customWidth="1"/>
    <col min="8528" max="8528" width="11.140625" style="3" customWidth="1"/>
    <col min="8529" max="8533" width="9.7109375" style="3" customWidth="1"/>
    <col min="8534" max="8534" width="11.140625" style="3" customWidth="1"/>
    <col min="8535" max="8539" width="9.7109375" style="3" customWidth="1"/>
    <col min="8540" max="8705" width="8.85546875" style="3"/>
    <col min="8706" max="8706" width="12.140625" style="3" bestFit="1" customWidth="1"/>
    <col min="8707" max="8707" width="11.140625" style="3" bestFit="1" customWidth="1"/>
    <col min="8708" max="8717" width="9.7109375" style="3" customWidth="1"/>
    <col min="8718" max="8718" width="11.140625" style="3" bestFit="1" customWidth="1"/>
    <col min="8719" max="8723" width="9.7109375" style="3" customWidth="1"/>
    <col min="8724" max="8724" width="11.140625" style="3" customWidth="1"/>
    <col min="8725" max="8729" width="9.7109375" style="3" customWidth="1"/>
    <col min="8730" max="8730" width="11.140625" style="3" customWidth="1"/>
    <col min="8731" max="8735" width="9.7109375" style="3" customWidth="1"/>
    <col min="8736" max="8736" width="11.140625" style="3" customWidth="1"/>
    <col min="8737" max="8741" width="9.7109375" style="3" customWidth="1"/>
    <col min="8742" max="8742" width="11.140625" style="3" customWidth="1"/>
    <col min="8743" max="8747" width="9.7109375" style="3" customWidth="1"/>
    <col min="8748" max="8748" width="11.140625" style="3" customWidth="1"/>
    <col min="8749" max="8753" width="9.7109375" style="3" customWidth="1"/>
    <col min="8754" max="8754" width="11.140625" style="3" customWidth="1"/>
    <col min="8755" max="8759" width="9.7109375" style="3" customWidth="1"/>
    <col min="8760" max="8760" width="11.140625" style="3" customWidth="1"/>
    <col min="8761" max="8765" width="9.7109375" style="3" customWidth="1"/>
    <col min="8766" max="8766" width="11.140625" style="3" customWidth="1"/>
    <col min="8767" max="8771" width="9.7109375" style="3" customWidth="1"/>
    <col min="8772" max="8772" width="11.140625" style="3" customWidth="1"/>
    <col min="8773" max="8777" width="9.7109375" style="3" customWidth="1"/>
    <col min="8778" max="8778" width="11.140625" style="3" customWidth="1"/>
    <col min="8779" max="8783" width="9.7109375" style="3" customWidth="1"/>
    <col min="8784" max="8784" width="11.140625" style="3" customWidth="1"/>
    <col min="8785" max="8789" width="9.7109375" style="3" customWidth="1"/>
    <col min="8790" max="8790" width="11.140625" style="3" customWidth="1"/>
    <col min="8791" max="8795" width="9.7109375" style="3" customWidth="1"/>
    <col min="8796" max="8961" width="8.85546875" style="3"/>
    <col min="8962" max="8962" width="12.140625" style="3" bestFit="1" customWidth="1"/>
    <col min="8963" max="8963" width="11.140625" style="3" bestFit="1" customWidth="1"/>
    <col min="8964" max="8973" width="9.7109375" style="3" customWidth="1"/>
    <col min="8974" max="8974" width="11.140625" style="3" bestFit="1" customWidth="1"/>
    <col min="8975" max="8979" width="9.7109375" style="3" customWidth="1"/>
    <col min="8980" max="8980" width="11.140625" style="3" customWidth="1"/>
    <col min="8981" max="8985" width="9.7109375" style="3" customWidth="1"/>
    <col min="8986" max="8986" width="11.140625" style="3" customWidth="1"/>
    <col min="8987" max="8991" width="9.7109375" style="3" customWidth="1"/>
    <col min="8992" max="8992" width="11.140625" style="3" customWidth="1"/>
    <col min="8993" max="8997" width="9.7109375" style="3" customWidth="1"/>
    <col min="8998" max="8998" width="11.140625" style="3" customWidth="1"/>
    <col min="8999" max="9003" width="9.7109375" style="3" customWidth="1"/>
    <col min="9004" max="9004" width="11.140625" style="3" customWidth="1"/>
    <col min="9005" max="9009" width="9.7109375" style="3" customWidth="1"/>
    <col min="9010" max="9010" width="11.140625" style="3" customWidth="1"/>
    <col min="9011" max="9015" width="9.7109375" style="3" customWidth="1"/>
    <col min="9016" max="9016" width="11.140625" style="3" customWidth="1"/>
    <col min="9017" max="9021" width="9.7109375" style="3" customWidth="1"/>
    <col min="9022" max="9022" width="11.140625" style="3" customWidth="1"/>
    <col min="9023" max="9027" width="9.7109375" style="3" customWidth="1"/>
    <col min="9028" max="9028" width="11.140625" style="3" customWidth="1"/>
    <col min="9029" max="9033" width="9.7109375" style="3" customWidth="1"/>
    <col min="9034" max="9034" width="11.140625" style="3" customWidth="1"/>
    <col min="9035" max="9039" width="9.7109375" style="3" customWidth="1"/>
    <col min="9040" max="9040" width="11.140625" style="3" customWidth="1"/>
    <col min="9041" max="9045" width="9.7109375" style="3" customWidth="1"/>
    <col min="9046" max="9046" width="11.140625" style="3" customWidth="1"/>
    <col min="9047" max="9051" width="9.7109375" style="3" customWidth="1"/>
    <col min="9052" max="9217" width="8.85546875" style="3"/>
    <col min="9218" max="9218" width="12.140625" style="3" bestFit="1" customWidth="1"/>
    <col min="9219" max="9219" width="11.140625" style="3" bestFit="1" customWidth="1"/>
    <col min="9220" max="9229" width="9.7109375" style="3" customWidth="1"/>
    <col min="9230" max="9230" width="11.140625" style="3" bestFit="1" customWidth="1"/>
    <col min="9231" max="9235" width="9.7109375" style="3" customWidth="1"/>
    <col min="9236" max="9236" width="11.140625" style="3" customWidth="1"/>
    <col min="9237" max="9241" width="9.7109375" style="3" customWidth="1"/>
    <col min="9242" max="9242" width="11.140625" style="3" customWidth="1"/>
    <col min="9243" max="9247" width="9.7109375" style="3" customWidth="1"/>
    <col min="9248" max="9248" width="11.140625" style="3" customWidth="1"/>
    <col min="9249" max="9253" width="9.7109375" style="3" customWidth="1"/>
    <col min="9254" max="9254" width="11.140625" style="3" customWidth="1"/>
    <col min="9255" max="9259" width="9.7109375" style="3" customWidth="1"/>
    <col min="9260" max="9260" width="11.140625" style="3" customWidth="1"/>
    <col min="9261" max="9265" width="9.7109375" style="3" customWidth="1"/>
    <col min="9266" max="9266" width="11.140625" style="3" customWidth="1"/>
    <col min="9267" max="9271" width="9.7109375" style="3" customWidth="1"/>
    <col min="9272" max="9272" width="11.140625" style="3" customWidth="1"/>
    <col min="9273" max="9277" width="9.7109375" style="3" customWidth="1"/>
    <col min="9278" max="9278" width="11.140625" style="3" customWidth="1"/>
    <col min="9279" max="9283" width="9.7109375" style="3" customWidth="1"/>
    <col min="9284" max="9284" width="11.140625" style="3" customWidth="1"/>
    <col min="9285" max="9289" width="9.7109375" style="3" customWidth="1"/>
    <col min="9290" max="9290" width="11.140625" style="3" customWidth="1"/>
    <col min="9291" max="9295" width="9.7109375" style="3" customWidth="1"/>
    <col min="9296" max="9296" width="11.140625" style="3" customWidth="1"/>
    <col min="9297" max="9301" width="9.7109375" style="3" customWidth="1"/>
    <col min="9302" max="9302" width="11.140625" style="3" customWidth="1"/>
    <col min="9303" max="9307" width="9.7109375" style="3" customWidth="1"/>
    <col min="9308" max="9473" width="8.85546875" style="3"/>
    <col min="9474" max="9474" width="12.140625" style="3" bestFit="1" customWidth="1"/>
    <col min="9475" max="9475" width="11.140625" style="3" bestFit="1" customWidth="1"/>
    <col min="9476" max="9485" width="9.7109375" style="3" customWidth="1"/>
    <col min="9486" max="9486" width="11.140625" style="3" bestFit="1" customWidth="1"/>
    <col min="9487" max="9491" width="9.7109375" style="3" customWidth="1"/>
    <col min="9492" max="9492" width="11.140625" style="3" customWidth="1"/>
    <col min="9493" max="9497" width="9.7109375" style="3" customWidth="1"/>
    <col min="9498" max="9498" width="11.140625" style="3" customWidth="1"/>
    <col min="9499" max="9503" width="9.7109375" style="3" customWidth="1"/>
    <col min="9504" max="9504" width="11.140625" style="3" customWidth="1"/>
    <col min="9505" max="9509" width="9.7109375" style="3" customWidth="1"/>
    <col min="9510" max="9510" width="11.140625" style="3" customWidth="1"/>
    <col min="9511" max="9515" width="9.7109375" style="3" customWidth="1"/>
    <col min="9516" max="9516" width="11.140625" style="3" customWidth="1"/>
    <col min="9517" max="9521" width="9.7109375" style="3" customWidth="1"/>
    <col min="9522" max="9522" width="11.140625" style="3" customWidth="1"/>
    <col min="9523" max="9527" width="9.7109375" style="3" customWidth="1"/>
    <col min="9528" max="9528" width="11.140625" style="3" customWidth="1"/>
    <col min="9529" max="9533" width="9.7109375" style="3" customWidth="1"/>
    <col min="9534" max="9534" width="11.140625" style="3" customWidth="1"/>
    <col min="9535" max="9539" width="9.7109375" style="3" customWidth="1"/>
    <col min="9540" max="9540" width="11.140625" style="3" customWidth="1"/>
    <col min="9541" max="9545" width="9.7109375" style="3" customWidth="1"/>
    <col min="9546" max="9546" width="11.140625" style="3" customWidth="1"/>
    <col min="9547" max="9551" width="9.7109375" style="3" customWidth="1"/>
    <col min="9552" max="9552" width="11.140625" style="3" customWidth="1"/>
    <col min="9553" max="9557" width="9.7109375" style="3" customWidth="1"/>
    <col min="9558" max="9558" width="11.140625" style="3" customWidth="1"/>
    <col min="9559" max="9563" width="9.7109375" style="3" customWidth="1"/>
    <col min="9564" max="9729" width="8.85546875" style="3"/>
    <col min="9730" max="9730" width="12.140625" style="3" bestFit="1" customWidth="1"/>
    <col min="9731" max="9731" width="11.140625" style="3" bestFit="1" customWidth="1"/>
    <col min="9732" max="9741" width="9.7109375" style="3" customWidth="1"/>
    <col min="9742" max="9742" width="11.140625" style="3" bestFit="1" customWidth="1"/>
    <col min="9743" max="9747" width="9.7109375" style="3" customWidth="1"/>
    <col min="9748" max="9748" width="11.140625" style="3" customWidth="1"/>
    <col min="9749" max="9753" width="9.7109375" style="3" customWidth="1"/>
    <col min="9754" max="9754" width="11.140625" style="3" customWidth="1"/>
    <col min="9755" max="9759" width="9.7109375" style="3" customWidth="1"/>
    <col min="9760" max="9760" width="11.140625" style="3" customWidth="1"/>
    <col min="9761" max="9765" width="9.7109375" style="3" customWidth="1"/>
    <col min="9766" max="9766" width="11.140625" style="3" customWidth="1"/>
    <col min="9767" max="9771" width="9.7109375" style="3" customWidth="1"/>
    <col min="9772" max="9772" width="11.140625" style="3" customWidth="1"/>
    <col min="9773" max="9777" width="9.7109375" style="3" customWidth="1"/>
    <col min="9778" max="9778" width="11.140625" style="3" customWidth="1"/>
    <col min="9779" max="9783" width="9.7109375" style="3" customWidth="1"/>
    <col min="9784" max="9784" width="11.140625" style="3" customWidth="1"/>
    <col min="9785" max="9789" width="9.7109375" style="3" customWidth="1"/>
    <col min="9790" max="9790" width="11.140625" style="3" customWidth="1"/>
    <col min="9791" max="9795" width="9.7109375" style="3" customWidth="1"/>
    <col min="9796" max="9796" width="11.140625" style="3" customWidth="1"/>
    <col min="9797" max="9801" width="9.7109375" style="3" customWidth="1"/>
    <col min="9802" max="9802" width="11.140625" style="3" customWidth="1"/>
    <col min="9803" max="9807" width="9.7109375" style="3" customWidth="1"/>
    <col min="9808" max="9808" width="11.140625" style="3" customWidth="1"/>
    <col min="9809" max="9813" width="9.7109375" style="3" customWidth="1"/>
    <col min="9814" max="9814" width="11.140625" style="3" customWidth="1"/>
    <col min="9815" max="9819" width="9.7109375" style="3" customWidth="1"/>
    <col min="9820" max="9985" width="8.85546875" style="3"/>
    <col min="9986" max="9986" width="12.140625" style="3" bestFit="1" customWidth="1"/>
    <col min="9987" max="9987" width="11.140625" style="3" bestFit="1" customWidth="1"/>
    <col min="9988" max="9997" width="9.7109375" style="3" customWidth="1"/>
    <col min="9998" max="9998" width="11.140625" style="3" bestFit="1" customWidth="1"/>
    <col min="9999" max="10003" width="9.7109375" style="3" customWidth="1"/>
    <col min="10004" max="10004" width="11.140625" style="3" customWidth="1"/>
    <col min="10005" max="10009" width="9.7109375" style="3" customWidth="1"/>
    <col min="10010" max="10010" width="11.140625" style="3" customWidth="1"/>
    <col min="10011" max="10015" width="9.7109375" style="3" customWidth="1"/>
    <col min="10016" max="10016" width="11.140625" style="3" customWidth="1"/>
    <col min="10017" max="10021" width="9.7109375" style="3" customWidth="1"/>
    <col min="10022" max="10022" width="11.140625" style="3" customWidth="1"/>
    <col min="10023" max="10027" width="9.7109375" style="3" customWidth="1"/>
    <col min="10028" max="10028" width="11.140625" style="3" customWidth="1"/>
    <col min="10029" max="10033" width="9.7109375" style="3" customWidth="1"/>
    <col min="10034" max="10034" width="11.140625" style="3" customWidth="1"/>
    <col min="10035" max="10039" width="9.7109375" style="3" customWidth="1"/>
    <col min="10040" max="10040" width="11.140625" style="3" customWidth="1"/>
    <col min="10041" max="10045" width="9.7109375" style="3" customWidth="1"/>
    <col min="10046" max="10046" width="11.140625" style="3" customWidth="1"/>
    <col min="10047" max="10051" width="9.7109375" style="3" customWidth="1"/>
    <col min="10052" max="10052" width="11.140625" style="3" customWidth="1"/>
    <col min="10053" max="10057" width="9.7109375" style="3" customWidth="1"/>
    <col min="10058" max="10058" width="11.140625" style="3" customWidth="1"/>
    <col min="10059" max="10063" width="9.7109375" style="3" customWidth="1"/>
    <col min="10064" max="10064" width="11.140625" style="3" customWidth="1"/>
    <col min="10065" max="10069" width="9.7109375" style="3" customWidth="1"/>
    <col min="10070" max="10070" width="11.140625" style="3" customWidth="1"/>
    <col min="10071" max="10075" width="9.7109375" style="3" customWidth="1"/>
    <col min="10076" max="10241" width="8.85546875" style="3"/>
    <col min="10242" max="10242" width="12.140625" style="3" bestFit="1" customWidth="1"/>
    <col min="10243" max="10243" width="11.140625" style="3" bestFit="1" customWidth="1"/>
    <col min="10244" max="10253" width="9.7109375" style="3" customWidth="1"/>
    <col min="10254" max="10254" width="11.140625" style="3" bestFit="1" customWidth="1"/>
    <col min="10255" max="10259" width="9.7109375" style="3" customWidth="1"/>
    <col min="10260" max="10260" width="11.140625" style="3" customWidth="1"/>
    <col min="10261" max="10265" width="9.7109375" style="3" customWidth="1"/>
    <col min="10266" max="10266" width="11.140625" style="3" customWidth="1"/>
    <col min="10267" max="10271" width="9.7109375" style="3" customWidth="1"/>
    <col min="10272" max="10272" width="11.140625" style="3" customWidth="1"/>
    <col min="10273" max="10277" width="9.7109375" style="3" customWidth="1"/>
    <col min="10278" max="10278" width="11.140625" style="3" customWidth="1"/>
    <col min="10279" max="10283" width="9.7109375" style="3" customWidth="1"/>
    <col min="10284" max="10284" width="11.140625" style="3" customWidth="1"/>
    <col min="10285" max="10289" width="9.7109375" style="3" customWidth="1"/>
    <col min="10290" max="10290" width="11.140625" style="3" customWidth="1"/>
    <col min="10291" max="10295" width="9.7109375" style="3" customWidth="1"/>
    <col min="10296" max="10296" width="11.140625" style="3" customWidth="1"/>
    <col min="10297" max="10301" width="9.7109375" style="3" customWidth="1"/>
    <col min="10302" max="10302" width="11.140625" style="3" customWidth="1"/>
    <col min="10303" max="10307" width="9.7109375" style="3" customWidth="1"/>
    <col min="10308" max="10308" width="11.140625" style="3" customWidth="1"/>
    <col min="10309" max="10313" width="9.7109375" style="3" customWidth="1"/>
    <col min="10314" max="10314" width="11.140625" style="3" customWidth="1"/>
    <col min="10315" max="10319" width="9.7109375" style="3" customWidth="1"/>
    <col min="10320" max="10320" width="11.140625" style="3" customWidth="1"/>
    <col min="10321" max="10325" width="9.7109375" style="3" customWidth="1"/>
    <col min="10326" max="10326" width="11.140625" style="3" customWidth="1"/>
    <col min="10327" max="10331" width="9.7109375" style="3" customWidth="1"/>
    <col min="10332" max="10497" width="8.85546875" style="3"/>
    <col min="10498" max="10498" width="12.140625" style="3" bestFit="1" customWidth="1"/>
    <col min="10499" max="10499" width="11.140625" style="3" bestFit="1" customWidth="1"/>
    <col min="10500" max="10509" width="9.7109375" style="3" customWidth="1"/>
    <col min="10510" max="10510" width="11.140625" style="3" bestFit="1" customWidth="1"/>
    <col min="10511" max="10515" width="9.7109375" style="3" customWidth="1"/>
    <col min="10516" max="10516" width="11.140625" style="3" customWidth="1"/>
    <col min="10517" max="10521" width="9.7109375" style="3" customWidth="1"/>
    <col min="10522" max="10522" width="11.140625" style="3" customWidth="1"/>
    <col min="10523" max="10527" width="9.7109375" style="3" customWidth="1"/>
    <col min="10528" max="10528" width="11.140625" style="3" customWidth="1"/>
    <col min="10529" max="10533" width="9.7109375" style="3" customWidth="1"/>
    <col min="10534" max="10534" width="11.140625" style="3" customWidth="1"/>
    <col min="10535" max="10539" width="9.7109375" style="3" customWidth="1"/>
    <col min="10540" max="10540" width="11.140625" style="3" customWidth="1"/>
    <col min="10541" max="10545" width="9.7109375" style="3" customWidth="1"/>
    <col min="10546" max="10546" width="11.140625" style="3" customWidth="1"/>
    <col min="10547" max="10551" width="9.7109375" style="3" customWidth="1"/>
    <col min="10552" max="10552" width="11.140625" style="3" customWidth="1"/>
    <col min="10553" max="10557" width="9.7109375" style="3" customWidth="1"/>
    <col min="10558" max="10558" width="11.140625" style="3" customWidth="1"/>
    <col min="10559" max="10563" width="9.7109375" style="3" customWidth="1"/>
    <col min="10564" max="10564" width="11.140625" style="3" customWidth="1"/>
    <col min="10565" max="10569" width="9.7109375" style="3" customWidth="1"/>
    <col min="10570" max="10570" width="11.140625" style="3" customWidth="1"/>
    <col min="10571" max="10575" width="9.7109375" style="3" customWidth="1"/>
    <col min="10576" max="10576" width="11.140625" style="3" customWidth="1"/>
    <col min="10577" max="10581" width="9.7109375" style="3" customWidth="1"/>
    <col min="10582" max="10582" width="11.140625" style="3" customWidth="1"/>
    <col min="10583" max="10587" width="9.7109375" style="3" customWidth="1"/>
    <col min="10588" max="10753" width="8.85546875" style="3"/>
    <col min="10754" max="10754" width="12.140625" style="3" bestFit="1" customWidth="1"/>
    <col min="10755" max="10755" width="11.140625" style="3" bestFit="1" customWidth="1"/>
    <col min="10756" max="10765" width="9.7109375" style="3" customWidth="1"/>
    <col min="10766" max="10766" width="11.140625" style="3" bestFit="1" customWidth="1"/>
    <col min="10767" max="10771" width="9.7109375" style="3" customWidth="1"/>
    <col min="10772" max="10772" width="11.140625" style="3" customWidth="1"/>
    <col min="10773" max="10777" width="9.7109375" style="3" customWidth="1"/>
    <col min="10778" max="10778" width="11.140625" style="3" customWidth="1"/>
    <col min="10779" max="10783" width="9.7109375" style="3" customWidth="1"/>
    <col min="10784" max="10784" width="11.140625" style="3" customWidth="1"/>
    <col min="10785" max="10789" width="9.7109375" style="3" customWidth="1"/>
    <col min="10790" max="10790" width="11.140625" style="3" customWidth="1"/>
    <col min="10791" max="10795" width="9.7109375" style="3" customWidth="1"/>
    <col min="10796" max="10796" width="11.140625" style="3" customWidth="1"/>
    <col min="10797" max="10801" width="9.7109375" style="3" customWidth="1"/>
    <col min="10802" max="10802" width="11.140625" style="3" customWidth="1"/>
    <col min="10803" max="10807" width="9.7109375" style="3" customWidth="1"/>
    <col min="10808" max="10808" width="11.140625" style="3" customWidth="1"/>
    <col min="10809" max="10813" width="9.7109375" style="3" customWidth="1"/>
    <col min="10814" max="10814" width="11.140625" style="3" customWidth="1"/>
    <col min="10815" max="10819" width="9.7109375" style="3" customWidth="1"/>
    <col min="10820" max="10820" width="11.140625" style="3" customWidth="1"/>
    <col min="10821" max="10825" width="9.7109375" style="3" customWidth="1"/>
    <col min="10826" max="10826" width="11.140625" style="3" customWidth="1"/>
    <col min="10827" max="10831" width="9.7109375" style="3" customWidth="1"/>
    <col min="10832" max="10832" width="11.140625" style="3" customWidth="1"/>
    <col min="10833" max="10837" width="9.7109375" style="3" customWidth="1"/>
    <col min="10838" max="10838" width="11.140625" style="3" customWidth="1"/>
    <col min="10839" max="10843" width="9.7109375" style="3" customWidth="1"/>
    <col min="10844" max="11009" width="8.85546875" style="3"/>
    <col min="11010" max="11010" width="12.140625" style="3" bestFit="1" customWidth="1"/>
    <col min="11011" max="11011" width="11.140625" style="3" bestFit="1" customWidth="1"/>
    <col min="11012" max="11021" width="9.7109375" style="3" customWidth="1"/>
    <col min="11022" max="11022" width="11.140625" style="3" bestFit="1" customWidth="1"/>
    <col min="11023" max="11027" width="9.7109375" style="3" customWidth="1"/>
    <col min="11028" max="11028" width="11.140625" style="3" customWidth="1"/>
    <col min="11029" max="11033" width="9.7109375" style="3" customWidth="1"/>
    <col min="11034" max="11034" width="11.140625" style="3" customWidth="1"/>
    <col min="11035" max="11039" width="9.7109375" style="3" customWidth="1"/>
    <col min="11040" max="11040" width="11.140625" style="3" customWidth="1"/>
    <col min="11041" max="11045" width="9.7109375" style="3" customWidth="1"/>
    <col min="11046" max="11046" width="11.140625" style="3" customWidth="1"/>
    <col min="11047" max="11051" width="9.7109375" style="3" customWidth="1"/>
    <col min="11052" max="11052" width="11.140625" style="3" customWidth="1"/>
    <col min="11053" max="11057" width="9.7109375" style="3" customWidth="1"/>
    <col min="11058" max="11058" width="11.140625" style="3" customWidth="1"/>
    <col min="11059" max="11063" width="9.7109375" style="3" customWidth="1"/>
    <col min="11064" max="11064" width="11.140625" style="3" customWidth="1"/>
    <col min="11065" max="11069" width="9.7109375" style="3" customWidth="1"/>
    <col min="11070" max="11070" width="11.140625" style="3" customWidth="1"/>
    <col min="11071" max="11075" width="9.7109375" style="3" customWidth="1"/>
    <col min="11076" max="11076" width="11.140625" style="3" customWidth="1"/>
    <col min="11077" max="11081" width="9.7109375" style="3" customWidth="1"/>
    <col min="11082" max="11082" width="11.140625" style="3" customWidth="1"/>
    <col min="11083" max="11087" width="9.7109375" style="3" customWidth="1"/>
    <col min="11088" max="11088" width="11.140625" style="3" customWidth="1"/>
    <col min="11089" max="11093" width="9.7109375" style="3" customWidth="1"/>
    <col min="11094" max="11094" width="11.140625" style="3" customWidth="1"/>
    <col min="11095" max="11099" width="9.7109375" style="3" customWidth="1"/>
    <col min="11100" max="11265" width="8.85546875" style="3"/>
    <col min="11266" max="11266" width="12.140625" style="3" bestFit="1" customWidth="1"/>
    <col min="11267" max="11267" width="11.140625" style="3" bestFit="1" customWidth="1"/>
    <col min="11268" max="11277" width="9.7109375" style="3" customWidth="1"/>
    <col min="11278" max="11278" width="11.140625" style="3" bestFit="1" customWidth="1"/>
    <col min="11279" max="11283" width="9.7109375" style="3" customWidth="1"/>
    <col min="11284" max="11284" width="11.140625" style="3" customWidth="1"/>
    <col min="11285" max="11289" width="9.7109375" style="3" customWidth="1"/>
    <col min="11290" max="11290" width="11.140625" style="3" customWidth="1"/>
    <col min="11291" max="11295" width="9.7109375" style="3" customWidth="1"/>
    <col min="11296" max="11296" width="11.140625" style="3" customWidth="1"/>
    <col min="11297" max="11301" width="9.7109375" style="3" customWidth="1"/>
    <col min="11302" max="11302" width="11.140625" style="3" customWidth="1"/>
    <col min="11303" max="11307" width="9.7109375" style="3" customWidth="1"/>
    <col min="11308" max="11308" width="11.140625" style="3" customWidth="1"/>
    <col min="11309" max="11313" width="9.7109375" style="3" customWidth="1"/>
    <col min="11314" max="11314" width="11.140625" style="3" customWidth="1"/>
    <col min="11315" max="11319" width="9.7109375" style="3" customWidth="1"/>
    <col min="11320" max="11320" width="11.140625" style="3" customWidth="1"/>
    <col min="11321" max="11325" width="9.7109375" style="3" customWidth="1"/>
    <col min="11326" max="11326" width="11.140625" style="3" customWidth="1"/>
    <col min="11327" max="11331" width="9.7109375" style="3" customWidth="1"/>
    <col min="11332" max="11332" width="11.140625" style="3" customWidth="1"/>
    <col min="11333" max="11337" width="9.7109375" style="3" customWidth="1"/>
    <col min="11338" max="11338" width="11.140625" style="3" customWidth="1"/>
    <col min="11339" max="11343" width="9.7109375" style="3" customWidth="1"/>
    <col min="11344" max="11344" width="11.140625" style="3" customWidth="1"/>
    <col min="11345" max="11349" width="9.7109375" style="3" customWidth="1"/>
    <col min="11350" max="11350" width="11.140625" style="3" customWidth="1"/>
    <col min="11351" max="11355" width="9.7109375" style="3" customWidth="1"/>
    <col min="11356" max="11521" width="8.85546875" style="3"/>
    <col min="11522" max="11522" width="12.140625" style="3" bestFit="1" customWidth="1"/>
    <col min="11523" max="11523" width="11.140625" style="3" bestFit="1" customWidth="1"/>
    <col min="11524" max="11533" width="9.7109375" style="3" customWidth="1"/>
    <col min="11534" max="11534" width="11.140625" style="3" bestFit="1" customWidth="1"/>
    <col min="11535" max="11539" width="9.7109375" style="3" customWidth="1"/>
    <col min="11540" max="11540" width="11.140625" style="3" customWidth="1"/>
    <col min="11541" max="11545" width="9.7109375" style="3" customWidth="1"/>
    <col min="11546" max="11546" width="11.140625" style="3" customWidth="1"/>
    <col min="11547" max="11551" width="9.7109375" style="3" customWidth="1"/>
    <col min="11552" max="11552" width="11.140625" style="3" customWidth="1"/>
    <col min="11553" max="11557" width="9.7109375" style="3" customWidth="1"/>
    <col min="11558" max="11558" width="11.140625" style="3" customWidth="1"/>
    <col min="11559" max="11563" width="9.7109375" style="3" customWidth="1"/>
    <col min="11564" max="11564" width="11.140625" style="3" customWidth="1"/>
    <col min="11565" max="11569" width="9.7109375" style="3" customWidth="1"/>
    <col min="11570" max="11570" width="11.140625" style="3" customWidth="1"/>
    <col min="11571" max="11575" width="9.7109375" style="3" customWidth="1"/>
    <col min="11576" max="11576" width="11.140625" style="3" customWidth="1"/>
    <col min="11577" max="11581" width="9.7109375" style="3" customWidth="1"/>
    <col min="11582" max="11582" width="11.140625" style="3" customWidth="1"/>
    <col min="11583" max="11587" width="9.7109375" style="3" customWidth="1"/>
    <col min="11588" max="11588" width="11.140625" style="3" customWidth="1"/>
    <col min="11589" max="11593" width="9.7109375" style="3" customWidth="1"/>
    <col min="11594" max="11594" width="11.140625" style="3" customWidth="1"/>
    <col min="11595" max="11599" width="9.7109375" style="3" customWidth="1"/>
    <col min="11600" max="11600" width="11.140625" style="3" customWidth="1"/>
    <col min="11601" max="11605" width="9.7109375" style="3" customWidth="1"/>
    <col min="11606" max="11606" width="11.140625" style="3" customWidth="1"/>
    <col min="11607" max="11611" width="9.7109375" style="3" customWidth="1"/>
    <col min="11612" max="11777" width="8.85546875" style="3"/>
    <col min="11778" max="11778" width="12.140625" style="3" bestFit="1" customWidth="1"/>
    <col min="11779" max="11779" width="11.140625" style="3" bestFit="1" customWidth="1"/>
    <col min="11780" max="11789" width="9.7109375" style="3" customWidth="1"/>
    <col min="11790" max="11790" width="11.140625" style="3" bestFit="1" customWidth="1"/>
    <col min="11791" max="11795" width="9.7109375" style="3" customWidth="1"/>
    <col min="11796" max="11796" width="11.140625" style="3" customWidth="1"/>
    <col min="11797" max="11801" width="9.7109375" style="3" customWidth="1"/>
    <col min="11802" max="11802" width="11.140625" style="3" customWidth="1"/>
    <col min="11803" max="11807" width="9.7109375" style="3" customWidth="1"/>
    <col min="11808" max="11808" width="11.140625" style="3" customWidth="1"/>
    <col min="11809" max="11813" width="9.7109375" style="3" customWidth="1"/>
    <col min="11814" max="11814" width="11.140625" style="3" customWidth="1"/>
    <col min="11815" max="11819" width="9.7109375" style="3" customWidth="1"/>
    <col min="11820" max="11820" width="11.140625" style="3" customWidth="1"/>
    <col min="11821" max="11825" width="9.7109375" style="3" customWidth="1"/>
    <col min="11826" max="11826" width="11.140625" style="3" customWidth="1"/>
    <col min="11827" max="11831" width="9.7109375" style="3" customWidth="1"/>
    <col min="11832" max="11832" width="11.140625" style="3" customWidth="1"/>
    <col min="11833" max="11837" width="9.7109375" style="3" customWidth="1"/>
    <col min="11838" max="11838" width="11.140625" style="3" customWidth="1"/>
    <col min="11839" max="11843" width="9.7109375" style="3" customWidth="1"/>
    <col min="11844" max="11844" width="11.140625" style="3" customWidth="1"/>
    <col min="11845" max="11849" width="9.7109375" style="3" customWidth="1"/>
    <col min="11850" max="11850" width="11.140625" style="3" customWidth="1"/>
    <col min="11851" max="11855" width="9.7109375" style="3" customWidth="1"/>
    <col min="11856" max="11856" width="11.140625" style="3" customWidth="1"/>
    <col min="11857" max="11861" width="9.7109375" style="3" customWidth="1"/>
    <col min="11862" max="11862" width="11.140625" style="3" customWidth="1"/>
    <col min="11863" max="11867" width="9.7109375" style="3" customWidth="1"/>
    <col min="11868" max="12033" width="8.85546875" style="3"/>
    <col min="12034" max="12034" width="12.140625" style="3" bestFit="1" customWidth="1"/>
    <col min="12035" max="12035" width="11.140625" style="3" bestFit="1" customWidth="1"/>
    <col min="12036" max="12045" width="9.7109375" style="3" customWidth="1"/>
    <col min="12046" max="12046" width="11.140625" style="3" bestFit="1" customWidth="1"/>
    <col min="12047" max="12051" width="9.7109375" style="3" customWidth="1"/>
    <col min="12052" max="12052" width="11.140625" style="3" customWidth="1"/>
    <col min="12053" max="12057" width="9.7109375" style="3" customWidth="1"/>
    <col min="12058" max="12058" width="11.140625" style="3" customWidth="1"/>
    <col min="12059" max="12063" width="9.7109375" style="3" customWidth="1"/>
    <col min="12064" max="12064" width="11.140625" style="3" customWidth="1"/>
    <col min="12065" max="12069" width="9.7109375" style="3" customWidth="1"/>
    <col min="12070" max="12070" width="11.140625" style="3" customWidth="1"/>
    <col min="12071" max="12075" width="9.7109375" style="3" customWidth="1"/>
    <col min="12076" max="12076" width="11.140625" style="3" customWidth="1"/>
    <col min="12077" max="12081" width="9.7109375" style="3" customWidth="1"/>
    <col min="12082" max="12082" width="11.140625" style="3" customWidth="1"/>
    <col min="12083" max="12087" width="9.7109375" style="3" customWidth="1"/>
    <col min="12088" max="12088" width="11.140625" style="3" customWidth="1"/>
    <col min="12089" max="12093" width="9.7109375" style="3" customWidth="1"/>
    <col min="12094" max="12094" width="11.140625" style="3" customWidth="1"/>
    <col min="12095" max="12099" width="9.7109375" style="3" customWidth="1"/>
    <col min="12100" max="12100" width="11.140625" style="3" customWidth="1"/>
    <col min="12101" max="12105" width="9.7109375" style="3" customWidth="1"/>
    <col min="12106" max="12106" width="11.140625" style="3" customWidth="1"/>
    <col min="12107" max="12111" width="9.7109375" style="3" customWidth="1"/>
    <col min="12112" max="12112" width="11.140625" style="3" customWidth="1"/>
    <col min="12113" max="12117" width="9.7109375" style="3" customWidth="1"/>
    <col min="12118" max="12118" width="11.140625" style="3" customWidth="1"/>
    <col min="12119" max="12123" width="9.7109375" style="3" customWidth="1"/>
    <col min="12124" max="12289" width="8.85546875" style="3"/>
    <col min="12290" max="12290" width="12.140625" style="3" bestFit="1" customWidth="1"/>
    <col min="12291" max="12291" width="11.140625" style="3" bestFit="1" customWidth="1"/>
    <col min="12292" max="12301" width="9.7109375" style="3" customWidth="1"/>
    <col min="12302" max="12302" width="11.140625" style="3" bestFit="1" customWidth="1"/>
    <col min="12303" max="12307" width="9.7109375" style="3" customWidth="1"/>
    <col min="12308" max="12308" width="11.140625" style="3" customWidth="1"/>
    <col min="12309" max="12313" width="9.7109375" style="3" customWidth="1"/>
    <col min="12314" max="12314" width="11.140625" style="3" customWidth="1"/>
    <col min="12315" max="12319" width="9.7109375" style="3" customWidth="1"/>
    <col min="12320" max="12320" width="11.140625" style="3" customWidth="1"/>
    <col min="12321" max="12325" width="9.7109375" style="3" customWidth="1"/>
    <col min="12326" max="12326" width="11.140625" style="3" customWidth="1"/>
    <col min="12327" max="12331" width="9.7109375" style="3" customWidth="1"/>
    <col min="12332" max="12332" width="11.140625" style="3" customWidth="1"/>
    <col min="12333" max="12337" width="9.7109375" style="3" customWidth="1"/>
    <col min="12338" max="12338" width="11.140625" style="3" customWidth="1"/>
    <col min="12339" max="12343" width="9.7109375" style="3" customWidth="1"/>
    <col min="12344" max="12344" width="11.140625" style="3" customWidth="1"/>
    <col min="12345" max="12349" width="9.7109375" style="3" customWidth="1"/>
    <col min="12350" max="12350" width="11.140625" style="3" customWidth="1"/>
    <col min="12351" max="12355" width="9.7109375" style="3" customWidth="1"/>
    <col min="12356" max="12356" width="11.140625" style="3" customWidth="1"/>
    <col min="12357" max="12361" width="9.7109375" style="3" customWidth="1"/>
    <col min="12362" max="12362" width="11.140625" style="3" customWidth="1"/>
    <col min="12363" max="12367" width="9.7109375" style="3" customWidth="1"/>
    <col min="12368" max="12368" width="11.140625" style="3" customWidth="1"/>
    <col min="12369" max="12373" width="9.7109375" style="3" customWidth="1"/>
    <col min="12374" max="12374" width="11.140625" style="3" customWidth="1"/>
    <col min="12375" max="12379" width="9.7109375" style="3" customWidth="1"/>
    <col min="12380" max="12545" width="8.85546875" style="3"/>
    <col min="12546" max="12546" width="12.140625" style="3" bestFit="1" customWidth="1"/>
    <col min="12547" max="12547" width="11.140625" style="3" bestFit="1" customWidth="1"/>
    <col min="12548" max="12557" width="9.7109375" style="3" customWidth="1"/>
    <col min="12558" max="12558" width="11.140625" style="3" bestFit="1" customWidth="1"/>
    <col min="12559" max="12563" width="9.7109375" style="3" customWidth="1"/>
    <col min="12564" max="12564" width="11.140625" style="3" customWidth="1"/>
    <col min="12565" max="12569" width="9.7109375" style="3" customWidth="1"/>
    <col min="12570" max="12570" width="11.140625" style="3" customWidth="1"/>
    <col min="12571" max="12575" width="9.7109375" style="3" customWidth="1"/>
    <col min="12576" max="12576" width="11.140625" style="3" customWidth="1"/>
    <col min="12577" max="12581" width="9.7109375" style="3" customWidth="1"/>
    <col min="12582" max="12582" width="11.140625" style="3" customWidth="1"/>
    <col min="12583" max="12587" width="9.7109375" style="3" customWidth="1"/>
    <col min="12588" max="12588" width="11.140625" style="3" customWidth="1"/>
    <col min="12589" max="12593" width="9.7109375" style="3" customWidth="1"/>
    <col min="12594" max="12594" width="11.140625" style="3" customWidth="1"/>
    <col min="12595" max="12599" width="9.7109375" style="3" customWidth="1"/>
    <col min="12600" max="12600" width="11.140625" style="3" customWidth="1"/>
    <col min="12601" max="12605" width="9.7109375" style="3" customWidth="1"/>
    <col min="12606" max="12606" width="11.140625" style="3" customWidth="1"/>
    <col min="12607" max="12611" width="9.7109375" style="3" customWidth="1"/>
    <col min="12612" max="12612" width="11.140625" style="3" customWidth="1"/>
    <col min="12613" max="12617" width="9.7109375" style="3" customWidth="1"/>
    <col min="12618" max="12618" width="11.140625" style="3" customWidth="1"/>
    <col min="12619" max="12623" width="9.7109375" style="3" customWidth="1"/>
    <col min="12624" max="12624" width="11.140625" style="3" customWidth="1"/>
    <col min="12625" max="12629" width="9.7109375" style="3" customWidth="1"/>
    <col min="12630" max="12630" width="11.140625" style="3" customWidth="1"/>
    <col min="12631" max="12635" width="9.7109375" style="3" customWidth="1"/>
    <col min="12636" max="12801" width="8.85546875" style="3"/>
    <col min="12802" max="12802" width="12.140625" style="3" bestFit="1" customWidth="1"/>
    <col min="12803" max="12803" width="11.140625" style="3" bestFit="1" customWidth="1"/>
    <col min="12804" max="12813" width="9.7109375" style="3" customWidth="1"/>
    <col min="12814" max="12814" width="11.140625" style="3" bestFit="1" customWidth="1"/>
    <col min="12815" max="12819" width="9.7109375" style="3" customWidth="1"/>
    <col min="12820" max="12820" width="11.140625" style="3" customWidth="1"/>
    <col min="12821" max="12825" width="9.7109375" style="3" customWidth="1"/>
    <col min="12826" max="12826" width="11.140625" style="3" customWidth="1"/>
    <col min="12827" max="12831" width="9.7109375" style="3" customWidth="1"/>
    <col min="12832" max="12832" width="11.140625" style="3" customWidth="1"/>
    <col min="12833" max="12837" width="9.7109375" style="3" customWidth="1"/>
    <col min="12838" max="12838" width="11.140625" style="3" customWidth="1"/>
    <col min="12839" max="12843" width="9.7109375" style="3" customWidth="1"/>
    <col min="12844" max="12844" width="11.140625" style="3" customWidth="1"/>
    <col min="12845" max="12849" width="9.7109375" style="3" customWidth="1"/>
    <col min="12850" max="12850" width="11.140625" style="3" customWidth="1"/>
    <col min="12851" max="12855" width="9.7109375" style="3" customWidth="1"/>
    <col min="12856" max="12856" width="11.140625" style="3" customWidth="1"/>
    <col min="12857" max="12861" width="9.7109375" style="3" customWidth="1"/>
    <col min="12862" max="12862" width="11.140625" style="3" customWidth="1"/>
    <col min="12863" max="12867" width="9.7109375" style="3" customWidth="1"/>
    <col min="12868" max="12868" width="11.140625" style="3" customWidth="1"/>
    <col min="12869" max="12873" width="9.7109375" style="3" customWidth="1"/>
    <col min="12874" max="12874" width="11.140625" style="3" customWidth="1"/>
    <col min="12875" max="12879" width="9.7109375" style="3" customWidth="1"/>
    <col min="12880" max="12880" width="11.140625" style="3" customWidth="1"/>
    <col min="12881" max="12885" width="9.7109375" style="3" customWidth="1"/>
    <col min="12886" max="12886" width="11.140625" style="3" customWidth="1"/>
    <col min="12887" max="12891" width="9.7109375" style="3" customWidth="1"/>
    <col min="12892" max="13057" width="8.85546875" style="3"/>
    <col min="13058" max="13058" width="12.140625" style="3" bestFit="1" customWidth="1"/>
    <col min="13059" max="13059" width="11.140625" style="3" bestFit="1" customWidth="1"/>
    <col min="13060" max="13069" width="9.7109375" style="3" customWidth="1"/>
    <col min="13070" max="13070" width="11.140625" style="3" bestFit="1" customWidth="1"/>
    <col min="13071" max="13075" width="9.7109375" style="3" customWidth="1"/>
    <col min="13076" max="13076" width="11.140625" style="3" customWidth="1"/>
    <col min="13077" max="13081" width="9.7109375" style="3" customWidth="1"/>
    <col min="13082" max="13082" width="11.140625" style="3" customWidth="1"/>
    <col min="13083" max="13087" width="9.7109375" style="3" customWidth="1"/>
    <col min="13088" max="13088" width="11.140625" style="3" customWidth="1"/>
    <col min="13089" max="13093" width="9.7109375" style="3" customWidth="1"/>
    <col min="13094" max="13094" width="11.140625" style="3" customWidth="1"/>
    <col min="13095" max="13099" width="9.7109375" style="3" customWidth="1"/>
    <col min="13100" max="13100" width="11.140625" style="3" customWidth="1"/>
    <col min="13101" max="13105" width="9.7109375" style="3" customWidth="1"/>
    <col min="13106" max="13106" width="11.140625" style="3" customWidth="1"/>
    <col min="13107" max="13111" width="9.7109375" style="3" customWidth="1"/>
    <col min="13112" max="13112" width="11.140625" style="3" customWidth="1"/>
    <col min="13113" max="13117" width="9.7109375" style="3" customWidth="1"/>
    <col min="13118" max="13118" width="11.140625" style="3" customWidth="1"/>
    <col min="13119" max="13123" width="9.7109375" style="3" customWidth="1"/>
    <col min="13124" max="13124" width="11.140625" style="3" customWidth="1"/>
    <col min="13125" max="13129" width="9.7109375" style="3" customWidth="1"/>
    <col min="13130" max="13130" width="11.140625" style="3" customWidth="1"/>
    <col min="13131" max="13135" width="9.7109375" style="3" customWidth="1"/>
    <col min="13136" max="13136" width="11.140625" style="3" customWidth="1"/>
    <col min="13137" max="13141" width="9.7109375" style="3" customWidth="1"/>
    <col min="13142" max="13142" width="11.140625" style="3" customWidth="1"/>
    <col min="13143" max="13147" width="9.7109375" style="3" customWidth="1"/>
    <col min="13148" max="13313" width="8.85546875" style="3"/>
    <col min="13314" max="13314" width="12.140625" style="3" bestFit="1" customWidth="1"/>
    <col min="13315" max="13315" width="11.140625" style="3" bestFit="1" customWidth="1"/>
    <col min="13316" max="13325" width="9.7109375" style="3" customWidth="1"/>
    <col min="13326" max="13326" width="11.140625" style="3" bestFit="1" customWidth="1"/>
    <col min="13327" max="13331" width="9.7109375" style="3" customWidth="1"/>
    <col min="13332" max="13332" width="11.140625" style="3" customWidth="1"/>
    <col min="13333" max="13337" width="9.7109375" style="3" customWidth="1"/>
    <col min="13338" max="13338" width="11.140625" style="3" customWidth="1"/>
    <col min="13339" max="13343" width="9.7109375" style="3" customWidth="1"/>
    <col min="13344" max="13344" width="11.140625" style="3" customWidth="1"/>
    <col min="13345" max="13349" width="9.7109375" style="3" customWidth="1"/>
    <col min="13350" max="13350" width="11.140625" style="3" customWidth="1"/>
    <col min="13351" max="13355" width="9.7109375" style="3" customWidth="1"/>
    <col min="13356" max="13356" width="11.140625" style="3" customWidth="1"/>
    <col min="13357" max="13361" width="9.7109375" style="3" customWidth="1"/>
    <col min="13362" max="13362" width="11.140625" style="3" customWidth="1"/>
    <col min="13363" max="13367" width="9.7109375" style="3" customWidth="1"/>
    <col min="13368" max="13368" width="11.140625" style="3" customWidth="1"/>
    <col min="13369" max="13373" width="9.7109375" style="3" customWidth="1"/>
    <col min="13374" max="13374" width="11.140625" style="3" customWidth="1"/>
    <col min="13375" max="13379" width="9.7109375" style="3" customWidth="1"/>
    <col min="13380" max="13380" width="11.140625" style="3" customWidth="1"/>
    <col min="13381" max="13385" width="9.7109375" style="3" customWidth="1"/>
    <col min="13386" max="13386" width="11.140625" style="3" customWidth="1"/>
    <col min="13387" max="13391" width="9.7109375" style="3" customWidth="1"/>
    <col min="13392" max="13392" width="11.140625" style="3" customWidth="1"/>
    <col min="13393" max="13397" width="9.7109375" style="3" customWidth="1"/>
    <col min="13398" max="13398" width="11.140625" style="3" customWidth="1"/>
    <col min="13399" max="13403" width="9.7109375" style="3" customWidth="1"/>
    <col min="13404" max="13569" width="8.85546875" style="3"/>
    <col min="13570" max="13570" width="12.140625" style="3" bestFit="1" customWidth="1"/>
    <col min="13571" max="13571" width="11.140625" style="3" bestFit="1" customWidth="1"/>
    <col min="13572" max="13581" width="9.7109375" style="3" customWidth="1"/>
    <col min="13582" max="13582" width="11.140625" style="3" bestFit="1" customWidth="1"/>
    <col min="13583" max="13587" width="9.7109375" style="3" customWidth="1"/>
    <col min="13588" max="13588" width="11.140625" style="3" customWidth="1"/>
    <col min="13589" max="13593" width="9.7109375" style="3" customWidth="1"/>
    <col min="13594" max="13594" width="11.140625" style="3" customWidth="1"/>
    <col min="13595" max="13599" width="9.7109375" style="3" customWidth="1"/>
    <col min="13600" max="13600" width="11.140625" style="3" customWidth="1"/>
    <col min="13601" max="13605" width="9.7109375" style="3" customWidth="1"/>
    <col min="13606" max="13606" width="11.140625" style="3" customWidth="1"/>
    <col min="13607" max="13611" width="9.7109375" style="3" customWidth="1"/>
    <col min="13612" max="13612" width="11.140625" style="3" customWidth="1"/>
    <col min="13613" max="13617" width="9.7109375" style="3" customWidth="1"/>
    <col min="13618" max="13618" width="11.140625" style="3" customWidth="1"/>
    <col min="13619" max="13623" width="9.7109375" style="3" customWidth="1"/>
    <col min="13624" max="13624" width="11.140625" style="3" customWidth="1"/>
    <col min="13625" max="13629" width="9.7109375" style="3" customWidth="1"/>
    <col min="13630" max="13630" width="11.140625" style="3" customWidth="1"/>
    <col min="13631" max="13635" width="9.7109375" style="3" customWidth="1"/>
    <col min="13636" max="13636" width="11.140625" style="3" customWidth="1"/>
    <col min="13637" max="13641" width="9.7109375" style="3" customWidth="1"/>
    <col min="13642" max="13642" width="11.140625" style="3" customWidth="1"/>
    <col min="13643" max="13647" width="9.7109375" style="3" customWidth="1"/>
    <col min="13648" max="13648" width="11.140625" style="3" customWidth="1"/>
    <col min="13649" max="13653" width="9.7109375" style="3" customWidth="1"/>
    <col min="13654" max="13654" width="11.140625" style="3" customWidth="1"/>
    <col min="13655" max="13659" width="9.7109375" style="3" customWidth="1"/>
    <col min="13660" max="13825" width="8.85546875" style="3"/>
    <col min="13826" max="13826" width="12.140625" style="3" bestFit="1" customWidth="1"/>
    <col min="13827" max="13827" width="11.140625" style="3" bestFit="1" customWidth="1"/>
    <col min="13828" max="13837" width="9.7109375" style="3" customWidth="1"/>
    <col min="13838" max="13838" width="11.140625" style="3" bestFit="1" customWidth="1"/>
    <col min="13839" max="13843" width="9.7109375" style="3" customWidth="1"/>
    <col min="13844" max="13844" width="11.140625" style="3" customWidth="1"/>
    <col min="13845" max="13849" width="9.7109375" style="3" customWidth="1"/>
    <col min="13850" max="13850" width="11.140625" style="3" customWidth="1"/>
    <col min="13851" max="13855" width="9.7109375" style="3" customWidth="1"/>
    <col min="13856" max="13856" width="11.140625" style="3" customWidth="1"/>
    <col min="13857" max="13861" width="9.7109375" style="3" customWidth="1"/>
    <col min="13862" max="13862" width="11.140625" style="3" customWidth="1"/>
    <col min="13863" max="13867" width="9.7109375" style="3" customWidth="1"/>
    <col min="13868" max="13868" width="11.140625" style="3" customWidth="1"/>
    <col min="13869" max="13873" width="9.7109375" style="3" customWidth="1"/>
    <col min="13874" max="13874" width="11.140625" style="3" customWidth="1"/>
    <col min="13875" max="13879" width="9.7109375" style="3" customWidth="1"/>
    <col min="13880" max="13880" width="11.140625" style="3" customWidth="1"/>
    <col min="13881" max="13885" width="9.7109375" style="3" customWidth="1"/>
    <col min="13886" max="13886" width="11.140625" style="3" customWidth="1"/>
    <col min="13887" max="13891" width="9.7109375" style="3" customWidth="1"/>
    <col min="13892" max="13892" width="11.140625" style="3" customWidth="1"/>
    <col min="13893" max="13897" width="9.7109375" style="3" customWidth="1"/>
    <col min="13898" max="13898" width="11.140625" style="3" customWidth="1"/>
    <col min="13899" max="13903" width="9.7109375" style="3" customWidth="1"/>
    <col min="13904" max="13904" width="11.140625" style="3" customWidth="1"/>
    <col min="13905" max="13909" width="9.7109375" style="3" customWidth="1"/>
    <col min="13910" max="13910" width="11.140625" style="3" customWidth="1"/>
    <col min="13911" max="13915" width="9.7109375" style="3" customWidth="1"/>
    <col min="13916" max="14081" width="8.85546875" style="3"/>
    <col min="14082" max="14082" width="12.140625" style="3" bestFit="1" customWidth="1"/>
    <col min="14083" max="14083" width="11.140625" style="3" bestFit="1" customWidth="1"/>
    <col min="14084" max="14093" width="9.7109375" style="3" customWidth="1"/>
    <col min="14094" max="14094" width="11.140625" style="3" bestFit="1" customWidth="1"/>
    <col min="14095" max="14099" width="9.7109375" style="3" customWidth="1"/>
    <col min="14100" max="14100" width="11.140625" style="3" customWidth="1"/>
    <col min="14101" max="14105" width="9.7109375" style="3" customWidth="1"/>
    <col min="14106" max="14106" width="11.140625" style="3" customWidth="1"/>
    <col min="14107" max="14111" width="9.7109375" style="3" customWidth="1"/>
    <col min="14112" max="14112" width="11.140625" style="3" customWidth="1"/>
    <col min="14113" max="14117" width="9.7109375" style="3" customWidth="1"/>
    <col min="14118" max="14118" width="11.140625" style="3" customWidth="1"/>
    <col min="14119" max="14123" width="9.7109375" style="3" customWidth="1"/>
    <col min="14124" max="14124" width="11.140625" style="3" customWidth="1"/>
    <col min="14125" max="14129" width="9.7109375" style="3" customWidth="1"/>
    <col min="14130" max="14130" width="11.140625" style="3" customWidth="1"/>
    <col min="14131" max="14135" width="9.7109375" style="3" customWidth="1"/>
    <col min="14136" max="14136" width="11.140625" style="3" customWidth="1"/>
    <col min="14137" max="14141" width="9.7109375" style="3" customWidth="1"/>
    <col min="14142" max="14142" width="11.140625" style="3" customWidth="1"/>
    <col min="14143" max="14147" width="9.7109375" style="3" customWidth="1"/>
    <col min="14148" max="14148" width="11.140625" style="3" customWidth="1"/>
    <col min="14149" max="14153" width="9.7109375" style="3" customWidth="1"/>
    <col min="14154" max="14154" width="11.140625" style="3" customWidth="1"/>
    <col min="14155" max="14159" width="9.7109375" style="3" customWidth="1"/>
    <col min="14160" max="14160" width="11.140625" style="3" customWidth="1"/>
    <col min="14161" max="14165" width="9.7109375" style="3" customWidth="1"/>
    <col min="14166" max="14166" width="11.140625" style="3" customWidth="1"/>
    <col min="14167" max="14171" width="9.7109375" style="3" customWidth="1"/>
    <col min="14172" max="14337" width="8.85546875" style="3"/>
    <col min="14338" max="14338" width="12.140625" style="3" bestFit="1" customWidth="1"/>
    <col min="14339" max="14339" width="11.140625" style="3" bestFit="1" customWidth="1"/>
    <col min="14340" max="14349" width="9.7109375" style="3" customWidth="1"/>
    <col min="14350" max="14350" width="11.140625" style="3" bestFit="1" customWidth="1"/>
    <col min="14351" max="14355" width="9.7109375" style="3" customWidth="1"/>
    <col min="14356" max="14356" width="11.140625" style="3" customWidth="1"/>
    <col min="14357" max="14361" width="9.7109375" style="3" customWidth="1"/>
    <col min="14362" max="14362" width="11.140625" style="3" customWidth="1"/>
    <col min="14363" max="14367" width="9.7109375" style="3" customWidth="1"/>
    <col min="14368" max="14368" width="11.140625" style="3" customWidth="1"/>
    <col min="14369" max="14373" width="9.7109375" style="3" customWidth="1"/>
    <col min="14374" max="14374" width="11.140625" style="3" customWidth="1"/>
    <col min="14375" max="14379" width="9.7109375" style="3" customWidth="1"/>
    <col min="14380" max="14380" width="11.140625" style="3" customWidth="1"/>
    <col min="14381" max="14385" width="9.7109375" style="3" customWidth="1"/>
    <col min="14386" max="14386" width="11.140625" style="3" customWidth="1"/>
    <col min="14387" max="14391" width="9.7109375" style="3" customWidth="1"/>
    <col min="14392" max="14392" width="11.140625" style="3" customWidth="1"/>
    <col min="14393" max="14397" width="9.7109375" style="3" customWidth="1"/>
    <col min="14398" max="14398" width="11.140625" style="3" customWidth="1"/>
    <col min="14399" max="14403" width="9.7109375" style="3" customWidth="1"/>
    <col min="14404" max="14404" width="11.140625" style="3" customWidth="1"/>
    <col min="14405" max="14409" width="9.7109375" style="3" customWidth="1"/>
    <col min="14410" max="14410" width="11.140625" style="3" customWidth="1"/>
    <col min="14411" max="14415" width="9.7109375" style="3" customWidth="1"/>
    <col min="14416" max="14416" width="11.140625" style="3" customWidth="1"/>
    <col min="14417" max="14421" width="9.7109375" style="3" customWidth="1"/>
    <col min="14422" max="14422" width="11.140625" style="3" customWidth="1"/>
    <col min="14423" max="14427" width="9.7109375" style="3" customWidth="1"/>
    <col min="14428" max="14593" width="8.85546875" style="3"/>
    <col min="14594" max="14594" width="12.140625" style="3" bestFit="1" customWidth="1"/>
    <col min="14595" max="14595" width="11.140625" style="3" bestFit="1" customWidth="1"/>
    <col min="14596" max="14605" width="9.7109375" style="3" customWidth="1"/>
    <col min="14606" max="14606" width="11.140625" style="3" bestFit="1" customWidth="1"/>
    <col min="14607" max="14611" width="9.7109375" style="3" customWidth="1"/>
    <col min="14612" max="14612" width="11.140625" style="3" customWidth="1"/>
    <col min="14613" max="14617" width="9.7109375" style="3" customWidth="1"/>
    <col min="14618" max="14618" width="11.140625" style="3" customWidth="1"/>
    <col min="14619" max="14623" width="9.7109375" style="3" customWidth="1"/>
    <col min="14624" max="14624" width="11.140625" style="3" customWidth="1"/>
    <col min="14625" max="14629" width="9.7109375" style="3" customWidth="1"/>
    <col min="14630" max="14630" width="11.140625" style="3" customWidth="1"/>
    <col min="14631" max="14635" width="9.7109375" style="3" customWidth="1"/>
    <col min="14636" max="14636" width="11.140625" style="3" customWidth="1"/>
    <col min="14637" max="14641" width="9.7109375" style="3" customWidth="1"/>
    <col min="14642" max="14642" width="11.140625" style="3" customWidth="1"/>
    <col min="14643" max="14647" width="9.7109375" style="3" customWidth="1"/>
    <col min="14648" max="14648" width="11.140625" style="3" customWidth="1"/>
    <col min="14649" max="14653" width="9.7109375" style="3" customWidth="1"/>
    <col min="14654" max="14654" width="11.140625" style="3" customWidth="1"/>
    <col min="14655" max="14659" width="9.7109375" style="3" customWidth="1"/>
    <col min="14660" max="14660" width="11.140625" style="3" customWidth="1"/>
    <col min="14661" max="14665" width="9.7109375" style="3" customWidth="1"/>
    <col min="14666" max="14666" width="11.140625" style="3" customWidth="1"/>
    <col min="14667" max="14671" width="9.7109375" style="3" customWidth="1"/>
    <col min="14672" max="14672" width="11.140625" style="3" customWidth="1"/>
    <col min="14673" max="14677" width="9.7109375" style="3" customWidth="1"/>
    <col min="14678" max="14678" width="11.140625" style="3" customWidth="1"/>
    <col min="14679" max="14683" width="9.7109375" style="3" customWidth="1"/>
    <col min="14684" max="14849" width="8.85546875" style="3"/>
    <col min="14850" max="14850" width="12.140625" style="3" bestFit="1" customWidth="1"/>
    <col min="14851" max="14851" width="11.140625" style="3" bestFit="1" customWidth="1"/>
    <col min="14852" max="14861" width="9.7109375" style="3" customWidth="1"/>
    <col min="14862" max="14862" width="11.140625" style="3" bestFit="1" customWidth="1"/>
    <col min="14863" max="14867" width="9.7109375" style="3" customWidth="1"/>
    <col min="14868" max="14868" width="11.140625" style="3" customWidth="1"/>
    <col min="14869" max="14873" width="9.7109375" style="3" customWidth="1"/>
    <col min="14874" max="14874" width="11.140625" style="3" customWidth="1"/>
    <col min="14875" max="14879" width="9.7109375" style="3" customWidth="1"/>
    <col min="14880" max="14880" width="11.140625" style="3" customWidth="1"/>
    <col min="14881" max="14885" width="9.7109375" style="3" customWidth="1"/>
    <col min="14886" max="14886" width="11.140625" style="3" customWidth="1"/>
    <col min="14887" max="14891" width="9.7109375" style="3" customWidth="1"/>
    <col min="14892" max="14892" width="11.140625" style="3" customWidth="1"/>
    <col min="14893" max="14897" width="9.7109375" style="3" customWidth="1"/>
    <col min="14898" max="14898" width="11.140625" style="3" customWidth="1"/>
    <col min="14899" max="14903" width="9.7109375" style="3" customWidth="1"/>
    <col min="14904" max="14904" width="11.140625" style="3" customWidth="1"/>
    <col min="14905" max="14909" width="9.7109375" style="3" customWidth="1"/>
    <col min="14910" max="14910" width="11.140625" style="3" customWidth="1"/>
    <col min="14911" max="14915" width="9.7109375" style="3" customWidth="1"/>
    <col min="14916" max="14916" width="11.140625" style="3" customWidth="1"/>
    <col min="14917" max="14921" width="9.7109375" style="3" customWidth="1"/>
    <col min="14922" max="14922" width="11.140625" style="3" customWidth="1"/>
    <col min="14923" max="14927" width="9.7109375" style="3" customWidth="1"/>
    <col min="14928" max="14928" width="11.140625" style="3" customWidth="1"/>
    <col min="14929" max="14933" width="9.7109375" style="3" customWidth="1"/>
    <col min="14934" max="14934" width="11.140625" style="3" customWidth="1"/>
    <col min="14935" max="14939" width="9.7109375" style="3" customWidth="1"/>
    <col min="14940" max="15105" width="8.85546875" style="3"/>
    <col min="15106" max="15106" width="12.140625" style="3" bestFit="1" customWidth="1"/>
    <col min="15107" max="15107" width="11.140625" style="3" bestFit="1" customWidth="1"/>
    <col min="15108" max="15117" width="9.7109375" style="3" customWidth="1"/>
    <col min="15118" max="15118" width="11.140625" style="3" bestFit="1" customWidth="1"/>
    <col min="15119" max="15123" width="9.7109375" style="3" customWidth="1"/>
    <col min="15124" max="15124" width="11.140625" style="3" customWidth="1"/>
    <col min="15125" max="15129" width="9.7109375" style="3" customWidth="1"/>
    <col min="15130" max="15130" width="11.140625" style="3" customWidth="1"/>
    <col min="15131" max="15135" width="9.7109375" style="3" customWidth="1"/>
    <col min="15136" max="15136" width="11.140625" style="3" customWidth="1"/>
    <col min="15137" max="15141" width="9.7109375" style="3" customWidth="1"/>
    <col min="15142" max="15142" width="11.140625" style="3" customWidth="1"/>
    <col min="15143" max="15147" width="9.7109375" style="3" customWidth="1"/>
    <col min="15148" max="15148" width="11.140625" style="3" customWidth="1"/>
    <col min="15149" max="15153" width="9.7109375" style="3" customWidth="1"/>
    <col min="15154" max="15154" width="11.140625" style="3" customWidth="1"/>
    <col min="15155" max="15159" width="9.7109375" style="3" customWidth="1"/>
    <col min="15160" max="15160" width="11.140625" style="3" customWidth="1"/>
    <col min="15161" max="15165" width="9.7109375" style="3" customWidth="1"/>
    <col min="15166" max="15166" width="11.140625" style="3" customWidth="1"/>
    <col min="15167" max="15171" width="9.7109375" style="3" customWidth="1"/>
    <col min="15172" max="15172" width="11.140625" style="3" customWidth="1"/>
    <col min="15173" max="15177" width="9.7109375" style="3" customWidth="1"/>
    <col min="15178" max="15178" width="11.140625" style="3" customWidth="1"/>
    <col min="15179" max="15183" width="9.7109375" style="3" customWidth="1"/>
    <col min="15184" max="15184" width="11.140625" style="3" customWidth="1"/>
    <col min="15185" max="15189" width="9.7109375" style="3" customWidth="1"/>
    <col min="15190" max="15190" width="11.140625" style="3" customWidth="1"/>
    <col min="15191" max="15195" width="9.7109375" style="3" customWidth="1"/>
    <col min="15196" max="15361" width="8.85546875" style="3"/>
    <col min="15362" max="15362" width="12.140625" style="3" bestFit="1" customWidth="1"/>
    <col min="15363" max="15363" width="11.140625" style="3" bestFit="1" customWidth="1"/>
    <col min="15364" max="15373" width="9.7109375" style="3" customWidth="1"/>
    <col min="15374" max="15374" width="11.140625" style="3" bestFit="1" customWidth="1"/>
    <col min="15375" max="15379" width="9.7109375" style="3" customWidth="1"/>
    <col min="15380" max="15380" width="11.140625" style="3" customWidth="1"/>
    <col min="15381" max="15385" width="9.7109375" style="3" customWidth="1"/>
    <col min="15386" max="15386" width="11.140625" style="3" customWidth="1"/>
    <col min="15387" max="15391" width="9.7109375" style="3" customWidth="1"/>
    <col min="15392" max="15392" width="11.140625" style="3" customWidth="1"/>
    <col min="15393" max="15397" width="9.7109375" style="3" customWidth="1"/>
    <col min="15398" max="15398" width="11.140625" style="3" customWidth="1"/>
    <col min="15399" max="15403" width="9.7109375" style="3" customWidth="1"/>
    <col min="15404" max="15404" width="11.140625" style="3" customWidth="1"/>
    <col min="15405" max="15409" width="9.7109375" style="3" customWidth="1"/>
    <col min="15410" max="15410" width="11.140625" style="3" customWidth="1"/>
    <col min="15411" max="15415" width="9.7109375" style="3" customWidth="1"/>
    <col min="15416" max="15416" width="11.140625" style="3" customWidth="1"/>
    <col min="15417" max="15421" width="9.7109375" style="3" customWidth="1"/>
    <col min="15422" max="15422" width="11.140625" style="3" customWidth="1"/>
    <col min="15423" max="15427" width="9.7109375" style="3" customWidth="1"/>
    <col min="15428" max="15428" width="11.140625" style="3" customWidth="1"/>
    <col min="15429" max="15433" width="9.7109375" style="3" customWidth="1"/>
    <col min="15434" max="15434" width="11.140625" style="3" customWidth="1"/>
    <col min="15435" max="15439" width="9.7109375" style="3" customWidth="1"/>
    <col min="15440" max="15440" width="11.140625" style="3" customWidth="1"/>
    <col min="15441" max="15445" width="9.7109375" style="3" customWidth="1"/>
    <col min="15446" max="15446" width="11.140625" style="3" customWidth="1"/>
    <col min="15447" max="15451" width="9.7109375" style="3" customWidth="1"/>
    <col min="15452" max="15617" width="8.85546875" style="3"/>
    <col min="15618" max="15618" width="12.140625" style="3" bestFit="1" customWidth="1"/>
    <col min="15619" max="15619" width="11.140625" style="3" bestFit="1" customWidth="1"/>
    <col min="15620" max="15629" width="9.7109375" style="3" customWidth="1"/>
    <col min="15630" max="15630" width="11.140625" style="3" bestFit="1" customWidth="1"/>
    <col min="15631" max="15635" width="9.7109375" style="3" customWidth="1"/>
    <col min="15636" max="15636" width="11.140625" style="3" customWidth="1"/>
    <col min="15637" max="15641" width="9.7109375" style="3" customWidth="1"/>
    <col min="15642" max="15642" width="11.140625" style="3" customWidth="1"/>
    <col min="15643" max="15647" width="9.7109375" style="3" customWidth="1"/>
    <col min="15648" max="15648" width="11.140625" style="3" customWidth="1"/>
    <col min="15649" max="15653" width="9.7109375" style="3" customWidth="1"/>
    <col min="15654" max="15654" width="11.140625" style="3" customWidth="1"/>
    <col min="15655" max="15659" width="9.7109375" style="3" customWidth="1"/>
    <col min="15660" max="15660" width="11.140625" style="3" customWidth="1"/>
    <col min="15661" max="15665" width="9.7109375" style="3" customWidth="1"/>
    <col min="15666" max="15666" width="11.140625" style="3" customWidth="1"/>
    <col min="15667" max="15671" width="9.7109375" style="3" customWidth="1"/>
    <col min="15672" max="15672" width="11.140625" style="3" customWidth="1"/>
    <col min="15673" max="15677" width="9.7109375" style="3" customWidth="1"/>
    <col min="15678" max="15678" width="11.140625" style="3" customWidth="1"/>
    <col min="15679" max="15683" width="9.7109375" style="3" customWidth="1"/>
    <col min="15684" max="15684" width="11.140625" style="3" customWidth="1"/>
    <col min="15685" max="15689" width="9.7109375" style="3" customWidth="1"/>
    <col min="15690" max="15690" width="11.140625" style="3" customWidth="1"/>
    <col min="15691" max="15695" width="9.7109375" style="3" customWidth="1"/>
    <col min="15696" max="15696" width="11.140625" style="3" customWidth="1"/>
    <col min="15697" max="15701" width="9.7109375" style="3" customWidth="1"/>
    <col min="15702" max="15702" width="11.140625" style="3" customWidth="1"/>
    <col min="15703" max="15707" width="9.7109375" style="3" customWidth="1"/>
    <col min="15708" max="15873" width="8.85546875" style="3"/>
    <col min="15874" max="15874" width="12.140625" style="3" bestFit="1" customWidth="1"/>
    <col min="15875" max="15875" width="11.140625" style="3" bestFit="1" customWidth="1"/>
    <col min="15876" max="15885" width="9.7109375" style="3" customWidth="1"/>
    <col min="15886" max="15886" width="11.140625" style="3" bestFit="1" customWidth="1"/>
    <col min="15887" max="15891" width="9.7109375" style="3" customWidth="1"/>
    <col min="15892" max="15892" width="11.140625" style="3" customWidth="1"/>
    <col min="15893" max="15897" width="9.7109375" style="3" customWidth="1"/>
    <col min="15898" max="15898" width="11.140625" style="3" customWidth="1"/>
    <col min="15899" max="15903" width="9.7109375" style="3" customWidth="1"/>
    <col min="15904" max="15904" width="11.140625" style="3" customWidth="1"/>
    <col min="15905" max="15909" width="9.7109375" style="3" customWidth="1"/>
    <col min="15910" max="15910" width="11.140625" style="3" customWidth="1"/>
    <col min="15911" max="15915" width="9.7109375" style="3" customWidth="1"/>
    <col min="15916" max="15916" width="11.140625" style="3" customWidth="1"/>
    <col min="15917" max="15921" width="9.7109375" style="3" customWidth="1"/>
    <col min="15922" max="15922" width="11.140625" style="3" customWidth="1"/>
    <col min="15923" max="15927" width="9.7109375" style="3" customWidth="1"/>
    <col min="15928" max="15928" width="11.140625" style="3" customWidth="1"/>
    <col min="15929" max="15933" width="9.7109375" style="3" customWidth="1"/>
    <col min="15934" max="15934" width="11.140625" style="3" customWidth="1"/>
    <col min="15935" max="15939" width="9.7109375" style="3" customWidth="1"/>
    <col min="15940" max="15940" width="11.140625" style="3" customWidth="1"/>
    <col min="15941" max="15945" width="9.7109375" style="3" customWidth="1"/>
    <col min="15946" max="15946" width="11.140625" style="3" customWidth="1"/>
    <col min="15947" max="15951" width="9.7109375" style="3" customWidth="1"/>
    <col min="15952" max="15952" width="11.140625" style="3" customWidth="1"/>
    <col min="15953" max="15957" width="9.7109375" style="3" customWidth="1"/>
    <col min="15958" max="15958" width="11.140625" style="3" customWidth="1"/>
    <col min="15959" max="15963" width="9.7109375" style="3" customWidth="1"/>
    <col min="15964" max="16129" width="8.85546875" style="3"/>
    <col min="16130" max="16130" width="12.140625" style="3" bestFit="1" customWidth="1"/>
    <col min="16131" max="16131" width="11.140625" style="3" bestFit="1" customWidth="1"/>
    <col min="16132" max="16141" width="9.7109375" style="3" customWidth="1"/>
    <col min="16142" max="16142" width="11.140625" style="3" bestFit="1" customWidth="1"/>
    <col min="16143" max="16147" width="9.7109375" style="3" customWidth="1"/>
    <col min="16148" max="16148" width="11.140625" style="3" customWidth="1"/>
    <col min="16149" max="16153" width="9.7109375" style="3" customWidth="1"/>
    <col min="16154" max="16154" width="11.140625" style="3" customWidth="1"/>
    <col min="16155" max="16159" width="9.7109375" style="3" customWidth="1"/>
    <col min="16160" max="16160" width="11.140625" style="3" customWidth="1"/>
    <col min="16161" max="16165" width="9.7109375" style="3" customWidth="1"/>
    <col min="16166" max="16166" width="11.140625" style="3" customWidth="1"/>
    <col min="16167" max="16171" width="9.7109375" style="3" customWidth="1"/>
    <col min="16172" max="16172" width="11.140625" style="3" customWidth="1"/>
    <col min="16173" max="16177" width="9.7109375" style="3" customWidth="1"/>
    <col min="16178" max="16178" width="11.140625" style="3" customWidth="1"/>
    <col min="16179" max="16183" width="9.7109375" style="3" customWidth="1"/>
    <col min="16184" max="16184" width="11.140625" style="3" customWidth="1"/>
    <col min="16185" max="16189" width="9.7109375" style="3" customWidth="1"/>
    <col min="16190" max="16190" width="11.140625" style="3" customWidth="1"/>
    <col min="16191" max="16195" width="9.7109375" style="3" customWidth="1"/>
    <col min="16196" max="16196" width="11.140625" style="3" customWidth="1"/>
    <col min="16197" max="16201" width="9.7109375" style="3" customWidth="1"/>
    <col min="16202" max="16202" width="11.140625" style="3" customWidth="1"/>
    <col min="16203" max="16207" width="9.7109375" style="3" customWidth="1"/>
    <col min="16208" max="16208" width="11.140625" style="3" customWidth="1"/>
    <col min="16209" max="16213" width="9.7109375" style="3" customWidth="1"/>
    <col min="16214" max="16214" width="11.140625" style="3" customWidth="1"/>
    <col min="16215" max="16219" width="9.7109375" style="3" customWidth="1"/>
    <col min="16220" max="16384" width="8.85546875" style="3"/>
  </cols>
  <sheetData>
    <row r="1" spans="1:91" x14ac:dyDescent="0.25">
      <c r="A1" s="1"/>
      <c r="B1" s="26" t="s">
        <v>116</v>
      </c>
      <c r="C1" s="26"/>
      <c r="D1" s="26"/>
      <c r="E1" s="26"/>
      <c r="F1" s="26"/>
      <c r="G1" s="26"/>
      <c r="H1" s="26" t="s">
        <v>129</v>
      </c>
      <c r="I1" s="26"/>
      <c r="J1" s="26"/>
      <c r="K1" s="26"/>
      <c r="L1" s="26"/>
      <c r="M1" s="26"/>
      <c r="N1" s="26" t="s">
        <v>130</v>
      </c>
      <c r="O1" s="26"/>
      <c r="P1" s="26"/>
      <c r="Q1" s="26"/>
      <c r="R1" s="26"/>
      <c r="S1" s="26"/>
      <c r="T1" s="26" t="s">
        <v>117</v>
      </c>
      <c r="U1" s="26"/>
      <c r="V1" s="26"/>
      <c r="W1" s="26"/>
      <c r="X1" s="26"/>
      <c r="Y1" s="26"/>
      <c r="Z1" s="26" t="s">
        <v>118</v>
      </c>
      <c r="AA1" s="26"/>
      <c r="AB1" s="26"/>
      <c r="AC1" s="26"/>
      <c r="AD1" s="26"/>
      <c r="AE1" s="26"/>
      <c r="AF1" s="26" t="s">
        <v>119</v>
      </c>
      <c r="AG1" s="26"/>
      <c r="AH1" s="26"/>
      <c r="AI1" s="26"/>
      <c r="AJ1" s="26"/>
      <c r="AK1" s="26"/>
      <c r="AL1" s="26" t="s">
        <v>120</v>
      </c>
      <c r="AM1" s="26"/>
      <c r="AN1" s="26"/>
      <c r="AO1" s="26"/>
      <c r="AP1" s="26"/>
      <c r="AQ1" s="26"/>
      <c r="AR1" s="26" t="s">
        <v>121</v>
      </c>
      <c r="AS1" s="26"/>
      <c r="AT1" s="26"/>
      <c r="AU1" s="26"/>
      <c r="AV1" s="26"/>
      <c r="AW1" s="26"/>
      <c r="AX1" s="26" t="s">
        <v>122</v>
      </c>
      <c r="AY1" s="26"/>
      <c r="AZ1" s="26"/>
      <c r="BA1" s="26"/>
      <c r="BB1" s="26"/>
      <c r="BC1" s="26"/>
      <c r="BD1" s="26" t="s">
        <v>123</v>
      </c>
      <c r="BE1" s="26"/>
      <c r="BF1" s="26"/>
      <c r="BG1" s="26"/>
      <c r="BH1" s="26"/>
      <c r="BI1" s="26"/>
      <c r="BJ1" s="26" t="s">
        <v>124</v>
      </c>
      <c r="BK1" s="26"/>
      <c r="BL1" s="26"/>
      <c r="BM1" s="26"/>
      <c r="BN1" s="26"/>
      <c r="BO1" s="26"/>
      <c r="BP1" s="26" t="s">
        <v>125</v>
      </c>
      <c r="BQ1" s="26"/>
      <c r="BR1" s="26"/>
      <c r="BS1" s="26"/>
      <c r="BT1" s="26"/>
      <c r="BU1" s="26"/>
      <c r="BV1" s="26" t="s">
        <v>126</v>
      </c>
      <c r="BW1" s="26"/>
      <c r="BX1" s="26"/>
      <c r="BY1" s="26"/>
      <c r="BZ1" s="26"/>
      <c r="CA1" s="26"/>
      <c r="CB1" s="26" t="s">
        <v>127</v>
      </c>
      <c r="CC1" s="26"/>
      <c r="CD1" s="26"/>
      <c r="CE1" s="26"/>
      <c r="CF1" s="26"/>
      <c r="CG1" s="26"/>
      <c r="CH1" s="26" t="s">
        <v>128</v>
      </c>
      <c r="CI1" s="26"/>
      <c r="CJ1" s="26"/>
      <c r="CK1" s="26"/>
      <c r="CL1" s="26"/>
      <c r="CM1" s="26"/>
    </row>
    <row r="2" spans="1:91" s="6" customFormat="1" ht="75" x14ac:dyDescent="0.25">
      <c r="A2" s="4"/>
      <c r="B2" s="5" t="s">
        <v>111</v>
      </c>
      <c r="C2" s="5" t="s">
        <v>112</v>
      </c>
      <c r="D2" s="5" t="s">
        <v>113</v>
      </c>
      <c r="E2" s="5" t="s">
        <v>114</v>
      </c>
      <c r="F2" s="5" t="s">
        <v>115</v>
      </c>
      <c r="G2" s="5" t="s">
        <v>110</v>
      </c>
      <c r="H2" s="5" t="s">
        <v>111</v>
      </c>
      <c r="I2" s="5" t="s">
        <v>112</v>
      </c>
      <c r="J2" s="5" t="s">
        <v>113</v>
      </c>
      <c r="K2" s="5" t="s">
        <v>114</v>
      </c>
      <c r="L2" s="5" t="s">
        <v>115</v>
      </c>
      <c r="M2" s="5" t="s">
        <v>110</v>
      </c>
      <c r="N2" s="5" t="s">
        <v>111</v>
      </c>
      <c r="O2" s="5" t="s">
        <v>112</v>
      </c>
      <c r="P2" s="5" t="s">
        <v>113</v>
      </c>
      <c r="Q2" s="5" t="s">
        <v>114</v>
      </c>
      <c r="R2" s="5" t="s">
        <v>115</v>
      </c>
      <c r="S2" s="5" t="s">
        <v>110</v>
      </c>
      <c r="T2" s="5" t="s">
        <v>111</v>
      </c>
      <c r="U2" s="5" t="s">
        <v>112</v>
      </c>
      <c r="V2" s="5" t="s">
        <v>113</v>
      </c>
      <c r="W2" s="5" t="s">
        <v>114</v>
      </c>
      <c r="X2" s="5" t="s">
        <v>115</v>
      </c>
      <c r="Y2" s="5" t="s">
        <v>110</v>
      </c>
      <c r="Z2" s="5" t="s">
        <v>111</v>
      </c>
      <c r="AA2" s="5" t="s">
        <v>112</v>
      </c>
      <c r="AB2" s="5" t="s">
        <v>113</v>
      </c>
      <c r="AC2" s="5" t="s">
        <v>114</v>
      </c>
      <c r="AD2" s="5" t="s">
        <v>115</v>
      </c>
      <c r="AE2" s="5" t="s">
        <v>110</v>
      </c>
      <c r="AF2" s="5" t="s">
        <v>111</v>
      </c>
      <c r="AG2" s="5" t="s">
        <v>112</v>
      </c>
      <c r="AH2" s="5" t="s">
        <v>113</v>
      </c>
      <c r="AI2" s="5" t="s">
        <v>114</v>
      </c>
      <c r="AJ2" s="5" t="s">
        <v>115</v>
      </c>
      <c r="AK2" s="5" t="s">
        <v>110</v>
      </c>
      <c r="AL2" s="5" t="s">
        <v>111</v>
      </c>
      <c r="AM2" s="5" t="s">
        <v>112</v>
      </c>
      <c r="AN2" s="5" t="s">
        <v>113</v>
      </c>
      <c r="AO2" s="5" t="s">
        <v>114</v>
      </c>
      <c r="AP2" s="5" t="s">
        <v>115</v>
      </c>
      <c r="AQ2" s="5" t="s">
        <v>110</v>
      </c>
      <c r="AR2" s="5" t="s">
        <v>111</v>
      </c>
      <c r="AS2" s="5" t="s">
        <v>112</v>
      </c>
      <c r="AT2" s="5" t="s">
        <v>113</v>
      </c>
      <c r="AU2" s="5" t="s">
        <v>114</v>
      </c>
      <c r="AV2" s="5" t="s">
        <v>115</v>
      </c>
      <c r="AW2" s="5" t="s">
        <v>110</v>
      </c>
      <c r="AX2" s="5" t="s">
        <v>111</v>
      </c>
      <c r="AY2" s="5" t="s">
        <v>112</v>
      </c>
      <c r="AZ2" s="5" t="s">
        <v>113</v>
      </c>
      <c r="BA2" s="5" t="s">
        <v>114</v>
      </c>
      <c r="BB2" s="5" t="s">
        <v>115</v>
      </c>
      <c r="BC2" s="5" t="s">
        <v>110</v>
      </c>
      <c r="BD2" s="5" t="s">
        <v>111</v>
      </c>
      <c r="BE2" s="5" t="s">
        <v>112</v>
      </c>
      <c r="BF2" s="5" t="s">
        <v>113</v>
      </c>
      <c r="BG2" s="5" t="s">
        <v>114</v>
      </c>
      <c r="BH2" s="5" t="s">
        <v>115</v>
      </c>
      <c r="BI2" s="5" t="s">
        <v>110</v>
      </c>
      <c r="BJ2" s="5" t="s">
        <v>111</v>
      </c>
      <c r="BK2" s="5" t="s">
        <v>112</v>
      </c>
      <c r="BL2" s="5" t="s">
        <v>113</v>
      </c>
      <c r="BM2" s="5" t="s">
        <v>114</v>
      </c>
      <c r="BN2" s="5" t="s">
        <v>115</v>
      </c>
      <c r="BO2" s="5" t="s">
        <v>110</v>
      </c>
      <c r="BP2" s="5" t="s">
        <v>111</v>
      </c>
      <c r="BQ2" s="5" t="s">
        <v>112</v>
      </c>
      <c r="BR2" s="5" t="s">
        <v>113</v>
      </c>
      <c r="BS2" s="5" t="s">
        <v>114</v>
      </c>
      <c r="BT2" s="5" t="s">
        <v>115</v>
      </c>
      <c r="BU2" s="5" t="s">
        <v>110</v>
      </c>
      <c r="BV2" s="5" t="s">
        <v>111</v>
      </c>
      <c r="BW2" s="5" t="s">
        <v>112</v>
      </c>
      <c r="BX2" s="5" t="s">
        <v>113</v>
      </c>
      <c r="BY2" s="5" t="s">
        <v>114</v>
      </c>
      <c r="BZ2" s="5" t="s">
        <v>115</v>
      </c>
      <c r="CA2" s="5" t="s">
        <v>110</v>
      </c>
      <c r="CB2" s="5" t="s">
        <v>111</v>
      </c>
      <c r="CC2" s="5" t="s">
        <v>112</v>
      </c>
      <c r="CD2" s="5" t="s">
        <v>113</v>
      </c>
      <c r="CE2" s="5" t="s">
        <v>114</v>
      </c>
      <c r="CF2" s="5" t="s">
        <v>115</v>
      </c>
      <c r="CG2" s="5" t="s">
        <v>110</v>
      </c>
      <c r="CH2" s="5" t="s">
        <v>111</v>
      </c>
      <c r="CI2" s="5" t="s">
        <v>112</v>
      </c>
      <c r="CJ2" s="5" t="s">
        <v>113</v>
      </c>
      <c r="CK2" s="5" t="s">
        <v>114</v>
      </c>
      <c r="CL2" s="5" t="s">
        <v>115</v>
      </c>
      <c r="CM2" s="5" t="s">
        <v>110</v>
      </c>
    </row>
    <row r="3" spans="1:91" x14ac:dyDescent="0.25">
      <c r="A3" s="7" t="s">
        <v>0</v>
      </c>
      <c r="B3" s="8">
        <v>75810.25</v>
      </c>
      <c r="C3" s="8">
        <v>25080.333333333332</v>
      </c>
      <c r="D3" s="8">
        <v>187</v>
      </c>
      <c r="E3" s="9">
        <v>14594.486631016043</v>
      </c>
      <c r="F3" s="9">
        <v>4828.2994652406414</v>
      </c>
      <c r="G3" s="10">
        <v>9.6955941177246032</v>
      </c>
      <c r="H3" s="8">
        <v>48673.666666666664</v>
      </c>
      <c r="I3" s="8">
        <v>15645.166666666666</v>
      </c>
      <c r="J3" s="8">
        <v>145</v>
      </c>
      <c r="K3" s="9">
        <v>12084.496551724138</v>
      </c>
      <c r="L3" s="9">
        <v>3884.31724137931</v>
      </c>
      <c r="M3" s="10">
        <v>9.0952251878795689</v>
      </c>
      <c r="N3" s="8">
        <f t="shared" ref="N3:N25" si="0">IFERROR(AVERAGE(T3,Z3,AF3,AL3,AR3,AX3,BD3,BJ3,BP3,BV3,CB3,CH3)," ")</f>
        <v>92500</v>
      </c>
      <c r="O3" s="8">
        <f t="shared" ref="O3:O25" si="1">IFERROR(AVERAGE(U3,AA3,AG3,AM3,AS3,AY3,BE3,BK3,BQ3,BW3,CC3,CI3)," ")</f>
        <v>32686</v>
      </c>
      <c r="P3" s="8">
        <f t="shared" ref="P3:P25" si="2">IFERROR(SUM(V3,AB3,AH3,AN3,AT3,AZ3,BF3,BL3,BR3,BX3,CD3,CJ3)," ")</f>
        <v>54</v>
      </c>
      <c r="Q3" s="9">
        <f t="shared" ref="Q3:Q25" si="3">IFERROR(SUM(T3,Z3,AF3,AL3,AR3,AX3,BD3,BJ3,BP3,BV3,CB3,CH3)/P3*3," ")</f>
        <v>15416.666666666666</v>
      </c>
      <c r="R3" s="9">
        <f t="shared" ref="R3:R25" si="4">IFERROR(SUM(U3,AA3,AG3,AM3,AS3,AY3,BE3,BK3,BQ3,BW3,CC3,CI3)/P3*3," ")</f>
        <v>5447.666666666667</v>
      </c>
      <c r="S3" s="10">
        <f t="shared" ref="S3:S25" si="5">IFERROR(AVERAGE(Y3,AE3,AK3,AQ3,AW3,BC3,BI3,BO3,BU3,CA3,CG3,CM3)," ")</f>
        <v>9.8258297204203604</v>
      </c>
      <c r="T3" s="11">
        <v>24000</v>
      </c>
      <c r="U3" s="11">
        <v>9703</v>
      </c>
      <c r="V3" s="11">
        <v>6</v>
      </c>
      <c r="W3" s="12">
        <v>12000</v>
      </c>
      <c r="X3" s="12">
        <v>4851.5</v>
      </c>
      <c r="Y3" s="13">
        <v>10.4283268073071</v>
      </c>
      <c r="Z3" s="11">
        <v>40500</v>
      </c>
      <c r="AA3" s="11">
        <v>12640</v>
      </c>
      <c r="AB3" s="11">
        <v>9</v>
      </c>
      <c r="AC3" s="12">
        <v>13500</v>
      </c>
      <c r="AD3" s="12">
        <v>4213.333333333333</v>
      </c>
      <c r="AE3" s="13">
        <v>9.0287606302592014</v>
      </c>
      <c r="AF3" s="11">
        <v>213000</v>
      </c>
      <c r="AG3" s="11">
        <v>75715</v>
      </c>
      <c r="AH3" s="11">
        <v>39</v>
      </c>
      <c r="AI3" s="12">
        <v>16384.61538461539</v>
      </c>
      <c r="AJ3" s="12">
        <v>5824.2307692307704</v>
      </c>
      <c r="AK3" s="13">
        <v>10.02040172369478</v>
      </c>
      <c r="AL3" s="11"/>
      <c r="AM3" s="11"/>
      <c r="AN3" s="11"/>
      <c r="AO3" s="12"/>
      <c r="AP3" s="12"/>
      <c r="AQ3" s="13"/>
      <c r="AR3" s="11"/>
      <c r="AS3" s="11"/>
      <c r="AT3" s="11"/>
      <c r="AU3" s="12"/>
      <c r="AV3" s="12"/>
      <c r="AW3" s="13"/>
      <c r="AX3" s="11"/>
      <c r="AY3" s="11"/>
      <c r="AZ3" s="11"/>
      <c r="BA3" s="12"/>
      <c r="BB3" s="12"/>
      <c r="BC3" s="13"/>
      <c r="BD3" s="11"/>
      <c r="BE3" s="11"/>
      <c r="BF3" s="11"/>
      <c r="BG3" s="12"/>
      <c r="BH3" s="12"/>
      <c r="BI3" s="13"/>
      <c r="BJ3" s="11"/>
      <c r="BK3" s="11"/>
      <c r="BL3" s="11"/>
      <c r="BM3" s="12"/>
      <c r="BN3" s="12"/>
      <c r="BO3" s="13"/>
      <c r="BP3" s="11"/>
      <c r="BQ3" s="11"/>
      <c r="BR3" s="11"/>
      <c r="BS3" s="12"/>
      <c r="BT3" s="12"/>
      <c r="BU3" s="13"/>
      <c r="BV3" s="11"/>
      <c r="BW3" s="11"/>
      <c r="BX3" s="11"/>
      <c r="BY3" s="12"/>
      <c r="BZ3" s="12"/>
      <c r="CA3" s="13"/>
      <c r="CB3" s="11"/>
      <c r="CC3" s="11"/>
      <c r="CD3" s="11"/>
      <c r="CE3" s="12"/>
      <c r="CF3" s="12"/>
      <c r="CG3" s="13"/>
      <c r="CJ3" s="11"/>
      <c r="CK3" s="12"/>
      <c r="CL3" s="12"/>
      <c r="CM3" s="13"/>
    </row>
    <row r="4" spans="1:91" x14ac:dyDescent="0.25">
      <c r="A4" s="7" t="s">
        <v>1</v>
      </c>
      <c r="B4" s="8">
        <v>228482.33333333334</v>
      </c>
      <c r="C4" s="8">
        <v>8924.25</v>
      </c>
      <c r="D4" s="8">
        <v>506</v>
      </c>
      <c r="E4" s="9">
        <v>16255.660079051382</v>
      </c>
      <c r="F4" s="9">
        <v>634.92687747035575</v>
      </c>
      <c r="G4" s="10">
        <v>2.724666921324626</v>
      </c>
      <c r="H4" s="8">
        <v>273099.5</v>
      </c>
      <c r="I4" s="8">
        <v>10903.833333333334</v>
      </c>
      <c r="J4" s="8">
        <v>532</v>
      </c>
      <c r="K4" s="9">
        <v>18480.417293233084</v>
      </c>
      <c r="L4" s="9">
        <v>737.85338345864659</v>
      </c>
      <c r="M4" s="10">
        <v>2.7579937289360523</v>
      </c>
      <c r="N4" s="8">
        <f t="shared" si="0"/>
        <v>317046</v>
      </c>
      <c r="O4" s="8">
        <f t="shared" si="1"/>
        <v>12105.666666666666</v>
      </c>
      <c r="P4" s="8">
        <f t="shared" si="2"/>
        <v>156</v>
      </c>
      <c r="Q4" s="9">
        <f t="shared" si="3"/>
        <v>18291.115384615387</v>
      </c>
      <c r="R4" s="9">
        <f t="shared" si="4"/>
        <v>698.40384615384619</v>
      </c>
      <c r="S4" s="10">
        <f t="shared" si="5"/>
        <v>2.6881570628967988</v>
      </c>
      <c r="T4" s="11">
        <v>328790</v>
      </c>
      <c r="U4" s="11">
        <v>12795</v>
      </c>
      <c r="V4" s="11">
        <v>56</v>
      </c>
      <c r="W4" s="12">
        <v>17613.75</v>
      </c>
      <c r="X4" s="12">
        <v>685.44642857142856</v>
      </c>
      <c r="Y4" s="13">
        <v>2.717081418257052</v>
      </c>
      <c r="Z4" s="11">
        <v>318828</v>
      </c>
      <c r="AA4" s="11">
        <v>12266</v>
      </c>
      <c r="AB4" s="11">
        <v>52</v>
      </c>
      <c r="AC4" s="12">
        <v>18393.923076923082</v>
      </c>
      <c r="AD4" s="12">
        <v>707.65384615384619</v>
      </c>
      <c r="AE4" s="13">
        <v>2.697389770433344</v>
      </c>
      <c r="AF4" s="11">
        <v>303520</v>
      </c>
      <c r="AG4" s="11">
        <v>11256</v>
      </c>
      <c r="AH4" s="11">
        <v>48</v>
      </c>
      <c r="AI4" s="12">
        <v>18970</v>
      </c>
      <c r="AJ4" s="12">
        <v>703.5</v>
      </c>
      <c r="AK4" s="13">
        <v>2.65</v>
      </c>
      <c r="AL4" s="11"/>
      <c r="AM4" s="11"/>
      <c r="AN4" s="11"/>
      <c r="AO4" s="12"/>
      <c r="AP4" s="12"/>
      <c r="AQ4" s="13"/>
      <c r="AR4" s="11"/>
      <c r="AS4" s="11"/>
      <c r="AT4" s="11"/>
      <c r="AU4" s="12"/>
      <c r="AV4" s="12"/>
      <c r="AW4" s="13"/>
      <c r="AX4" s="11"/>
      <c r="AY4" s="11"/>
      <c r="AZ4" s="11"/>
      <c r="BA4" s="12"/>
      <c r="BB4" s="12"/>
      <c r="BC4" s="13"/>
      <c r="BD4" s="11"/>
      <c r="BE4" s="11"/>
      <c r="BF4" s="11"/>
      <c r="BG4" s="12"/>
      <c r="BH4" s="12"/>
      <c r="BI4" s="13"/>
      <c r="BJ4" s="11"/>
      <c r="BK4" s="11"/>
      <c r="BL4" s="11"/>
      <c r="BM4" s="12"/>
      <c r="BN4" s="12"/>
      <c r="BO4" s="13"/>
      <c r="BP4" s="11"/>
      <c r="BQ4" s="11"/>
      <c r="BR4" s="11"/>
      <c r="BS4" s="12"/>
      <c r="BT4" s="12"/>
      <c r="BU4" s="13"/>
      <c r="BV4" s="11"/>
      <c r="BW4" s="11"/>
      <c r="BX4" s="11"/>
      <c r="BY4" s="12"/>
      <c r="BZ4" s="12"/>
      <c r="CA4" s="13"/>
      <c r="CB4" s="11"/>
      <c r="CC4" s="11"/>
      <c r="CD4" s="11"/>
      <c r="CE4" s="12"/>
      <c r="CF4" s="12"/>
      <c r="CG4" s="13"/>
      <c r="CJ4" s="11"/>
      <c r="CK4" s="12"/>
      <c r="CL4" s="12"/>
      <c r="CM4" s="13"/>
    </row>
    <row r="5" spans="1:91" x14ac:dyDescent="0.25">
      <c r="A5" s="7" t="s">
        <v>2</v>
      </c>
      <c r="B5" s="8">
        <v>6076986.25</v>
      </c>
      <c r="C5" s="8">
        <v>226234.33333333334</v>
      </c>
      <c r="D5" s="8">
        <v>494</v>
      </c>
      <c r="E5" s="9">
        <v>442857.29757085018</v>
      </c>
      <c r="F5" s="9">
        <v>16486.712550607288</v>
      </c>
      <c r="G5" s="10">
        <v>2.6582613729713112</v>
      </c>
      <c r="H5" s="8">
        <v>294407.16666666669</v>
      </c>
      <c r="I5" s="8">
        <v>13040.166666666666</v>
      </c>
      <c r="J5" s="8">
        <v>622</v>
      </c>
      <c r="K5" s="9">
        <v>17039.643086816719</v>
      </c>
      <c r="L5" s="9">
        <v>754.7363344051447</v>
      </c>
      <c r="M5" s="10">
        <v>2.9530122324792223</v>
      </c>
      <c r="N5" s="8">
        <f t="shared" si="0"/>
        <v>347850.66666666669</v>
      </c>
      <c r="O5" s="8">
        <f t="shared" si="1"/>
        <v>14203.333333333334</v>
      </c>
      <c r="P5" s="8">
        <f t="shared" si="2"/>
        <v>181</v>
      </c>
      <c r="Q5" s="9">
        <f t="shared" si="3"/>
        <v>17296.441988950275</v>
      </c>
      <c r="R5" s="9">
        <f t="shared" si="4"/>
        <v>706.24309392265195</v>
      </c>
      <c r="S5" s="10">
        <f t="shared" si="5"/>
        <v>2.7838226630707301</v>
      </c>
      <c r="T5" s="11">
        <v>373478</v>
      </c>
      <c r="U5" s="11">
        <v>15006</v>
      </c>
      <c r="V5" s="11">
        <v>68</v>
      </c>
      <c r="W5" s="12">
        <v>16476.97058823529</v>
      </c>
      <c r="X5" s="12">
        <v>662.02941176470586</v>
      </c>
      <c r="Y5" s="13">
        <v>2.761202541347981</v>
      </c>
      <c r="Z5" s="11">
        <v>344976</v>
      </c>
      <c r="AA5" s="11">
        <v>13678</v>
      </c>
      <c r="AB5" s="11">
        <v>56</v>
      </c>
      <c r="AC5" s="12">
        <v>18480.857142857141</v>
      </c>
      <c r="AD5" s="12">
        <v>732.75</v>
      </c>
      <c r="AE5" s="13">
        <v>2.73695226255251</v>
      </c>
      <c r="AF5" s="11">
        <v>325098</v>
      </c>
      <c r="AG5" s="11">
        <v>13926</v>
      </c>
      <c r="AH5" s="11">
        <v>57</v>
      </c>
      <c r="AI5" s="12">
        <v>17110.42105263158</v>
      </c>
      <c r="AJ5" s="12">
        <v>732.94736842105272</v>
      </c>
      <c r="AK5" s="13">
        <v>2.8533131853117002</v>
      </c>
      <c r="AL5" s="11"/>
      <c r="AM5" s="11"/>
      <c r="AN5" s="11"/>
      <c r="AO5" s="12"/>
      <c r="AP5" s="12"/>
      <c r="AQ5" s="13"/>
      <c r="AR5" s="11"/>
      <c r="AS5" s="11"/>
      <c r="AT5" s="11"/>
      <c r="AU5" s="12"/>
      <c r="AV5" s="12"/>
      <c r="AW5" s="13"/>
      <c r="AX5" s="11"/>
      <c r="AY5" s="11"/>
      <c r="AZ5" s="11"/>
      <c r="BA5" s="12"/>
      <c r="BB5" s="12"/>
      <c r="BC5" s="13"/>
      <c r="BD5" s="11"/>
      <c r="BE5" s="11"/>
      <c r="BF5" s="11"/>
      <c r="BG5" s="12"/>
      <c r="BH5" s="12"/>
      <c r="BI5" s="13"/>
      <c r="BJ5" s="11"/>
      <c r="BK5" s="11"/>
      <c r="BL5" s="11"/>
      <c r="BM5" s="12"/>
      <c r="BN5" s="12"/>
      <c r="BO5" s="13"/>
      <c r="BP5" s="11"/>
      <c r="BQ5" s="11"/>
      <c r="BR5" s="11"/>
      <c r="BS5" s="12"/>
      <c r="BT5" s="12"/>
      <c r="BU5" s="13"/>
      <c r="BV5" s="11"/>
      <c r="BW5" s="11"/>
      <c r="BX5" s="11"/>
      <c r="BY5" s="12"/>
      <c r="BZ5" s="12"/>
      <c r="CA5" s="13"/>
      <c r="CB5" s="11"/>
      <c r="CC5" s="11"/>
      <c r="CD5" s="11"/>
      <c r="CE5" s="12"/>
      <c r="CF5" s="12"/>
      <c r="CG5" s="13"/>
      <c r="CJ5" s="11"/>
      <c r="CK5" s="12"/>
      <c r="CL5" s="12"/>
      <c r="CM5" s="13"/>
    </row>
    <row r="6" spans="1:91" x14ac:dyDescent="0.25">
      <c r="A6" s="7" t="s">
        <v>3</v>
      </c>
      <c r="B6" s="8">
        <v>216724.08333333334</v>
      </c>
      <c r="C6" s="8">
        <v>14975.166666666666</v>
      </c>
      <c r="D6" s="8">
        <v>601</v>
      </c>
      <c r="E6" s="9">
        <v>12981.808652246258</v>
      </c>
      <c r="F6" s="9">
        <v>897.01497504159738</v>
      </c>
      <c r="G6" s="10">
        <v>3.590734346213611</v>
      </c>
      <c r="H6" s="8">
        <v>247638.75</v>
      </c>
      <c r="I6" s="8">
        <v>19191.75</v>
      </c>
      <c r="J6" s="8">
        <v>652</v>
      </c>
      <c r="K6" s="9">
        <v>13673.305214723925</v>
      </c>
      <c r="L6" s="9">
        <v>1059.6671779141104</v>
      </c>
      <c r="M6" s="10">
        <v>3.7875438801294599</v>
      </c>
      <c r="N6" s="8">
        <f t="shared" si="0"/>
        <v>242232.33333333334</v>
      </c>
      <c r="O6" s="8">
        <f t="shared" si="1"/>
        <v>20480</v>
      </c>
      <c r="P6" s="8">
        <f t="shared" si="2"/>
        <v>168</v>
      </c>
      <c r="Q6" s="9">
        <f t="shared" si="3"/>
        <v>12976.732142857141</v>
      </c>
      <c r="R6" s="9">
        <f t="shared" si="4"/>
        <v>1097.1428571428571</v>
      </c>
      <c r="S6" s="10">
        <f t="shared" si="5"/>
        <v>3.9673923049165309</v>
      </c>
      <c r="T6" s="11">
        <v>274253</v>
      </c>
      <c r="U6" s="11">
        <v>24555</v>
      </c>
      <c r="V6" s="11">
        <v>68</v>
      </c>
      <c r="W6" s="12">
        <v>12099.39705882353</v>
      </c>
      <c r="X6" s="12">
        <v>1083.3088235294119</v>
      </c>
      <c r="Y6" s="13">
        <v>4.0706929911018488</v>
      </c>
      <c r="Z6" s="11">
        <v>247844</v>
      </c>
      <c r="AA6" s="11">
        <v>19371</v>
      </c>
      <c r="AB6" s="11">
        <v>59</v>
      </c>
      <c r="AC6" s="12">
        <v>12602.2372881356</v>
      </c>
      <c r="AD6" s="12">
        <v>984.96610169491532</v>
      </c>
      <c r="AE6" s="13">
        <v>3.8197493049290041</v>
      </c>
      <c r="AF6" s="11">
        <v>204600</v>
      </c>
      <c r="AG6" s="11">
        <v>17514</v>
      </c>
      <c r="AH6" s="11">
        <v>41</v>
      </c>
      <c r="AI6" s="12">
        <v>14970.731707317071</v>
      </c>
      <c r="AJ6" s="12">
        <v>1281.512195121951</v>
      </c>
      <c r="AK6" s="13">
        <v>4.0117346187187399</v>
      </c>
      <c r="AL6" s="11"/>
      <c r="AM6" s="11"/>
      <c r="AN6" s="11"/>
      <c r="AO6" s="12"/>
      <c r="AP6" s="12"/>
      <c r="AQ6" s="13"/>
      <c r="AR6" s="11"/>
      <c r="AS6" s="11"/>
      <c r="AT6" s="11"/>
      <c r="AU6" s="12"/>
      <c r="AV6" s="12"/>
      <c r="AW6" s="13"/>
      <c r="AX6" s="11"/>
      <c r="AY6" s="11"/>
      <c r="AZ6" s="11"/>
      <c r="BA6" s="12"/>
      <c r="BB6" s="12"/>
      <c r="BC6" s="13"/>
      <c r="BD6" s="11"/>
      <c r="BE6" s="11"/>
      <c r="BF6" s="11"/>
      <c r="BG6" s="12"/>
      <c r="BH6" s="12"/>
      <c r="BI6" s="13"/>
      <c r="BJ6" s="11"/>
      <c r="BK6" s="11"/>
      <c r="BL6" s="11"/>
      <c r="BM6" s="12"/>
      <c r="BN6" s="12"/>
      <c r="BO6" s="13"/>
      <c r="BP6" s="11"/>
      <c r="BQ6" s="11"/>
      <c r="BR6" s="11"/>
      <c r="BS6" s="12"/>
      <c r="BT6" s="12"/>
      <c r="BU6" s="13"/>
      <c r="BV6" s="11"/>
      <c r="BW6" s="11"/>
      <c r="BX6" s="11"/>
      <c r="BY6" s="12"/>
      <c r="BZ6" s="12"/>
      <c r="CA6" s="13"/>
      <c r="CB6" s="11"/>
      <c r="CC6" s="11"/>
      <c r="CD6" s="11"/>
      <c r="CE6" s="12"/>
      <c r="CF6" s="12"/>
      <c r="CG6" s="13"/>
      <c r="CJ6" s="11"/>
      <c r="CK6" s="12"/>
      <c r="CL6" s="12"/>
      <c r="CM6" s="13"/>
    </row>
    <row r="7" spans="1:91" x14ac:dyDescent="0.25">
      <c r="A7" s="7" t="s">
        <v>4</v>
      </c>
      <c r="B7" s="8">
        <v>300180.41666666669</v>
      </c>
      <c r="C7" s="8">
        <v>49553.666666666664</v>
      </c>
      <c r="D7" s="8">
        <v>692</v>
      </c>
      <c r="E7" s="9">
        <v>15616.32225433526</v>
      </c>
      <c r="F7" s="9">
        <v>2577.9364161849712</v>
      </c>
      <c r="G7" s="10">
        <v>5.5321889811932676</v>
      </c>
      <c r="H7" s="8">
        <v>327918.58333333331</v>
      </c>
      <c r="I7" s="8">
        <v>52577.25</v>
      </c>
      <c r="J7" s="8">
        <v>715</v>
      </c>
      <c r="K7" s="9">
        <v>16510.586013986016</v>
      </c>
      <c r="L7" s="9">
        <v>2647.2461538461539</v>
      </c>
      <c r="M7" s="10">
        <v>5.3949016432994767</v>
      </c>
      <c r="N7" s="8">
        <f t="shared" si="0"/>
        <v>318286.33333333331</v>
      </c>
      <c r="O7" s="8">
        <f t="shared" si="1"/>
        <v>55322</v>
      </c>
      <c r="P7" s="8">
        <f t="shared" si="2"/>
        <v>181</v>
      </c>
      <c r="Q7" s="9">
        <f t="shared" si="3"/>
        <v>15826.39226519337</v>
      </c>
      <c r="R7" s="9">
        <f t="shared" si="4"/>
        <v>2750.8176795580112</v>
      </c>
      <c r="S7" s="10">
        <f t="shared" si="5"/>
        <v>5.3603552939827113</v>
      </c>
      <c r="T7" s="11">
        <v>355184</v>
      </c>
      <c r="U7" s="11">
        <v>79291</v>
      </c>
      <c r="V7" s="11">
        <v>67</v>
      </c>
      <c r="W7" s="12">
        <v>15903.76119402985</v>
      </c>
      <c r="X7" s="12">
        <v>3550.343283582089</v>
      </c>
      <c r="Y7" s="13">
        <v>6.4285870522586803</v>
      </c>
      <c r="Z7" s="11">
        <v>365915</v>
      </c>
      <c r="AA7" s="11">
        <v>68735</v>
      </c>
      <c r="AB7" s="11">
        <v>63</v>
      </c>
      <c r="AC7" s="12">
        <v>17424.523809523809</v>
      </c>
      <c r="AD7" s="12">
        <v>3273.0952380952381</v>
      </c>
      <c r="AE7" s="13">
        <v>5.9158584041142976</v>
      </c>
      <c r="AF7" s="11">
        <v>233760</v>
      </c>
      <c r="AG7" s="11">
        <v>17940</v>
      </c>
      <c r="AH7" s="11">
        <v>51</v>
      </c>
      <c r="AI7" s="12">
        <v>13750.588235294121</v>
      </c>
      <c r="AJ7" s="12">
        <v>1055.294117647059</v>
      </c>
      <c r="AK7" s="13">
        <v>3.7366204255751558</v>
      </c>
      <c r="AL7" s="11"/>
      <c r="AM7" s="11"/>
      <c r="AN7" s="11"/>
      <c r="AO7" s="12"/>
      <c r="AP7" s="12"/>
      <c r="AQ7" s="13"/>
      <c r="AR7" s="11"/>
      <c r="AS7" s="11"/>
      <c r="AT7" s="11"/>
      <c r="AU7" s="12"/>
      <c r="AV7" s="12"/>
      <c r="AW7" s="13"/>
      <c r="AX7" s="11"/>
      <c r="AY7" s="11"/>
      <c r="AZ7" s="11"/>
      <c r="BA7" s="12"/>
      <c r="BB7" s="12"/>
      <c r="BC7" s="13"/>
      <c r="BD7" s="11"/>
      <c r="BE7" s="11"/>
      <c r="BF7" s="11"/>
      <c r="BG7" s="12"/>
      <c r="BH7" s="12"/>
      <c r="BI7" s="13"/>
      <c r="BJ7" s="11"/>
      <c r="BK7" s="11"/>
      <c r="BL7" s="11"/>
      <c r="BM7" s="12"/>
      <c r="BN7" s="12"/>
      <c r="BO7" s="13"/>
      <c r="BP7" s="11"/>
      <c r="BQ7" s="11"/>
      <c r="BR7" s="11"/>
      <c r="BS7" s="12"/>
      <c r="BT7" s="12"/>
      <c r="BU7" s="13"/>
      <c r="BV7" s="11"/>
      <c r="BW7" s="11"/>
      <c r="BX7" s="11"/>
      <c r="BY7" s="12"/>
      <c r="BZ7" s="12"/>
      <c r="CA7" s="13"/>
      <c r="CB7" s="11"/>
      <c r="CC7" s="11"/>
      <c r="CD7" s="11"/>
      <c r="CE7" s="12"/>
      <c r="CF7" s="12"/>
      <c r="CG7" s="13"/>
      <c r="CJ7" s="11"/>
      <c r="CK7" s="12"/>
      <c r="CL7" s="12"/>
      <c r="CM7" s="13"/>
    </row>
    <row r="8" spans="1:91" x14ac:dyDescent="0.25">
      <c r="A8" s="7" t="s">
        <v>5</v>
      </c>
      <c r="B8" s="8">
        <v>288730.67261904763</v>
      </c>
      <c r="C8" s="8">
        <v>37892.333333333336</v>
      </c>
      <c r="D8" s="8">
        <v>650</v>
      </c>
      <c r="E8" s="9">
        <v>15991.237252747251</v>
      </c>
      <c r="F8" s="9">
        <v>2098.6523076923077</v>
      </c>
      <c r="G8" s="10">
        <v>4.9535977910017621</v>
      </c>
      <c r="H8" s="8">
        <v>304243.41666666669</v>
      </c>
      <c r="I8" s="8">
        <v>43806.833333333336</v>
      </c>
      <c r="J8" s="8">
        <v>697</v>
      </c>
      <c r="K8" s="9">
        <v>15714.150645624104</v>
      </c>
      <c r="L8" s="9">
        <v>2262.6197991391682</v>
      </c>
      <c r="M8" s="10">
        <v>5.142106530838654</v>
      </c>
      <c r="N8" s="8">
        <f t="shared" si="0"/>
        <v>304015</v>
      </c>
      <c r="O8" s="8">
        <f t="shared" si="1"/>
        <v>39586.666666666664</v>
      </c>
      <c r="P8" s="8">
        <f t="shared" si="2"/>
        <v>180</v>
      </c>
      <c r="Q8" s="9">
        <f t="shared" si="3"/>
        <v>15200.75</v>
      </c>
      <c r="R8" s="9">
        <f t="shared" si="4"/>
        <v>1979.3333333333335</v>
      </c>
      <c r="S8" s="10">
        <f t="shared" si="5"/>
        <v>4.9383816676032559</v>
      </c>
      <c r="T8" s="11">
        <v>330292</v>
      </c>
      <c r="U8" s="11">
        <v>39401</v>
      </c>
      <c r="V8" s="11">
        <v>62</v>
      </c>
      <c r="W8" s="12">
        <v>15981.870967741939</v>
      </c>
      <c r="X8" s="12">
        <v>1906.5</v>
      </c>
      <c r="Y8" s="13">
        <v>4.7074199730180029</v>
      </c>
      <c r="Z8" s="11">
        <v>294141</v>
      </c>
      <c r="AA8" s="11">
        <v>32265</v>
      </c>
      <c r="AB8" s="11">
        <v>62</v>
      </c>
      <c r="AC8" s="12">
        <v>14232.629032258061</v>
      </c>
      <c r="AD8" s="12">
        <v>1561.2096774193551</v>
      </c>
      <c r="AE8" s="13">
        <v>4.5702255108056944</v>
      </c>
      <c r="AF8" s="11">
        <v>287612</v>
      </c>
      <c r="AG8" s="11">
        <v>47094</v>
      </c>
      <c r="AH8" s="11">
        <v>56</v>
      </c>
      <c r="AI8" s="12">
        <v>15407.78571428571</v>
      </c>
      <c r="AJ8" s="12">
        <v>2522.8928571428569</v>
      </c>
      <c r="AK8" s="13">
        <v>5.5374995189860714</v>
      </c>
      <c r="AL8" s="11"/>
      <c r="AM8" s="11"/>
      <c r="AN8" s="11"/>
      <c r="AO8" s="12"/>
      <c r="AP8" s="12"/>
      <c r="AQ8" s="13"/>
      <c r="AR8" s="11"/>
      <c r="AS8" s="11"/>
      <c r="AT8" s="11"/>
      <c r="AU8" s="12"/>
      <c r="AV8" s="12"/>
      <c r="AW8" s="13"/>
      <c r="AX8" s="11"/>
      <c r="AY8" s="11"/>
      <c r="AZ8" s="11"/>
      <c r="BA8" s="12"/>
      <c r="BB8" s="12"/>
      <c r="BC8" s="13"/>
      <c r="BD8" s="11"/>
      <c r="BE8" s="11"/>
      <c r="BF8" s="11"/>
      <c r="BG8" s="12"/>
      <c r="BH8" s="12"/>
      <c r="BI8" s="13"/>
      <c r="BJ8" s="11"/>
      <c r="BK8" s="11"/>
      <c r="BL8" s="11"/>
      <c r="BM8" s="12"/>
      <c r="BN8" s="12"/>
      <c r="BO8" s="13"/>
      <c r="BP8" s="11"/>
      <c r="BQ8" s="11"/>
      <c r="BR8" s="11"/>
      <c r="BS8" s="12"/>
      <c r="BT8" s="12"/>
      <c r="BU8" s="13"/>
      <c r="BV8" s="11"/>
      <c r="BW8" s="11"/>
      <c r="BX8" s="11"/>
      <c r="BY8" s="12"/>
      <c r="BZ8" s="12"/>
      <c r="CA8" s="13"/>
      <c r="CB8" s="11"/>
      <c r="CC8" s="11"/>
      <c r="CD8" s="11"/>
      <c r="CE8" s="12"/>
      <c r="CF8" s="12"/>
      <c r="CG8" s="13"/>
      <c r="CJ8" s="11"/>
      <c r="CK8" s="12"/>
      <c r="CL8" s="12"/>
      <c r="CM8" s="13"/>
    </row>
    <row r="9" spans="1:91" x14ac:dyDescent="0.25">
      <c r="A9" s="7" t="s">
        <v>6</v>
      </c>
      <c r="B9" s="8">
        <v>239941.5</v>
      </c>
      <c r="C9" s="8">
        <v>7292.833333333333</v>
      </c>
      <c r="D9" s="8">
        <v>501</v>
      </c>
      <c r="E9" s="9">
        <v>17241.305389221554</v>
      </c>
      <c r="F9" s="9">
        <v>524.03592814371257</v>
      </c>
      <c r="G9" s="10">
        <v>2.412393679549258</v>
      </c>
      <c r="H9" s="8">
        <v>264443.25</v>
      </c>
      <c r="I9" s="8">
        <v>8307</v>
      </c>
      <c r="J9" s="8">
        <v>530</v>
      </c>
      <c r="K9" s="9">
        <v>17962.183018867923</v>
      </c>
      <c r="L9" s="9">
        <v>564.24905660377362</v>
      </c>
      <c r="M9" s="10">
        <v>2.4058100839410765</v>
      </c>
      <c r="N9" s="8">
        <f t="shared" si="0"/>
        <v>284375.33333333331</v>
      </c>
      <c r="O9" s="8">
        <f t="shared" si="1"/>
        <v>10199.666666666666</v>
      </c>
      <c r="P9" s="8">
        <f t="shared" si="2"/>
        <v>150</v>
      </c>
      <c r="Q9" s="9">
        <f t="shared" si="3"/>
        <v>17062.52</v>
      </c>
      <c r="R9" s="9">
        <f t="shared" si="4"/>
        <v>611.98</v>
      </c>
      <c r="S9" s="10">
        <f t="shared" si="5"/>
        <v>2.6024816819241492</v>
      </c>
      <c r="T9" s="11">
        <v>341336</v>
      </c>
      <c r="U9" s="11">
        <v>13358</v>
      </c>
      <c r="V9" s="11">
        <v>58</v>
      </c>
      <c r="W9" s="12">
        <v>17655.310344827591</v>
      </c>
      <c r="X9" s="12">
        <v>690.93103448275861</v>
      </c>
      <c r="Y9" s="13">
        <v>2.724976285740051</v>
      </c>
      <c r="Z9" s="11">
        <v>232278</v>
      </c>
      <c r="AA9" s="11">
        <v>7855</v>
      </c>
      <c r="AB9" s="11">
        <v>43</v>
      </c>
      <c r="AC9" s="12">
        <v>16205.44186046512</v>
      </c>
      <c r="AD9" s="12">
        <v>548.02325581395348</v>
      </c>
      <c r="AE9" s="13">
        <v>2.555688347845853</v>
      </c>
      <c r="AF9" s="11">
        <v>279512</v>
      </c>
      <c r="AG9" s="11">
        <v>9386</v>
      </c>
      <c r="AH9" s="11">
        <v>49</v>
      </c>
      <c r="AI9" s="12">
        <v>17112.979591836731</v>
      </c>
      <c r="AJ9" s="12">
        <v>574.65306122448976</v>
      </c>
      <c r="AK9" s="13">
        <v>2.526780412186544</v>
      </c>
      <c r="AL9" s="11"/>
      <c r="AM9" s="11"/>
      <c r="AN9" s="11"/>
      <c r="AO9" s="12"/>
      <c r="AP9" s="12"/>
      <c r="AQ9" s="13"/>
      <c r="AR9" s="11"/>
      <c r="AS9" s="11"/>
      <c r="AT9" s="11"/>
      <c r="AU9" s="12"/>
      <c r="AV9" s="12"/>
      <c r="AW9" s="13"/>
      <c r="AX9" s="11"/>
      <c r="AY9" s="11"/>
      <c r="AZ9" s="11"/>
      <c r="BA9" s="12"/>
      <c r="BB9" s="12"/>
      <c r="BC9" s="13"/>
      <c r="BD9" s="11"/>
      <c r="BE9" s="11"/>
      <c r="BF9" s="11"/>
      <c r="BG9" s="12"/>
      <c r="BH9" s="12"/>
      <c r="BI9" s="13"/>
      <c r="BJ9" s="11"/>
      <c r="BK9" s="11"/>
      <c r="BL9" s="11"/>
      <c r="BM9" s="12"/>
      <c r="BN9" s="12"/>
      <c r="BO9" s="13"/>
      <c r="BP9" s="11"/>
      <c r="BQ9" s="11"/>
      <c r="BR9" s="11"/>
      <c r="BS9" s="12"/>
      <c r="BT9" s="12"/>
      <c r="BU9" s="13"/>
      <c r="BV9" s="11"/>
      <c r="BW9" s="11"/>
      <c r="BX9" s="11"/>
      <c r="BY9" s="12"/>
      <c r="BZ9" s="12"/>
      <c r="CA9" s="13"/>
      <c r="CB9" s="11"/>
      <c r="CC9" s="11"/>
      <c r="CD9" s="11"/>
      <c r="CE9" s="12"/>
      <c r="CF9" s="12"/>
      <c r="CG9" s="13"/>
      <c r="CJ9" s="11"/>
      <c r="CK9" s="12"/>
      <c r="CL9" s="12"/>
      <c r="CM9" s="13"/>
    </row>
    <row r="10" spans="1:91" x14ac:dyDescent="0.25">
      <c r="A10" s="7" t="s">
        <v>7</v>
      </c>
      <c r="B10" s="8">
        <v>294385.58333333331</v>
      </c>
      <c r="C10" s="8">
        <v>11609.083333333334</v>
      </c>
      <c r="D10" s="8">
        <v>565</v>
      </c>
      <c r="E10" s="9">
        <v>18757.311504424779</v>
      </c>
      <c r="F10" s="9">
        <v>739.69380530973444</v>
      </c>
      <c r="G10" s="10">
        <v>2.802072516977006</v>
      </c>
      <c r="H10" s="8">
        <v>328066.66666666669</v>
      </c>
      <c r="I10" s="8">
        <v>11616.5</v>
      </c>
      <c r="J10" s="8">
        <v>663</v>
      </c>
      <c r="K10" s="9">
        <v>17813.574660633483</v>
      </c>
      <c r="L10" s="9">
        <v>630.76018099547514</v>
      </c>
      <c r="M10" s="10">
        <v>2.6557615234685255</v>
      </c>
      <c r="N10" s="8">
        <f t="shared" si="0"/>
        <v>285680.66666666669</v>
      </c>
      <c r="O10" s="8">
        <f t="shared" si="1"/>
        <v>10051.333333333334</v>
      </c>
      <c r="P10" s="8">
        <f t="shared" si="2"/>
        <v>126</v>
      </c>
      <c r="Q10" s="9">
        <f t="shared" si="3"/>
        <v>20405.761904761905</v>
      </c>
      <c r="R10" s="9">
        <f t="shared" si="4"/>
        <v>717.95238095238096</v>
      </c>
      <c r="S10" s="10">
        <f t="shared" si="5"/>
        <v>2.5144830081710041</v>
      </c>
      <c r="T10" s="11">
        <v>350996</v>
      </c>
      <c r="U10" s="11">
        <v>11880</v>
      </c>
      <c r="V10" s="11">
        <v>56</v>
      </c>
      <c r="W10" s="12">
        <v>18803.357142857141</v>
      </c>
      <c r="X10" s="12">
        <v>636.42857142857144</v>
      </c>
      <c r="Y10" s="13">
        <v>2.590883469374178</v>
      </c>
      <c r="Z10" s="11">
        <v>434006</v>
      </c>
      <c r="AA10" s="11">
        <v>16515</v>
      </c>
      <c r="AB10" s="11">
        <v>60</v>
      </c>
      <c r="AC10" s="12">
        <v>21700.3</v>
      </c>
      <c r="AD10" s="12">
        <v>825.75</v>
      </c>
      <c r="AE10" s="13">
        <v>2.7497056941433842</v>
      </c>
      <c r="AF10" s="11">
        <v>72040</v>
      </c>
      <c r="AG10" s="11">
        <v>1759</v>
      </c>
      <c r="AH10" s="11">
        <v>10</v>
      </c>
      <c r="AI10" s="12">
        <v>21612</v>
      </c>
      <c r="AJ10" s="12">
        <v>527.70000000000005</v>
      </c>
      <c r="AK10" s="13">
        <v>2.2028598609954511</v>
      </c>
      <c r="AL10" s="11"/>
      <c r="AM10" s="11"/>
      <c r="AN10" s="11"/>
      <c r="AO10" s="12"/>
      <c r="AP10" s="12"/>
      <c r="AQ10" s="13"/>
      <c r="AR10" s="11"/>
      <c r="AS10" s="11"/>
      <c r="AT10" s="11"/>
      <c r="AU10" s="12"/>
      <c r="AV10" s="12"/>
      <c r="AW10" s="13"/>
      <c r="AX10" s="11"/>
      <c r="AY10" s="11"/>
      <c r="AZ10" s="11"/>
      <c r="BA10" s="12"/>
      <c r="BB10" s="12"/>
      <c r="BC10" s="13"/>
      <c r="BD10" s="11"/>
      <c r="BE10" s="11"/>
      <c r="BF10" s="11"/>
      <c r="BG10" s="12"/>
      <c r="BH10" s="12"/>
      <c r="BI10" s="13"/>
      <c r="BJ10" s="11"/>
      <c r="BK10" s="11"/>
      <c r="BL10" s="11"/>
      <c r="BM10" s="12"/>
      <c r="BN10" s="12"/>
      <c r="BO10" s="13"/>
      <c r="BP10" s="11"/>
      <c r="BQ10" s="11"/>
      <c r="BR10" s="11"/>
      <c r="BS10" s="12"/>
      <c r="BT10" s="12"/>
      <c r="BU10" s="13"/>
      <c r="BV10" s="11"/>
      <c r="BW10" s="11"/>
      <c r="BX10" s="11"/>
      <c r="BY10" s="12"/>
      <c r="BZ10" s="12"/>
      <c r="CA10" s="13"/>
      <c r="CB10" s="11"/>
      <c r="CC10" s="11"/>
      <c r="CD10" s="11"/>
      <c r="CE10" s="12"/>
      <c r="CF10" s="12"/>
      <c r="CG10" s="13"/>
      <c r="CJ10" s="11"/>
      <c r="CK10" s="12"/>
      <c r="CL10" s="12"/>
      <c r="CM10" s="13"/>
    </row>
    <row r="11" spans="1:91" x14ac:dyDescent="0.25">
      <c r="A11" s="7" t="s">
        <v>8</v>
      </c>
      <c r="B11" s="8">
        <v>323423.08333333331</v>
      </c>
      <c r="C11" s="8">
        <v>12424.5</v>
      </c>
      <c r="D11" s="8">
        <v>582</v>
      </c>
      <c r="E11" s="9">
        <v>20005.551546391751</v>
      </c>
      <c r="F11" s="9">
        <v>768.52577319587635</v>
      </c>
      <c r="G11" s="10">
        <v>2.7671779918394752</v>
      </c>
      <c r="H11" s="8">
        <v>343006.25</v>
      </c>
      <c r="I11" s="8">
        <v>12948.166666666666</v>
      </c>
      <c r="J11" s="8">
        <v>671</v>
      </c>
      <c r="K11" s="9">
        <v>18402.719821162445</v>
      </c>
      <c r="L11" s="9">
        <v>694.68554396423247</v>
      </c>
      <c r="M11" s="10">
        <v>2.7423642514501751</v>
      </c>
      <c r="N11" s="8">
        <f t="shared" si="0"/>
        <v>286659.66666666669</v>
      </c>
      <c r="O11" s="8">
        <f t="shared" si="1"/>
        <v>9189</v>
      </c>
      <c r="P11" s="8">
        <f t="shared" si="2"/>
        <v>135</v>
      </c>
      <c r="Q11" s="9">
        <f t="shared" si="3"/>
        <v>19110.644444444442</v>
      </c>
      <c r="R11" s="9">
        <f t="shared" si="4"/>
        <v>612.59999999999991</v>
      </c>
      <c r="S11" s="10">
        <f t="shared" si="5"/>
        <v>2.4826740314266593</v>
      </c>
      <c r="T11" s="11">
        <v>395887</v>
      </c>
      <c r="U11" s="11">
        <v>12622</v>
      </c>
      <c r="V11" s="11">
        <v>57</v>
      </c>
      <c r="W11" s="12">
        <v>20836.15789473684</v>
      </c>
      <c r="X11" s="12">
        <v>664.31578947368428</v>
      </c>
      <c r="Y11" s="13">
        <v>2.5140971429214711</v>
      </c>
      <c r="Z11" s="11">
        <v>338655</v>
      </c>
      <c r="AA11" s="11">
        <v>11561</v>
      </c>
      <c r="AB11" s="11">
        <v>53</v>
      </c>
      <c r="AC11" s="12">
        <v>19169.150943396231</v>
      </c>
      <c r="AD11" s="12">
        <v>654.39622641509436</v>
      </c>
      <c r="AE11" s="13">
        <v>2.6055963558878208</v>
      </c>
      <c r="AF11" s="11">
        <v>125437</v>
      </c>
      <c r="AG11" s="11">
        <v>3384</v>
      </c>
      <c r="AH11" s="11">
        <v>25</v>
      </c>
      <c r="AI11" s="12">
        <v>15052.44</v>
      </c>
      <c r="AJ11" s="12">
        <v>406.08</v>
      </c>
      <c r="AK11" s="13">
        <v>2.3283285954706852</v>
      </c>
      <c r="AL11" s="11"/>
      <c r="AM11" s="11"/>
      <c r="AN11" s="11"/>
      <c r="AO11" s="12"/>
      <c r="AP11" s="12"/>
      <c r="AQ11" s="13"/>
      <c r="AR11" s="11"/>
      <c r="AS11" s="11"/>
      <c r="AT11" s="11"/>
      <c r="AU11" s="12"/>
      <c r="AV11" s="12"/>
      <c r="AW11" s="13"/>
      <c r="AX11" s="11"/>
      <c r="AY11" s="11"/>
      <c r="AZ11" s="11"/>
      <c r="BA11" s="12"/>
      <c r="BB11" s="12"/>
      <c r="BC11" s="13"/>
      <c r="BD11" s="11"/>
      <c r="BE11" s="11"/>
      <c r="BF11" s="11"/>
      <c r="BG11" s="12"/>
      <c r="BH11" s="12"/>
      <c r="BI11" s="13"/>
      <c r="BJ11" s="11"/>
      <c r="BK11" s="11"/>
      <c r="BL11" s="11"/>
      <c r="BM11" s="12"/>
      <c r="BN11" s="12"/>
      <c r="BO11" s="13"/>
      <c r="BP11" s="11"/>
      <c r="BQ11" s="11"/>
      <c r="BR11" s="11"/>
      <c r="BS11" s="12"/>
      <c r="BT11" s="12"/>
      <c r="BU11" s="13"/>
      <c r="BV11" s="11"/>
      <c r="BW11" s="11"/>
      <c r="BX11" s="11"/>
      <c r="BY11" s="12"/>
      <c r="BZ11" s="12"/>
      <c r="CA11" s="13"/>
      <c r="CB11" s="11"/>
      <c r="CC11" s="11"/>
      <c r="CD11" s="11"/>
      <c r="CE11" s="12"/>
      <c r="CF11" s="12"/>
      <c r="CG11" s="13"/>
      <c r="CJ11" s="11"/>
      <c r="CK11" s="12"/>
      <c r="CL11" s="12"/>
      <c r="CM11" s="13"/>
    </row>
    <row r="12" spans="1:91" x14ac:dyDescent="0.25">
      <c r="A12" s="7" t="s">
        <v>9</v>
      </c>
      <c r="B12" s="8">
        <v>228673.08333333334</v>
      </c>
      <c r="C12" s="8">
        <v>12966.416666666666</v>
      </c>
      <c r="D12" s="8">
        <v>511</v>
      </c>
      <c r="E12" s="9">
        <v>16110.04109589041</v>
      </c>
      <c r="F12" s="9">
        <v>913.48532289628179</v>
      </c>
      <c r="G12" s="10">
        <v>3.2638828752057538</v>
      </c>
      <c r="H12" s="8">
        <v>225252.58333333334</v>
      </c>
      <c r="I12" s="8">
        <v>15326</v>
      </c>
      <c r="J12" s="8">
        <v>522</v>
      </c>
      <c r="K12" s="9">
        <v>15534.660919540231</v>
      </c>
      <c r="L12" s="9">
        <v>1056.9655172413793</v>
      </c>
      <c r="M12" s="10">
        <v>3.529378836315662</v>
      </c>
      <c r="N12" s="8">
        <f t="shared" si="0"/>
        <v>272435.33333333331</v>
      </c>
      <c r="O12" s="8">
        <f t="shared" si="1"/>
        <v>22152.666666666668</v>
      </c>
      <c r="P12" s="8">
        <f t="shared" si="2"/>
        <v>141</v>
      </c>
      <c r="Q12" s="9">
        <f t="shared" si="3"/>
        <v>17389.48936170213</v>
      </c>
      <c r="R12" s="9">
        <f t="shared" si="4"/>
        <v>1414</v>
      </c>
      <c r="S12" s="10">
        <f t="shared" si="5"/>
        <v>3.8949895225706435</v>
      </c>
      <c r="T12" s="11">
        <v>290616</v>
      </c>
      <c r="U12" s="11">
        <v>27742</v>
      </c>
      <c r="V12" s="11">
        <v>49</v>
      </c>
      <c r="W12" s="12">
        <v>17792.81632653061</v>
      </c>
      <c r="X12" s="12">
        <v>1698.489795918367</v>
      </c>
      <c r="Y12" s="13">
        <v>4.221539819640717</v>
      </c>
      <c r="Z12" s="11">
        <v>287164</v>
      </c>
      <c r="AA12" s="11">
        <v>19057</v>
      </c>
      <c r="AB12" s="11">
        <v>48</v>
      </c>
      <c r="AC12" s="12">
        <v>17947.75</v>
      </c>
      <c r="AD12" s="12">
        <v>1191.0625</v>
      </c>
      <c r="AE12" s="13">
        <v>3.5384791722656952</v>
      </c>
      <c r="AF12" s="11">
        <v>239526</v>
      </c>
      <c r="AG12" s="11">
        <v>19659</v>
      </c>
      <c r="AH12" s="11">
        <v>44</v>
      </c>
      <c r="AI12" s="12">
        <v>16331.31818181818</v>
      </c>
      <c r="AJ12" s="12">
        <v>1340.386363636364</v>
      </c>
      <c r="AK12" s="13">
        <v>3.9249495758055182</v>
      </c>
      <c r="AL12" s="11"/>
      <c r="AM12" s="11"/>
      <c r="AN12" s="11"/>
      <c r="AO12" s="12"/>
      <c r="AP12" s="12"/>
      <c r="AQ12" s="13"/>
      <c r="AR12" s="11"/>
      <c r="AS12" s="11"/>
      <c r="AT12" s="11"/>
      <c r="AU12" s="12"/>
      <c r="AV12" s="12"/>
      <c r="AW12" s="13"/>
      <c r="AX12" s="11"/>
      <c r="AY12" s="11"/>
      <c r="AZ12" s="11"/>
      <c r="BA12" s="12"/>
      <c r="BB12" s="12"/>
      <c r="BC12" s="13"/>
      <c r="BD12" s="11"/>
      <c r="BE12" s="11"/>
      <c r="BF12" s="11"/>
      <c r="BG12" s="12"/>
      <c r="BH12" s="12"/>
      <c r="BI12" s="13"/>
      <c r="BJ12" s="11"/>
      <c r="BK12" s="11"/>
      <c r="BL12" s="11"/>
      <c r="BM12" s="12"/>
      <c r="BN12" s="12"/>
      <c r="BO12" s="13"/>
      <c r="BP12" s="11"/>
      <c r="BQ12" s="11"/>
      <c r="BR12" s="11"/>
      <c r="BS12" s="12"/>
      <c r="BT12" s="12"/>
      <c r="BU12" s="13"/>
      <c r="BV12" s="11"/>
      <c r="BW12" s="11"/>
      <c r="BX12" s="11"/>
      <c r="BY12" s="12"/>
      <c r="BZ12" s="12"/>
      <c r="CA12" s="13"/>
      <c r="CB12" s="11"/>
      <c r="CC12" s="11"/>
      <c r="CD12" s="11"/>
      <c r="CE12" s="12"/>
      <c r="CF12" s="12"/>
      <c r="CG12" s="13"/>
      <c r="CJ12" s="11"/>
      <c r="CK12" s="12"/>
      <c r="CL12" s="12"/>
      <c r="CM12" s="13"/>
    </row>
    <row r="13" spans="1:91" x14ac:dyDescent="0.25">
      <c r="A13" s="7" t="s">
        <v>10</v>
      </c>
      <c r="B13" s="8">
        <v>230337.83333333334</v>
      </c>
      <c r="C13" s="8">
        <v>8101.416666666667</v>
      </c>
      <c r="D13" s="8">
        <v>573</v>
      </c>
      <c r="E13" s="9">
        <v>14471.486910994763</v>
      </c>
      <c r="F13" s="9">
        <v>508.98952879581145</v>
      </c>
      <c r="G13" s="10">
        <v>2.6219532768454279</v>
      </c>
      <c r="H13" s="8">
        <v>279501.91666666669</v>
      </c>
      <c r="I13" s="8">
        <v>11279.25</v>
      </c>
      <c r="J13" s="8">
        <v>637</v>
      </c>
      <c r="K13" s="9">
        <v>15796.026687598116</v>
      </c>
      <c r="L13" s="9">
        <v>637.44583987441126</v>
      </c>
      <c r="M13" s="10">
        <v>2.7788680647835071</v>
      </c>
      <c r="N13" s="8">
        <f t="shared" si="0"/>
        <v>216790.33333333334</v>
      </c>
      <c r="O13" s="8">
        <f t="shared" si="1"/>
        <v>13865</v>
      </c>
      <c r="P13" s="8">
        <f t="shared" si="2"/>
        <v>148</v>
      </c>
      <c r="Q13" s="9">
        <f t="shared" si="3"/>
        <v>13183.195945945945</v>
      </c>
      <c r="R13" s="9">
        <f t="shared" si="4"/>
        <v>843.14189189189187</v>
      </c>
      <c r="S13" s="10">
        <f t="shared" si="5"/>
        <v>3.551506821201396</v>
      </c>
      <c r="T13" s="11">
        <v>214482</v>
      </c>
      <c r="U13" s="11">
        <v>13959</v>
      </c>
      <c r="V13" s="11">
        <v>53</v>
      </c>
      <c r="W13" s="12">
        <v>12140.490566037741</v>
      </c>
      <c r="X13" s="12">
        <v>790.13207547169816</v>
      </c>
      <c r="Y13" s="13">
        <v>3.5928588010370062</v>
      </c>
      <c r="Z13" s="11">
        <v>213005</v>
      </c>
      <c r="AA13" s="11">
        <v>12485</v>
      </c>
      <c r="AB13" s="11">
        <v>50</v>
      </c>
      <c r="AC13" s="12">
        <v>12780.3</v>
      </c>
      <c r="AD13" s="12">
        <v>749.09999999999991</v>
      </c>
      <c r="AE13" s="13">
        <v>3.3978266814439579</v>
      </c>
      <c r="AF13" s="11">
        <v>222884</v>
      </c>
      <c r="AG13" s="11">
        <v>15151</v>
      </c>
      <c r="AH13" s="11">
        <v>45</v>
      </c>
      <c r="AI13" s="12">
        <v>14858.933333333331</v>
      </c>
      <c r="AJ13" s="12">
        <v>1010.0666666666669</v>
      </c>
      <c r="AK13" s="13">
        <v>3.6638349811232231</v>
      </c>
      <c r="AL13" s="11"/>
      <c r="AM13" s="11"/>
      <c r="AN13" s="11"/>
      <c r="AO13" s="12"/>
      <c r="AP13" s="12"/>
      <c r="AQ13" s="13"/>
      <c r="AR13" s="11"/>
      <c r="AS13" s="11"/>
      <c r="AT13" s="11"/>
      <c r="AU13" s="12"/>
      <c r="AV13" s="12"/>
      <c r="AW13" s="13"/>
      <c r="AX13" s="11"/>
      <c r="AY13" s="11"/>
      <c r="AZ13" s="11"/>
      <c r="BA13" s="12"/>
      <c r="BB13" s="12"/>
      <c r="BC13" s="13"/>
      <c r="BD13" s="11"/>
      <c r="BE13" s="11"/>
      <c r="BF13" s="11"/>
      <c r="BG13" s="12"/>
      <c r="BH13" s="12"/>
      <c r="BI13" s="13"/>
      <c r="BJ13" s="11"/>
      <c r="BK13" s="11"/>
      <c r="BL13" s="11"/>
      <c r="BM13" s="12"/>
      <c r="BN13" s="12"/>
      <c r="BO13" s="13"/>
      <c r="BP13" s="11"/>
      <c r="BQ13" s="11"/>
      <c r="BR13" s="11"/>
      <c r="BS13" s="12"/>
      <c r="BT13" s="12"/>
      <c r="BU13" s="13"/>
      <c r="BV13" s="11"/>
      <c r="BW13" s="11"/>
      <c r="BX13" s="11"/>
      <c r="BY13" s="12"/>
      <c r="BZ13" s="12"/>
      <c r="CA13" s="13"/>
      <c r="CB13" s="11"/>
      <c r="CC13" s="11"/>
      <c r="CD13" s="11"/>
      <c r="CE13" s="12"/>
      <c r="CF13" s="12"/>
      <c r="CG13" s="13"/>
      <c r="CJ13" s="11"/>
      <c r="CK13" s="12"/>
      <c r="CL13" s="12"/>
      <c r="CM13" s="13"/>
    </row>
    <row r="14" spans="1:91" x14ac:dyDescent="0.25">
      <c r="A14" s="7" t="s">
        <v>11</v>
      </c>
      <c r="B14" s="8">
        <v>255692.92180989581</v>
      </c>
      <c r="C14" s="8">
        <v>146822.41666666666</v>
      </c>
      <c r="D14" s="8">
        <v>746</v>
      </c>
      <c r="E14" s="9">
        <v>12339.068612809986</v>
      </c>
      <c r="F14" s="9">
        <v>7085.2640750670253</v>
      </c>
      <c r="G14" s="10">
        <v>10.241662463156921</v>
      </c>
      <c r="H14" s="8">
        <v>328260.02666666667</v>
      </c>
      <c r="I14" s="8">
        <v>166813.75</v>
      </c>
      <c r="J14" s="8">
        <v>767</v>
      </c>
      <c r="K14" s="9">
        <v>15407.250273794005</v>
      </c>
      <c r="L14" s="9">
        <v>7829.5893089960891</v>
      </c>
      <c r="M14" s="10">
        <v>9.7373179341718696</v>
      </c>
      <c r="N14" s="8">
        <f t="shared" si="0"/>
        <v>295140</v>
      </c>
      <c r="O14" s="8">
        <f t="shared" si="1"/>
        <v>171588</v>
      </c>
      <c r="P14" s="8">
        <f t="shared" si="2"/>
        <v>195</v>
      </c>
      <c r="Q14" s="9">
        <f t="shared" si="3"/>
        <v>13621.846153846154</v>
      </c>
      <c r="R14" s="9">
        <f t="shared" si="4"/>
        <v>7919.4461538461537</v>
      </c>
      <c r="S14" s="10">
        <f t="shared" si="5"/>
        <v>10.442852088811408</v>
      </c>
      <c r="T14" s="11">
        <v>358878</v>
      </c>
      <c r="U14" s="11">
        <v>179750</v>
      </c>
      <c r="V14" s="11">
        <v>72</v>
      </c>
      <c r="W14" s="12">
        <v>14953.25</v>
      </c>
      <c r="X14" s="12">
        <v>7489.5833333333339</v>
      </c>
      <c r="Y14" s="13">
        <v>9.6515296496890191</v>
      </c>
      <c r="Z14" s="11">
        <v>227296</v>
      </c>
      <c r="AA14" s="11">
        <v>168212</v>
      </c>
      <c r="AB14" s="11">
        <v>60</v>
      </c>
      <c r="AC14" s="12">
        <v>11364.8</v>
      </c>
      <c r="AD14" s="12">
        <v>8410.6</v>
      </c>
      <c r="AE14" s="13">
        <v>11.64096915020626</v>
      </c>
      <c r="AF14" s="11">
        <v>299246</v>
      </c>
      <c r="AG14" s="11">
        <v>166802</v>
      </c>
      <c r="AH14" s="11">
        <v>63</v>
      </c>
      <c r="AI14" s="12">
        <v>14249.809523809519</v>
      </c>
      <c r="AJ14" s="12">
        <v>7942.9523809523816</v>
      </c>
      <c r="AK14" s="13">
        <v>10.036057466538949</v>
      </c>
      <c r="AL14" s="11"/>
      <c r="AM14" s="11"/>
      <c r="AN14" s="11"/>
      <c r="AO14" s="12"/>
      <c r="AP14" s="12"/>
      <c r="AQ14" s="13"/>
      <c r="AR14" s="11"/>
      <c r="AS14" s="11"/>
      <c r="AT14" s="11"/>
      <c r="AU14" s="12"/>
      <c r="AV14" s="12"/>
      <c r="AW14" s="13"/>
      <c r="AX14" s="11"/>
      <c r="AY14" s="11"/>
      <c r="AZ14" s="11"/>
      <c r="BA14" s="12"/>
      <c r="BB14" s="12"/>
      <c r="BC14" s="13"/>
      <c r="BD14" s="11"/>
      <c r="BE14" s="11"/>
      <c r="BF14" s="11"/>
      <c r="BG14" s="12"/>
      <c r="BH14" s="12"/>
      <c r="BI14" s="13"/>
      <c r="BJ14" s="11"/>
      <c r="BK14" s="11"/>
      <c r="BL14" s="11"/>
      <c r="BM14" s="12"/>
      <c r="BN14" s="12"/>
      <c r="BO14" s="13"/>
      <c r="BP14" s="11"/>
      <c r="BQ14" s="11"/>
      <c r="BR14" s="11"/>
      <c r="BS14" s="12"/>
      <c r="BT14" s="12"/>
      <c r="BU14" s="13"/>
      <c r="BV14" s="11"/>
      <c r="BW14" s="11"/>
      <c r="BX14" s="11"/>
      <c r="BY14" s="12"/>
      <c r="BZ14" s="12"/>
      <c r="CA14" s="13"/>
      <c r="CB14" s="11"/>
      <c r="CC14" s="11"/>
      <c r="CD14" s="11"/>
      <c r="CE14" s="12"/>
      <c r="CF14" s="12"/>
      <c r="CG14" s="13"/>
      <c r="CJ14" s="11"/>
      <c r="CK14" s="12"/>
      <c r="CL14" s="12"/>
      <c r="CM14" s="13"/>
    </row>
    <row r="15" spans="1:91" x14ac:dyDescent="0.25">
      <c r="A15" s="7" t="s">
        <v>12</v>
      </c>
      <c r="B15" s="8">
        <v>132264.58333333334</v>
      </c>
      <c r="C15" s="8">
        <v>53849.166666666664</v>
      </c>
      <c r="D15" s="8">
        <v>598</v>
      </c>
      <c r="E15" s="9">
        <v>7962.4163879598655</v>
      </c>
      <c r="F15" s="9">
        <v>3241.7558528428099</v>
      </c>
      <c r="G15" s="10">
        <v>10.07676635317133</v>
      </c>
      <c r="H15" s="8">
        <v>166520.33333333334</v>
      </c>
      <c r="I15" s="8">
        <v>75045.75</v>
      </c>
      <c r="J15" s="8">
        <v>693</v>
      </c>
      <c r="K15" s="9">
        <v>8650.4069264069258</v>
      </c>
      <c r="L15" s="9">
        <v>3898.4805194805194</v>
      </c>
      <c r="M15" s="10">
        <v>10.635987459576233</v>
      </c>
      <c r="N15" s="8">
        <f t="shared" si="0"/>
        <v>165631.33333333334</v>
      </c>
      <c r="O15" s="8">
        <f t="shared" si="1"/>
        <v>69929.666666666672</v>
      </c>
      <c r="P15" s="8">
        <f t="shared" si="2"/>
        <v>149</v>
      </c>
      <c r="Q15" s="9">
        <f t="shared" si="3"/>
        <v>10004.577181208053</v>
      </c>
      <c r="R15" s="9">
        <f t="shared" si="4"/>
        <v>4223.939597315436</v>
      </c>
      <c r="S15" s="10">
        <f t="shared" si="5"/>
        <v>10.287829695482372</v>
      </c>
      <c r="T15" s="11">
        <v>184929</v>
      </c>
      <c r="U15" s="11">
        <v>72035</v>
      </c>
      <c r="V15" s="11">
        <v>57</v>
      </c>
      <c r="W15" s="12">
        <v>9733.105263157895</v>
      </c>
      <c r="X15" s="12">
        <v>3791.3157894736842</v>
      </c>
      <c r="Y15" s="13">
        <v>9.9090097665173644</v>
      </c>
      <c r="Z15" s="11">
        <v>195389</v>
      </c>
      <c r="AA15" s="11">
        <v>87055</v>
      </c>
      <c r="AB15" s="11">
        <v>54</v>
      </c>
      <c r="AC15" s="12">
        <v>10854.944444444451</v>
      </c>
      <c r="AD15" s="12">
        <v>4836.3888888888887</v>
      </c>
      <c r="AE15" s="13">
        <v>10.532915882904931</v>
      </c>
      <c r="AF15" s="11">
        <v>116576</v>
      </c>
      <c r="AG15" s="11">
        <v>50699</v>
      </c>
      <c r="AH15" s="11">
        <v>38</v>
      </c>
      <c r="AI15" s="12">
        <v>9203.3684210526317</v>
      </c>
      <c r="AJ15" s="12">
        <v>4002.552631578948</v>
      </c>
      <c r="AK15" s="13">
        <v>10.421563437024821</v>
      </c>
      <c r="AL15" s="11"/>
      <c r="AM15" s="11"/>
      <c r="AN15" s="11"/>
      <c r="AO15" s="12"/>
      <c r="AP15" s="12"/>
      <c r="AQ15" s="13"/>
      <c r="AR15" s="11"/>
      <c r="AS15" s="11"/>
      <c r="AT15" s="11"/>
      <c r="AU15" s="12"/>
      <c r="AV15" s="12"/>
      <c r="AW15" s="13"/>
      <c r="AX15" s="11"/>
      <c r="AY15" s="11"/>
      <c r="AZ15" s="11"/>
      <c r="BA15" s="12"/>
      <c r="BB15" s="12"/>
      <c r="BC15" s="13"/>
      <c r="BD15" s="11"/>
      <c r="BE15" s="11"/>
      <c r="BF15" s="11"/>
      <c r="BG15" s="12"/>
      <c r="BH15" s="12"/>
      <c r="BI15" s="13"/>
      <c r="BJ15" s="11"/>
      <c r="BK15" s="11"/>
      <c r="BL15" s="11"/>
      <c r="BM15" s="12"/>
      <c r="BN15" s="12"/>
      <c r="BO15" s="13"/>
      <c r="BP15" s="11"/>
      <c r="BQ15" s="11"/>
      <c r="BR15" s="11"/>
      <c r="BS15" s="12"/>
      <c r="BT15" s="12"/>
      <c r="BU15" s="13"/>
      <c r="BV15" s="11"/>
      <c r="BW15" s="11"/>
      <c r="BX15" s="11"/>
      <c r="BY15" s="12"/>
      <c r="BZ15" s="12"/>
      <c r="CA15" s="13"/>
      <c r="CB15" s="11"/>
      <c r="CC15" s="11"/>
      <c r="CD15" s="11"/>
      <c r="CE15" s="12"/>
      <c r="CF15" s="12"/>
      <c r="CG15" s="13"/>
      <c r="CJ15" s="11"/>
      <c r="CK15" s="12"/>
      <c r="CL15" s="12"/>
      <c r="CM15" s="13"/>
    </row>
    <row r="16" spans="1:91" x14ac:dyDescent="0.25">
      <c r="A16" s="7" t="s">
        <v>13</v>
      </c>
      <c r="B16" s="8">
        <v>96029.166666666672</v>
      </c>
      <c r="C16" s="8">
        <v>157463.25</v>
      </c>
      <c r="D16" s="8">
        <v>635</v>
      </c>
      <c r="E16" s="9">
        <v>5444.1732283464571</v>
      </c>
      <c r="F16" s="9">
        <v>8927.050393700787</v>
      </c>
      <c r="G16" s="10">
        <v>20.504579958246222</v>
      </c>
      <c r="H16" s="8">
        <v>90730.7</v>
      </c>
      <c r="I16" s="8">
        <v>149908.70000000001</v>
      </c>
      <c r="J16" s="8">
        <v>467</v>
      </c>
      <c r="K16" s="9">
        <v>5828.5246252676661</v>
      </c>
      <c r="L16" s="9">
        <v>9630.1092077087796</v>
      </c>
      <c r="M16" s="10">
        <v>20.768650610992641</v>
      </c>
      <c r="N16" s="8">
        <f t="shared" si="0"/>
        <v>103930.66666666667</v>
      </c>
      <c r="O16" s="8">
        <f t="shared" si="1"/>
        <v>169154.33333333334</v>
      </c>
      <c r="P16" s="8">
        <f t="shared" si="2"/>
        <v>157</v>
      </c>
      <c r="Q16" s="9">
        <f t="shared" si="3"/>
        <v>5957.8089171974516</v>
      </c>
      <c r="R16" s="9">
        <f t="shared" si="4"/>
        <v>9696.7452229299361</v>
      </c>
      <c r="S16" s="10">
        <f t="shared" si="5"/>
        <v>20.268568211269393</v>
      </c>
      <c r="T16" s="11">
        <v>114329</v>
      </c>
      <c r="U16" s="11">
        <v>187343</v>
      </c>
      <c r="V16" s="11">
        <v>59</v>
      </c>
      <c r="W16" s="12">
        <v>5813.3389830508477</v>
      </c>
      <c r="X16" s="12">
        <v>9525.9152542372867</v>
      </c>
      <c r="Y16" s="13">
        <v>20.373196968226541</v>
      </c>
      <c r="Z16" s="11">
        <v>101231</v>
      </c>
      <c r="AA16" s="11">
        <v>163256</v>
      </c>
      <c r="AB16" s="11">
        <v>46</v>
      </c>
      <c r="AC16" s="12">
        <v>6602.0217391304359</v>
      </c>
      <c r="AD16" s="12">
        <v>10647.13043478261</v>
      </c>
      <c r="AE16" s="13">
        <v>20.193658521291251</v>
      </c>
      <c r="AF16" s="11">
        <v>96232</v>
      </c>
      <c r="AG16" s="11">
        <v>156864</v>
      </c>
      <c r="AH16" s="11">
        <v>52</v>
      </c>
      <c r="AI16" s="12">
        <v>5551.8461538461534</v>
      </c>
      <c r="AJ16" s="12">
        <v>9049.8461538461543</v>
      </c>
      <c r="AK16" s="13">
        <v>20.238849144290391</v>
      </c>
      <c r="AL16" s="11"/>
      <c r="AM16" s="11"/>
      <c r="AN16" s="11"/>
      <c r="AO16" s="12"/>
      <c r="AP16" s="12"/>
      <c r="AQ16" s="13"/>
      <c r="AR16" s="11"/>
      <c r="AS16" s="11"/>
      <c r="AT16" s="11"/>
      <c r="AU16" s="12"/>
      <c r="AV16" s="12"/>
      <c r="AW16" s="13"/>
      <c r="AX16" s="11"/>
      <c r="AY16" s="11"/>
      <c r="AZ16" s="11"/>
      <c r="BA16" s="12"/>
      <c r="BB16" s="12"/>
      <c r="BC16" s="13"/>
      <c r="BD16" s="11"/>
      <c r="BE16" s="11"/>
      <c r="BF16" s="11"/>
      <c r="BG16" s="12"/>
      <c r="BH16" s="12"/>
      <c r="BI16" s="13"/>
      <c r="BJ16" s="11"/>
      <c r="BK16" s="11"/>
      <c r="BL16" s="11"/>
      <c r="BM16" s="12"/>
      <c r="BN16" s="12"/>
      <c r="BO16" s="13"/>
      <c r="BP16" s="11"/>
      <c r="BQ16" s="11"/>
      <c r="BR16" s="11"/>
      <c r="BS16" s="12"/>
      <c r="BT16" s="12"/>
      <c r="BU16" s="13"/>
      <c r="BV16" s="11"/>
      <c r="BW16" s="11"/>
      <c r="BX16" s="11"/>
      <c r="BY16" s="12"/>
      <c r="BZ16" s="12"/>
      <c r="CA16" s="13"/>
      <c r="CB16" s="11"/>
      <c r="CC16" s="11"/>
      <c r="CD16" s="11"/>
      <c r="CE16" s="12"/>
      <c r="CF16" s="12"/>
      <c r="CG16" s="13"/>
      <c r="CJ16" s="11"/>
      <c r="CK16" s="12"/>
      <c r="CL16" s="12"/>
      <c r="CM16" s="13"/>
    </row>
    <row r="17" spans="1:91" x14ac:dyDescent="0.25">
      <c r="A17" s="7" t="s">
        <v>14</v>
      </c>
      <c r="B17" s="8">
        <v>235465.5272034439</v>
      </c>
      <c r="C17" s="8">
        <v>3410.6666666666665</v>
      </c>
      <c r="D17" s="8">
        <v>486</v>
      </c>
      <c r="E17" s="9">
        <v>17441.890903958803</v>
      </c>
      <c r="F17" s="9">
        <v>252.64197530864197</v>
      </c>
      <c r="G17" s="10">
        <v>1.695057766667553</v>
      </c>
      <c r="H17" s="8">
        <v>327981.75</v>
      </c>
      <c r="I17" s="8">
        <v>5058.25</v>
      </c>
      <c r="J17" s="8">
        <v>673</v>
      </c>
      <c r="K17" s="9">
        <v>17544.343239227339</v>
      </c>
      <c r="L17" s="9">
        <v>270.57503714710253</v>
      </c>
      <c r="M17" s="10">
        <v>1.73296204619908</v>
      </c>
      <c r="N17" s="8">
        <f t="shared" si="0"/>
        <v>294847.33333333331</v>
      </c>
      <c r="O17" s="8">
        <f t="shared" si="1"/>
        <v>4838</v>
      </c>
      <c r="P17" s="8">
        <f t="shared" si="2"/>
        <v>151</v>
      </c>
      <c r="Q17" s="9">
        <f t="shared" si="3"/>
        <v>17573.682119205296</v>
      </c>
      <c r="R17" s="9">
        <f t="shared" si="4"/>
        <v>288.35761589403972</v>
      </c>
      <c r="S17" s="10">
        <f t="shared" si="5"/>
        <v>1.8001772241415583</v>
      </c>
      <c r="T17" s="11">
        <v>317353</v>
      </c>
      <c r="U17" s="11">
        <v>4910</v>
      </c>
      <c r="V17" s="11">
        <v>57</v>
      </c>
      <c r="W17" s="12">
        <v>16702.78947368421</v>
      </c>
      <c r="X17" s="12">
        <v>258.42105263157902</v>
      </c>
      <c r="Y17" s="13">
        <v>1.744284897611412</v>
      </c>
      <c r="Z17" s="11">
        <v>307105</v>
      </c>
      <c r="AA17" s="11">
        <v>5189</v>
      </c>
      <c r="AB17" s="11">
        <v>46</v>
      </c>
      <c r="AC17" s="12">
        <v>20028.58695652174</v>
      </c>
      <c r="AD17" s="12">
        <v>338.41304347826087</v>
      </c>
      <c r="AE17" s="13">
        <v>1.8255225218597091</v>
      </c>
      <c r="AF17" s="11">
        <v>260084</v>
      </c>
      <c r="AG17" s="11">
        <v>4415</v>
      </c>
      <c r="AH17" s="11">
        <v>48</v>
      </c>
      <c r="AI17" s="12">
        <v>16255.25</v>
      </c>
      <c r="AJ17" s="12">
        <v>275.9375</v>
      </c>
      <c r="AK17" s="13">
        <v>1.8307242529535539</v>
      </c>
      <c r="AL17" s="11"/>
      <c r="AM17" s="11"/>
      <c r="AN17" s="11"/>
      <c r="AO17" s="12"/>
      <c r="AP17" s="12"/>
      <c r="AQ17" s="13"/>
      <c r="AR17" s="11"/>
      <c r="AS17" s="11"/>
      <c r="AT17" s="11"/>
      <c r="AU17" s="12"/>
      <c r="AV17" s="12"/>
      <c r="AW17" s="13"/>
      <c r="AX17" s="11"/>
      <c r="AY17" s="11"/>
      <c r="AZ17" s="11"/>
      <c r="BA17" s="12"/>
      <c r="BB17" s="12"/>
      <c r="BC17" s="13"/>
      <c r="BD17" s="11"/>
      <c r="BE17" s="11"/>
      <c r="BF17" s="11"/>
      <c r="BG17" s="12"/>
      <c r="BH17" s="12"/>
      <c r="BI17" s="13"/>
      <c r="BJ17" s="11"/>
      <c r="BK17" s="11"/>
      <c r="BL17" s="11"/>
      <c r="BM17" s="12"/>
      <c r="BN17" s="12"/>
      <c r="BO17" s="13"/>
      <c r="BP17" s="11"/>
      <c r="BQ17" s="11"/>
      <c r="BR17" s="11"/>
      <c r="BS17" s="12"/>
      <c r="BT17" s="12"/>
      <c r="BU17" s="13"/>
      <c r="BV17" s="11"/>
      <c r="BW17" s="11"/>
      <c r="BX17" s="11"/>
      <c r="BY17" s="12"/>
      <c r="BZ17" s="12"/>
      <c r="CA17" s="13"/>
      <c r="CB17" s="11"/>
      <c r="CC17" s="11"/>
      <c r="CD17" s="11"/>
      <c r="CE17" s="12"/>
      <c r="CF17" s="12"/>
      <c r="CG17" s="13"/>
      <c r="CJ17" s="11"/>
      <c r="CK17" s="12"/>
      <c r="CL17" s="12"/>
      <c r="CM17" s="13"/>
    </row>
    <row r="18" spans="1:91" x14ac:dyDescent="0.25">
      <c r="A18" s="7" t="s">
        <v>15</v>
      </c>
      <c r="B18" s="8">
        <v>168420.9189830705</v>
      </c>
      <c r="C18" s="8">
        <v>4593.909090909091</v>
      </c>
      <c r="D18" s="8">
        <v>395</v>
      </c>
      <c r="E18" s="9">
        <v>14070.608421370445</v>
      </c>
      <c r="F18" s="9">
        <v>383.79493670886075</v>
      </c>
      <c r="G18" s="10">
        <v>2.2962796543768249</v>
      </c>
      <c r="H18" s="8">
        <v>210719.16666666666</v>
      </c>
      <c r="I18" s="8">
        <v>6311.583333333333</v>
      </c>
      <c r="J18" s="8">
        <v>430</v>
      </c>
      <c r="K18" s="9">
        <v>17641.60465116279</v>
      </c>
      <c r="L18" s="9">
        <v>528.41162790697672</v>
      </c>
      <c r="M18" s="10">
        <v>2.4666902944878553</v>
      </c>
      <c r="N18" s="8">
        <f t="shared" si="0"/>
        <v>225352.33333333334</v>
      </c>
      <c r="O18" s="8">
        <f t="shared" si="1"/>
        <v>7396.666666666667</v>
      </c>
      <c r="P18" s="8">
        <f t="shared" si="2"/>
        <v>117</v>
      </c>
      <c r="Q18" s="9">
        <f t="shared" si="3"/>
        <v>17334.794871794871</v>
      </c>
      <c r="R18" s="9">
        <f t="shared" si="4"/>
        <v>568.97435897435901</v>
      </c>
      <c r="S18" s="10">
        <f t="shared" si="5"/>
        <v>2.5026210045350727</v>
      </c>
      <c r="T18" s="11">
        <v>208128</v>
      </c>
      <c r="U18" s="11">
        <v>8161</v>
      </c>
      <c r="V18" s="11">
        <v>41</v>
      </c>
      <c r="W18" s="12">
        <v>15228.878048780491</v>
      </c>
      <c r="X18" s="12">
        <v>597.14634146341473</v>
      </c>
      <c r="Y18" s="13">
        <v>2.760168388484209</v>
      </c>
      <c r="Z18" s="11">
        <v>228117</v>
      </c>
      <c r="AA18" s="11">
        <v>5594</v>
      </c>
      <c r="AB18" s="11">
        <v>41</v>
      </c>
      <c r="AC18" s="12">
        <v>16691.487804878048</v>
      </c>
      <c r="AD18" s="12">
        <v>409.3170731707317</v>
      </c>
      <c r="AE18" s="13">
        <v>2.1682345926051938</v>
      </c>
      <c r="AF18" s="11">
        <v>239812</v>
      </c>
      <c r="AG18" s="11">
        <v>8435</v>
      </c>
      <c r="AH18" s="11">
        <v>35</v>
      </c>
      <c r="AI18" s="12">
        <v>20555.314285714281</v>
      </c>
      <c r="AJ18" s="12">
        <v>723</v>
      </c>
      <c r="AK18" s="13">
        <v>2.579460032515815</v>
      </c>
      <c r="AL18" s="11"/>
      <c r="AM18" s="11"/>
      <c r="AN18" s="11"/>
      <c r="AO18" s="12"/>
      <c r="AP18" s="12"/>
      <c r="AQ18" s="13"/>
      <c r="AR18" s="11"/>
      <c r="AS18" s="11"/>
      <c r="AT18" s="11"/>
      <c r="AU18" s="12"/>
      <c r="AV18" s="12"/>
      <c r="AW18" s="13"/>
      <c r="AX18" s="11"/>
      <c r="AY18" s="11"/>
      <c r="AZ18" s="11"/>
      <c r="BA18" s="12"/>
      <c r="BB18" s="12"/>
      <c r="BC18" s="13"/>
      <c r="BD18" s="11"/>
      <c r="BE18" s="11"/>
      <c r="BF18" s="11"/>
      <c r="BG18" s="12"/>
      <c r="BH18" s="12"/>
      <c r="BI18" s="13"/>
      <c r="BJ18" s="11"/>
      <c r="BK18" s="11"/>
      <c r="BL18" s="11"/>
      <c r="BM18" s="12"/>
      <c r="BN18" s="12"/>
      <c r="BO18" s="13"/>
      <c r="BP18" s="11"/>
      <c r="BQ18" s="11"/>
      <c r="BR18" s="11"/>
      <c r="BS18" s="12"/>
      <c r="BT18" s="12"/>
      <c r="BU18" s="13"/>
      <c r="BV18" s="11"/>
      <c r="BW18" s="11"/>
      <c r="BX18" s="11"/>
      <c r="BY18" s="12"/>
      <c r="BZ18" s="12"/>
      <c r="CA18" s="13"/>
      <c r="CB18" s="11"/>
      <c r="CC18" s="11"/>
      <c r="CD18" s="11"/>
      <c r="CE18" s="12"/>
      <c r="CF18" s="12"/>
      <c r="CG18" s="13"/>
      <c r="CJ18" s="11"/>
      <c r="CK18" s="12"/>
      <c r="CL18" s="12"/>
      <c r="CM18" s="13"/>
    </row>
    <row r="19" spans="1:91" x14ac:dyDescent="0.25">
      <c r="A19" s="7" t="s">
        <v>16</v>
      </c>
      <c r="B19" s="8">
        <v>77018.416666666672</v>
      </c>
      <c r="C19" s="8">
        <v>214771.08333333334</v>
      </c>
      <c r="D19" s="8">
        <v>581</v>
      </c>
      <c r="E19" s="9">
        <v>4772.2254733218588</v>
      </c>
      <c r="F19" s="9">
        <v>13307.674698795181</v>
      </c>
      <c r="G19" s="10">
        <v>26.165532817126689</v>
      </c>
      <c r="H19" s="8">
        <v>89597.583333333328</v>
      </c>
      <c r="I19" s="8">
        <v>260399.91666666666</v>
      </c>
      <c r="J19" s="8">
        <v>653</v>
      </c>
      <c r="K19" s="9">
        <v>4939.5298621745787</v>
      </c>
      <c r="L19" s="9">
        <v>14355.891271056662</v>
      </c>
      <c r="M19" s="10">
        <v>26.643567249805582</v>
      </c>
      <c r="N19" s="8">
        <f t="shared" si="0"/>
        <v>85592.666666666672</v>
      </c>
      <c r="O19" s="8">
        <f t="shared" si="1"/>
        <v>284113.66666666669</v>
      </c>
      <c r="P19" s="8">
        <f t="shared" si="2"/>
        <v>173</v>
      </c>
      <c r="Q19" s="9">
        <f t="shared" si="3"/>
        <v>4452.7976878612717</v>
      </c>
      <c r="R19" s="9">
        <f t="shared" si="4"/>
        <v>14780.479768786126</v>
      </c>
      <c r="S19" s="10">
        <f t="shared" si="5"/>
        <v>28.04327007255765</v>
      </c>
      <c r="T19" s="11">
        <v>82762</v>
      </c>
      <c r="U19" s="11">
        <v>300855</v>
      </c>
      <c r="V19" s="11">
        <v>57</v>
      </c>
      <c r="W19" s="12">
        <v>4355.894736842105</v>
      </c>
      <c r="X19" s="12">
        <v>15834.47368421053</v>
      </c>
      <c r="Y19" s="13">
        <v>29.090403269194638</v>
      </c>
      <c r="Z19" s="11">
        <v>79528</v>
      </c>
      <c r="AA19" s="11">
        <v>271534</v>
      </c>
      <c r="AB19" s="11">
        <v>58</v>
      </c>
      <c r="AC19" s="12">
        <v>4113.5172413793107</v>
      </c>
      <c r="AD19" s="12">
        <v>14044.86206896552</v>
      </c>
      <c r="AE19" s="13">
        <v>28.49404176609367</v>
      </c>
      <c r="AF19" s="11">
        <v>94488</v>
      </c>
      <c r="AG19" s="11">
        <v>279952</v>
      </c>
      <c r="AH19" s="11">
        <v>58</v>
      </c>
      <c r="AI19" s="12">
        <v>4887.3103448275861</v>
      </c>
      <c r="AJ19" s="12">
        <v>14480.27586206896</v>
      </c>
      <c r="AK19" s="13">
        <v>26.545365182384639</v>
      </c>
      <c r="AL19" s="11"/>
      <c r="AM19" s="11"/>
      <c r="AN19" s="11"/>
      <c r="AO19" s="12"/>
      <c r="AP19" s="12"/>
      <c r="AQ19" s="13"/>
      <c r="AR19" s="11"/>
      <c r="AS19" s="11"/>
      <c r="AT19" s="11"/>
      <c r="AU19" s="12"/>
      <c r="AV19" s="12"/>
      <c r="AW19" s="13"/>
      <c r="AX19" s="11"/>
      <c r="AY19" s="11"/>
      <c r="AZ19" s="11"/>
      <c r="BA19" s="12"/>
      <c r="BB19" s="12"/>
      <c r="BC19" s="13"/>
      <c r="BD19" s="11"/>
      <c r="BE19" s="11"/>
      <c r="BF19" s="11"/>
      <c r="BG19" s="12"/>
      <c r="BH19" s="12"/>
      <c r="BI19" s="13"/>
      <c r="BJ19" s="11"/>
      <c r="BK19" s="11"/>
      <c r="BL19" s="11"/>
      <c r="BM19" s="12"/>
      <c r="BN19" s="12"/>
      <c r="BO19" s="13"/>
      <c r="BP19" s="11"/>
      <c r="BQ19" s="11"/>
      <c r="BR19" s="11"/>
      <c r="BS19" s="12"/>
      <c r="BT19" s="12"/>
      <c r="BU19" s="13"/>
      <c r="BV19" s="11"/>
      <c r="BW19" s="11"/>
      <c r="BX19" s="11"/>
      <c r="BY19" s="12"/>
      <c r="BZ19" s="12"/>
      <c r="CA19" s="13"/>
      <c r="CB19" s="11"/>
      <c r="CC19" s="11"/>
      <c r="CD19" s="11"/>
      <c r="CE19" s="12"/>
      <c r="CF19" s="12"/>
      <c r="CG19" s="13"/>
      <c r="CJ19" s="11"/>
      <c r="CK19" s="12"/>
      <c r="CL19" s="12"/>
      <c r="CM19" s="13"/>
    </row>
    <row r="20" spans="1:91" x14ac:dyDescent="0.25">
      <c r="A20" s="7" t="s">
        <v>17</v>
      </c>
      <c r="B20" s="8">
        <v>114198.27272727272</v>
      </c>
      <c r="C20" s="8">
        <v>18250.272727272728</v>
      </c>
      <c r="D20" s="8">
        <v>386</v>
      </c>
      <c r="E20" s="9">
        <v>9763.0647668393794</v>
      </c>
      <c r="F20" s="9">
        <v>1560.256476683938</v>
      </c>
      <c r="G20" s="10">
        <v>6.3284372764155554</v>
      </c>
      <c r="H20" s="8">
        <v>178377.08333333334</v>
      </c>
      <c r="I20" s="8">
        <v>33934.583333333336</v>
      </c>
      <c r="J20" s="8">
        <v>571</v>
      </c>
      <c r="K20" s="9">
        <v>11246.190893169878</v>
      </c>
      <c r="L20" s="9">
        <v>2139.4833625218916</v>
      </c>
      <c r="M20" s="10">
        <v>6.7733208919186554</v>
      </c>
      <c r="N20" s="8">
        <f t="shared" si="0"/>
        <v>148018</v>
      </c>
      <c r="O20" s="8">
        <f t="shared" si="1"/>
        <v>19012.666666666668</v>
      </c>
      <c r="P20" s="8">
        <f t="shared" si="2"/>
        <v>116</v>
      </c>
      <c r="Q20" s="9">
        <f t="shared" si="3"/>
        <v>11484.155172413793</v>
      </c>
      <c r="R20" s="9">
        <f t="shared" si="4"/>
        <v>1475.1206896551723</v>
      </c>
      <c r="S20" s="10">
        <f t="shared" si="5"/>
        <v>5.6633721223054998</v>
      </c>
      <c r="T20" s="11">
        <v>173630</v>
      </c>
      <c r="U20" s="11">
        <v>21098</v>
      </c>
      <c r="V20" s="11">
        <v>45</v>
      </c>
      <c r="W20" s="12">
        <v>11575.33333333333</v>
      </c>
      <c r="X20" s="12">
        <v>1406.5333333333331</v>
      </c>
      <c r="Y20" s="13">
        <v>5.5063553708544504</v>
      </c>
      <c r="Z20" s="11">
        <v>150242</v>
      </c>
      <c r="AA20" s="11">
        <v>20716</v>
      </c>
      <c r="AB20" s="11">
        <v>40</v>
      </c>
      <c r="AC20" s="12">
        <v>11268.15</v>
      </c>
      <c r="AD20" s="12">
        <v>1553.7</v>
      </c>
      <c r="AE20" s="13">
        <v>5.883580346477352</v>
      </c>
      <c r="AF20" s="11">
        <v>120182</v>
      </c>
      <c r="AG20" s="11">
        <v>15224</v>
      </c>
      <c r="AH20" s="11">
        <v>31</v>
      </c>
      <c r="AI20" s="12">
        <v>11630.516129032259</v>
      </c>
      <c r="AJ20" s="12">
        <v>1473.2903225806449</v>
      </c>
      <c r="AK20" s="13">
        <v>5.600180649584698</v>
      </c>
      <c r="AL20" s="11"/>
      <c r="AM20" s="11"/>
      <c r="AN20" s="11"/>
      <c r="AO20" s="12"/>
      <c r="AP20" s="12"/>
      <c r="AQ20" s="13"/>
      <c r="AR20" s="11"/>
      <c r="AS20" s="11"/>
      <c r="AT20" s="11"/>
      <c r="AU20" s="12"/>
      <c r="AV20" s="12"/>
      <c r="AW20" s="13"/>
      <c r="AX20" s="11"/>
      <c r="AY20" s="11"/>
      <c r="AZ20" s="11"/>
      <c r="BA20" s="12"/>
      <c r="BB20" s="12"/>
      <c r="BC20" s="13"/>
      <c r="BD20" s="11"/>
      <c r="BE20" s="11"/>
      <c r="BF20" s="11"/>
      <c r="BG20" s="12"/>
      <c r="BH20" s="12"/>
      <c r="BI20" s="13"/>
      <c r="BJ20" s="11"/>
      <c r="BK20" s="11"/>
      <c r="BL20" s="11"/>
      <c r="BM20" s="12"/>
      <c r="BN20" s="12"/>
      <c r="BO20" s="13"/>
      <c r="BP20" s="11"/>
      <c r="BQ20" s="11"/>
      <c r="BR20" s="11"/>
      <c r="BS20" s="12"/>
      <c r="BT20" s="12"/>
      <c r="BU20" s="13"/>
      <c r="BV20" s="11"/>
      <c r="BW20" s="11"/>
      <c r="BX20" s="11"/>
      <c r="BY20" s="12"/>
      <c r="BZ20" s="12"/>
      <c r="CA20" s="13"/>
      <c r="CB20" s="11"/>
      <c r="CC20" s="11"/>
      <c r="CD20" s="11"/>
      <c r="CE20" s="12"/>
      <c r="CF20" s="12"/>
      <c r="CG20" s="13"/>
      <c r="CJ20" s="11"/>
      <c r="CK20" s="12"/>
      <c r="CL20" s="12"/>
      <c r="CM20" s="13"/>
    </row>
    <row r="21" spans="1:91" x14ac:dyDescent="0.25">
      <c r="A21" s="7" t="s">
        <v>18</v>
      </c>
      <c r="B21" s="8">
        <v>496964.43583333335</v>
      </c>
      <c r="C21" s="8">
        <v>143549.16666666666</v>
      </c>
      <c r="D21" s="8">
        <v>838</v>
      </c>
      <c r="E21" s="9">
        <v>21349.307505966586</v>
      </c>
      <c r="F21" s="9">
        <v>6166.7899761336512</v>
      </c>
      <c r="G21" s="10">
        <v>7.2333463740734052</v>
      </c>
      <c r="H21" s="8">
        <v>557938</v>
      </c>
      <c r="I21" s="8">
        <v>157019.58333333334</v>
      </c>
      <c r="J21" s="8">
        <v>875</v>
      </c>
      <c r="K21" s="9">
        <v>22955.163428571428</v>
      </c>
      <c r="L21" s="9">
        <v>6460.2342857142858</v>
      </c>
      <c r="M21" s="10">
        <v>7.1782876853879189</v>
      </c>
      <c r="N21" s="8">
        <f t="shared" si="0"/>
        <v>490135.66666666669</v>
      </c>
      <c r="O21" s="8">
        <f t="shared" si="1"/>
        <v>130768</v>
      </c>
      <c r="P21" s="8">
        <f t="shared" si="2"/>
        <v>207</v>
      </c>
      <c r="Q21" s="9">
        <f t="shared" si="3"/>
        <v>21310.246376811596</v>
      </c>
      <c r="R21" s="9">
        <f t="shared" si="4"/>
        <v>5685.565217391304</v>
      </c>
      <c r="S21" s="10">
        <f t="shared" si="5"/>
        <v>6.9000887915719735</v>
      </c>
      <c r="T21" s="11">
        <v>514374</v>
      </c>
      <c r="U21" s="11">
        <v>143216</v>
      </c>
      <c r="V21" s="11">
        <v>72</v>
      </c>
      <c r="W21" s="12">
        <v>21432.25</v>
      </c>
      <c r="X21" s="12">
        <v>5967.333333333333</v>
      </c>
      <c r="Y21" s="13">
        <v>6.9613276621277409</v>
      </c>
      <c r="Z21" s="11">
        <v>513083</v>
      </c>
      <c r="AA21" s="11">
        <v>129098</v>
      </c>
      <c r="AB21" s="11">
        <v>72</v>
      </c>
      <c r="AC21" s="12">
        <v>21378.458333333328</v>
      </c>
      <c r="AD21" s="12">
        <v>5379.0833333333339</v>
      </c>
      <c r="AE21" s="13">
        <v>6.7970453056605038</v>
      </c>
      <c r="AF21" s="11">
        <v>442950</v>
      </c>
      <c r="AG21" s="11">
        <v>119990</v>
      </c>
      <c r="AH21" s="11">
        <v>63</v>
      </c>
      <c r="AI21" s="12">
        <v>21092.857142857141</v>
      </c>
      <c r="AJ21" s="12">
        <v>5713.8095238095239</v>
      </c>
      <c r="AK21" s="13">
        <v>6.9418934069276768</v>
      </c>
      <c r="AL21" s="11"/>
      <c r="AM21" s="11"/>
      <c r="AN21" s="11"/>
      <c r="AO21" s="12"/>
      <c r="AP21" s="12"/>
      <c r="AQ21" s="13"/>
      <c r="AR21" s="11"/>
      <c r="AS21" s="11"/>
      <c r="AT21" s="11"/>
      <c r="AU21" s="12"/>
      <c r="AV21" s="12"/>
      <c r="AW21" s="13"/>
      <c r="AX21" s="11"/>
      <c r="AY21" s="11"/>
      <c r="AZ21" s="11"/>
      <c r="BA21" s="12"/>
      <c r="BB21" s="12"/>
      <c r="BC21" s="13"/>
      <c r="BD21" s="11"/>
      <c r="BE21" s="11"/>
      <c r="BF21" s="11"/>
      <c r="BG21" s="12"/>
      <c r="BH21" s="12"/>
      <c r="BI21" s="13"/>
      <c r="BJ21" s="11"/>
      <c r="BK21" s="11"/>
      <c r="BL21" s="11"/>
      <c r="BM21" s="12"/>
      <c r="BN21" s="12"/>
      <c r="BO21" s="13"/>
      <c r="BP21" s="11"/>
      <c r="BQ21" s="11"/>
      <c r="BR21" s="11"/>
      <c r="BS21" s="12"/>
      <c r="BT21" s="12"/>
      <c r="BU21" s="13"/>
      <c r="BV21" s="11"/>
      <c r="BW21" s="11"/>
      <c r="BX21" s="11"/>
      <c r="BY21" s="12"/>
      <c r="BZ21" s="12"/>
      <c r="CA21" s="13"/>
      <c r="CB21" s="11"/>
      <c r="CC21" s="11"/>
      <c r="CD21" s="11"/>
      <c r="CE21" s="12"/>
      <c r="CF21" s="12"/>
      <c r="CG21" s="13"/>
      <c r="CJ21" s="11"/>
      <c r="CK21" s="12"/>
      <c r="CL21" s="12"/>
      <c r="CM21" s="13"/>
    </row>
    <row r="22" spans="1:91" x14ac:dyDescent="0.25">
      <c r="A22" s="7" t="s">
        <v>19</v>
      </c>
      <c r="B22" s="8">
        <v>386507.05208333331</v>
      </c>
      <c r="C22" s="8">
        <v>100948.58333333333</v>
      </c>
      <c r="D22" s="8">
        <v>760</v>
      </c>
      <c r="E22" s="9">
        <v>18308.228782894737</v>
      </c>
      <c r="F22" s="9">
        <v>4781.7749999999996</v>
      </c>
      <c r="G22" s="10">
        <v>6.8398745554157081</v>
      </c>
      <c r="H22" s="8">
        <v>460689.66666666669</v>
      </c>
      <c r="I22" s="8">
        <v>114796.16666666667</v>
      </c>
      <c r="J22" s="8">
        <v>820</v>
      </c>
      <c r="K22" s="9">
        <v>20225.400000000001</v>
      </c>
      <c r="L22" s="9">
        <v>5039.8317073170729</v>
      </c>
      <c r="M22" s="10">
        <v>6.7035682798563121</v>
      </c>
      <c r="N22" s="8">
        <f t="shared" si="0"/>
        <v>470685</v>
      </c>
      <c r="O22" s="8">
        <f t="shared" si="1"/>
        <v>113529.66666666667</v>
      </c>
      <c r="P22" s="8">
        <f t="shared" si="2"/>
        <v>201</v>
      </c>
      <c r="Q22" s="9">
        <f t="shared" si="3"/>
        <v>21075.447761194031</v>
      </c>
      <c r="R22" s="9">
        <f t="shared" si="4"/>
        <v>5083.4179104477607</v>
      </c>
      <c r="S22" s="10">
        <f t="shared" si="5"/>
        <v>6.4629640135029156</v>
      </c>
      <c r="T22" s="11">
        <v>555592</v>
      </c>
      <c r="U22" s="11">
        <v>141181</v>
      </c>
      <c r="V22" s="11">
        <v>75</v>
      </c>
      <c r="W22" s="12">
        <v>22223.68</v>
      </c>
      <c r="X22" s="12">
        <v>5647.24</v>
      </c>
      <c r="Y22" s="13">
        <v>6.45087554615864</v>
      </c>
      <c r="Z22" s="11">
        <v>388776</v>
      </c>
      <c r="AA22" s="11">
        <v>98677</v>
      </c>
      <c r="AB22" s="11">
        <v>59</v>
      </c>
      <c r="AC22" s="12">
        <v>19768.271186440681</v>
      </c>
      <c r="AD22" s="12">
        <v>5017.4745762711864</v>
      </c>
      <c r="AE22" s="13">
        <v>6.7002410310195293</v>
      </c>
      <c r="AF22" s="11">
        <v>467687</v>
      </c>
      <c r="AG22" s="11">
        <v>100731</v>
      </c>
      <c r="AH22" s="11">
        <v>67</v>
      </c>
      <c r="AI22" s="12">
        <v>20941.208955223879</v>
      </c>
      <c r="AJ22" s="12">
        <v>4510.3432835820886</v>
      </c>
      <c r="AK22" s="13">
        <v>6.2377754633305793</v>
      </c>
      <c r="AL22" s="11"/>
      <c r="AM22" s="11"/>
      <c r="AN22" s="11"/>
      <c r="AO22" s="12"/>
      <c r="AP22" s="12"/>
      <c r="AQ22" s="13"/>
      <c r="AR22" s="11"/>
      <c r="AS22" s="11"/>
      <c r="AT22" s="11"/>
      <c r="AU22" s="12"/>
      <c r="AV22" s="12"/>
      <c r="AW22" s="13"/>
      <c r="AX22" s="11"/>
      <c r="AY22" s="11"/>
      <c r="AZ22" s="11"/>
      <c r="BA22" s="12"/>
      <c r="BB22" s="12"/>
      <c r="BC22" s="13"/>
      <c r="BD22" s="11"/>
      <c r="BE22" s="11"/>
      <c r="BF22" s="11"/>
      <c r="BG22" s="12"/>
      <c r="BH22" s="12"/>
      <c r="BI22" s="13"/>
      <c r="BJ22" s="11"/>
      <c r="BK22" s="11"/>
      <c r="BL22" s="11"/>
      <c r="BM22" s="12"/>
      <c r="BN22" s="12"/>
      <c r="BO22" s="13"/>
      <c r="BP22" s="11"/>
      <c r="BQ22" s="11"/>
      <c r="BR22" s="11"/>
      <c r="BS22" s="12"/>
      <c r="BT22" s="12"/>
      <c r="BU22" s="13"/>
      <c r="BV22" s="11"/>
      <c r="BW22" s="11"/>
      <c r="BX22" s="11"/>
      <c r="BY22" s="12"/>
      <c r="BZ22" s="12"/>
      <c r="CA22" s="13"/>
      <c r="CB22" s="11"/>
      <c r="CC22" s="11"/>
      <c r="CD22" s="11"/>
      <c r="CE22" s="12"/>
      <c r="CF22" s="12"/>
      <c r="CG22" s="13"/>
      <c r="CJ22" s="11"/>
      <c r="CK22" s="12"/>
      <c r="CL22" s="12"/>
      <c r="CM22" s="13"/>
    </row>
    <row r="23" spans="1:91" x14ac:dyDescent="0.25">
      <c r="A23" s="7" t="s">
        <v>20</v>
      </c>
      <c r="B23" s="8">
        <v>211871.91666666666</v>
      </c>
      <c r="C23" s="8">
        <v>7506.333333333333</v>
      </c>
      <c r="D23" s="8">
        <v>450</v>
      </c>
      <c r="E23" s="9">
        <v>16949.753333333334</v>
      </c>
      <c r="F23" s="9">
        <v>600.50666666666666</v>
      </c>
      <c r="G23" s="10">
        <v>2.592628940730636</v>
      </c>
      <c r="H23" s="8">
        <v>265161.33333333331</v>
      </c>
      <c r="I23" s="8">
        <v>9762.25</v>
      </c>
      <c r="J23" s="8">
        <v>464</v>
      </c>
      <c r="K23" s="9">
        <v>20572.862068965514</v>
      </c>
      <c r="L23" s="9">
        <v>757.41594827586209</v>
      </c>
      <c r="M23" s="10">
        <v>2.637140775714355</v>
      </c>
      <c r="N23" s="8">
        <f t="shared" si="0"/>
        <v>305996</v>
      </c>
      <c r="O23" s="8">
        <f t="shared" si="1"/>
        <v>11489.333333333334</v>
      </c>
      <c r="P23" s="8">
        <f t="shared" si="2"/>
        <v>144</v>
      </c>
      <c r="Q23" s="9">
        <f t="shared" si="3"/>
        <v>19124.75</v>
      </c>
      <c r="R23" s="9">
        <f t="shared" si="4"/>
        <v>718.08333333333337</v>
      </c>
      <c r="S23" s="10">
        <f t="shared" si="5"/>
        <v>2.663920126634252</v>
      </c>
      <c r="T23" s="11">
        <v>295520</v>
      </c>
      <c r="U23" s="11">
        <v>10944</v>
      </c>
      <c r="V23" s="11">
        <v>52</v>
      </c>
      <c r="W23" s="12">
        <v>17049.23076923077</v>
      </c>
      <c r="X23" s="12">
        <v>631.38461538461536</v>
      </c>
      <c r="Y23" s="13">
        <v>2.65</v>
      </c>
      <c r="Z23" s="11">
        <v>362188</v>
      </c>
      <c r="AA23" s="11">
        <v>13873</v>
      </c>
      <c r="AB23" s="11">
        <v>52</v>
      </c>
      <c r="AC23" s="12">
        <v>20895.461538461539</v>
      </c>
      <c r="AD23" s="12">
        <v>800.36538461538464</v>
      </c>
      <c r="AE23" s="13">
        <v>2.6917603799027559</v>
      </c>
      <c r="AF23" s="11">
        <v>260280</v>
      </c>
      <c r="AG23" s="11">
        <v>9651</v>
      </c>
      <c r="AH23" s="11">
        <v>40</v>
      </c>
      <c r="AI23" s="12">
        <v>19521</v>
      </c>
      <c r="AJ23" s="12">
        <v>723.82500000000005</v>
      </c>
      <c r="AK23" s="13">
        <v>2.65</v>
      </c>
      <c r="AL23" s="11"/>
      <c r="AM23" s="11"/>
      <c r="AN23" s="11"/>
      <c r="AO23" s="12"/>
      <c r="AP23" s="12"/>
      <c r="AQ23" s="13"/>
      <c r="AR23" s="11"/>
      <c r="AS23" s="11"/>
      <c r="AT23" s="11"/>
      <c r="AU23" s="12"/>
      <c r="AV23" s="12"/>
      <c r="AW23" s="13"/>
      <c r="AX23" s="11"/>
      <c r="AY23" s="11"/>
      <c r="AZ23" s="11"/>
      <c r="BA23" s="12"/>
      <c r="BB23" s="12"/>
      <c r="BC23" s="13"/>
      <c r="BD23" s="11"/>
      <c r="BE23" s="11"/>
      <c r="BF23" s="11"/>
      <c r="BG23" s="12"/>
      <c r="BH23" s="12"/>
      <c r="BI23" s="13"/>
      <c r="BJ23" s="11"/>
      <c r="BK23" s="11"/>
      <c r="BL23" s="11"/>
      <c r="BM23" s="12"/>
      <c r="BN23" s="12"/>
      <c r="BO23" s="13"/>
      <c r="BP23" s="11"/>
      <c r="BQ23" s="11"/>
      <c r="BR23" s="11"/>
      <c r="BS23" s="12"/>
      <c r="BT23" s="12"/>
      <c r="BU23" s="13"/>
      <c r="BV23" s="11"/>
      <c r="BW23" s="11"/>
      <c r="BX23" s="11"/>
      <c r="BY23" s="12"/>
      <c r="BZ23" s="12"/>
      <c r="CA23" s="13"/>
      <c r="CB23" s="11"/>
      <c r="CC23" s="11"/>
      <c r="CD23" s="11"/>
      <c r="CE23" s="12"/>
      <c r="CF23" s="12"/>
      <c r="CG23" s="13"/>
      <c r="CJ23" s="11"/>
      <c r="CK23" s="12"/>
      <c r="CL23" s="12"/>
      <c r="CM23" s="13"/>
    </row>
    <row r="24" spans="1:91" x14ac:dyDescent="0.25">
      <c r="A24" s="7" t="s">
        <v>21</v>
      </c>
      <c r="B24" s="8">
        <v>39162</v>
      </c>
      <c r="C24" s="8">
        <v>691.85714285714289</v>
      </c>
      <c r="D24" s="8">
        <v>47</v>
      </c>
      <c r="E24" s="9">
        <v>17497.91489361702</v>
      </c>
      <c r="F24" s="9">
        <v>309.12765957446811</v>
      </c>
      <c r="G24" s="10">
        <v>1.8698020900963701</v>
      </c>
      <c r="H24" s="8">
        <v>229515.58333333334</v>
      </c>
      <c r="I24" s="8">
        <v>4012.5</v>
      </c>
      <c r="J24" s="8">
        <v>462</v>
      </c>
      <c r="K24" s="9">
        <v>17884.331168831166</v>
      </c>
      <c r="L24" s="9">
        <v>312.66233766233768</v>
      </c>
      <c r="M24" s="10">
        <v>1.8896190533059105</v>
      </c>
      <c r="N24" s="8">
        <f t="shared" si="0"/>
        <v>290516</v>
      </c>
      <c r="O24" s="8">
        <f t="shared" si="1"/>
        <v>4777.333333333333</v>
      </c>
      <c r="P24" s="8">
        <f t="shared" si="2"/>
        <v>126</v>
      </c>
      <c r="Q24" s="9">
        <f t="shared" si="3"/>
        <v>20751.142857142859</v>
      </c>
      <c r="R24" s="9">
        <f t="shared" si="4"/>
        <v>341.23809523809524</v>
      </c>
      <c r="S24" s="10">
        <f t="shared" si="5"/>
        <v>1.807487177101458</v>
      </c>
      <c r="T24" s="11">
        <v>328339</v>
      </c>
      <c r="U24" s="11">
        <v>4808</v>
      </c>
      <c r="V24" s="11">
        <v>45</v>
      </c>
      <c r="W24" s="12">
        <v>21889.26666666667</v>
      </c>
      <c r="X24" s="12">
        <v>320.53333333333342</v>
      </c>
      <c r="Y24" s="13">
        <v>1.698599275165402</v>
      </c>
      <c r="Z24" s="11">
        <v>237831</v>
      </c>
      <c r="AA24" s="11">
        <v>4522</v>
      </c>
      <c r="AB24" s="11">
        <v>40</v>
      </c>
      <c r="AC24" s="12">
        <v>17837.325000000001</v>
      </c>
      <c r="AD24" s="12">
        <v>339.15</v>
      </c>
      <c r="AE24" s="13">
        <v>1.9297776406222411</v>
      </c>
      <c r="AF24" s="11">
        <v>305378</v>
      </c>
      <c r="AG24" s="11">
        <v>5002</v>
      </c>
      <c r="AH24" s="11">
        <v>41</v>
      </c>
      <c r="AI24" s="12">
        <v>22344.731707317071</v>
      </c>
      <c r="AJ24" s="12">
        <v>366</v>
      </c>
      <c r="AK24" s="13">
        <v>1.7940846155167309</v>
      </c>
      <c r="AL24" s="11"/>
      <c r="AM24" s="11"/>
      <c r="AN24" s="11"/>
      <c r="AO24" s="12"/>
      <c r="AP24" s="12"/>
      <c r="AQ24" s="13"/>
      <c r="AR24" s="11"/>
      <c r="AS24" s="11"/>
      <c r="AT24" s="11"/>
      <c r="AU24" s="12"/>
      <c r="AV24" s="12"/>
      <c r="AW24" s="13"/>
      <c r="AX24" s="11"/>
      <c r="AY24" s="11"/>
      <c r="AZ24" s="11"/>
      <c r="BA24" s="12"/>
      <c r="BB24" s="12"/>
      <c r="BC24" s="13"/>
      <c r="BD24" s="11"/>
      <c r="BE24" s="11"/>
      <c r="BF24" s="11"/>
      <c r="BG24" s="12"/>
      <c r="BH24" s="12"/>
      <c r="BI24" s="13"/>
      <c r="BJ24" s="11"/>
      <c r="BK24" s="11"/>
      <c r="BL24" s="11"/>
      <c r="BM24" s="12"/>
      <c r="BN24" s="12"/>
      <c r="BO24" s="13"/>
      <c r="BP24" s="11"/>
      <c r="BQ24" s="11"/>
      <c r="BR24" s="11"/>
      <c r="BS24" s="12"/>
      <c r="BT24" s="12"/>
      <c r="BU24" s="13"/>
      <c r="BV24" s="11"/>
      <c r="BW24" s="11"/>
      <c r="BX24" s="11"/>
      <c r="BY24" s="12"/>
      <c r="BZ24" s="12"/>
      <c r="CA24" s="13"/>
      <c r="CB24" s="11"/>
      <c r="CC24" s="11"/>
      <c r="CD24" s="11"/>
      <c r="CE24" s="12"/>
      <c r="CF24" s="12"/>
      <c r="CG24" s="13"/>
      <c r="CJ24" s="11"/>
      <c r="CK24" s="12"/>
      <c r="CL24" s="12"/>
      <c r="CM24" s="13"/>
    </row>
    <row r="25" spans="1:91" x14ac:dyDescent="0.25">
      <c r="A25" s="7" t="s">
        <v>22</v>
      </c>
      <c r="B25" s="8">
        <v>221629.16666666666</v>
      </c>
      <c r="C25" s="8">
        <v>18527.833333333332</v>
      </c>
      <c r="D25" s="8">
        <v>649</v>
      </c>
      <c r="E25" s="9">
        <v>12293.759630200309</v>
      </c>
      <c r="F25" s="9">
        <v>1027.738058551618</v>
      </c>
      <c r="G25" s="10">
        <v>4.0902313484221953</v>
      </c>
      <c r="H25" s="8">
        <v>272703.75</v>
      </c>
      <c r="I25" s="8">
        <v>22242.416666666668</v>
      </c>
      <c r="J25" s="8">
        <v>695</v>
      </c>
      <c r="K25" s="9">
        <v>14125.661870503596</v>
      </c>
      <c r="L25" s="9">
        <v>1152.125179856115</v>
      </c>
      <c r="M25" s="10">
        <v>4.0527829403032722</v>
      </c>
      <c r="N25" s="8">
        <f t="shared" si="0"/>
        <v>274533.66666666669</v>
      </c>
      <c r="O25" s="8">
        <f t="shared" si="1"/>
        <v>17760</v>
      </c>
      <c r="P25" s="8">
        <f t="shared" si="2"/>
        <v>160</v>
      </c>
      <c r="Q25" s="9">
        <f t="shared" si="3"/>
        <v>15442.518750000001</v>
      </c>
      <c r="R25" s="9">
        <f t="shared" si="4"/>
        <v>999</v>
      </c>
      <c r="S25" s="10">
        <f t="shared" si="5"/>
        <v>3.5510253662603102</v>
      </c>
      <c r="T25" s="11">
        <v>254251</v>
      </c>
      <c r="U25" s="11">
        <v>13264</v>
      </c>
      <c r="V25" s="11">
        <v>50</v>
      </c>
      <c r="W25" s="12">
        <v>15255.06</v>
      </c>
      <c r="X25" s="12">
        <v>795.83999999999992</v>
      </c>
      <c r="Y25" s="13">
        <v>3.2228705642279931</v>
      </c>
      <c r="Z25" s="11">
        <v>338506</v>
      </c>
      <c r="AA25" s="11">
        <v>25116</v>
      </c>
      <c r="AB25" s="11">
        <v>65</v>
      </c>
      <c r="AC25" s="12">
        <v>15623.35384615385</v>
      </c>
      <c r="AD25" s="12">
        <v>1159.2</v>
      </c>
      <c r="AE25" s="13">
        <v>3.8402311686278119</v>
      </c>
      <c r="AF25" s="11">
        <v>230844</v>
      </c>
      <c r="AG25" s="11">
        <v>14900</v>
      </c>
      <c r="AH25" s="11">
        <v>45</v>
      </c>
      <c r="AI25" s="12">
        <v>15389.6</v>
      </c>
      <c r="AJ25" s="12">
        <v>993.33333333333326</v>
      </c>
      <c r="AK25" s="13">
        <v>3.589974365925126</v>
      </c>
      <c r="AL25" s="11"/>
      <c r="AM25" s="11"/>
      <c r="AN25" s="11"/>
      <c r="AO25" s="12"/>
      <c r="AP25" s="12"/>
      <c r="AQ25" s="13"/>
      <c r="AR25" s="11"/>
      <c r="AS25" s="11"/>
      <c r="AT25" s="11"/>
      <c r="AU25" s="12"/>
      <c r="AV25" s="12"/>
      <c r="AW25" s="13"/>
      <c r="AX25" s="11"/>
      <c r="AY25" s="11"/>
      <c r="AZ25" s="11"/>
      <c r="BA25" s="12"/>
      <c r="BB25" s="12"/>
      <c r="BC25" s="13"/>
      <c r="BD25" s="11"/>
      <c r="BE25" s="11"/>
      <c r="BF25" s="11"/>
      <c r="BG25" s="12"/>
      <c r="BH25" s="12"/>
      <c r="BI25" s="13"/>
      <c r="BJ25" s="11"/>
      <c r="BK25" s="11"/>
      <c r="BL25" s="11"/>
      <c r="BM25" s="12"/>
      <c r="BN25" s="12"/>
      <c r="BO25" s="13"/>
      <c r="BP25" s="11"/>
      <c r="BQ25" s="11"/>
      <c r="BR25" s="11"/>
      <c r="BS25" s="12"/>
      <c r="BT25" s="12"/>
      <c r="BU25" s="13"/>
      <c r="BV25" s="11"/>
      <c r="BW25" s="11"/>
      <c r="BX25" s="11"/>
      <c r="BY25" s="12"/>
      <c r="BZ25" s="12"/>
      <c r="CA25" s="13"/>
      <c r="CB25" s="11"/>
      <c r="CC25" s="11"/>
      <c r="CD25" s="11"/>
      <c r="CE25" s="12"/>
      <c r="CF25" s="12"/>
      <c r="CG25" s="13"/>
      <c r="CJ25" s="11"/>
      <c r="CK25" s="12"/>
      <c r="CL25" s="12"/>
      <c r="CM25" s="13"/>
    </row>
    <row r="26" spans="1:91" x14ac:dyDescent="0.25">
      <c r="A26" s="7" t="s">
        <v>23</v>
      </c>
      <c r="B26" s="8">
        <v>242502.625</v>
      </c>
      <c r="C26" s="8">
        <v>23288.666666666668</v>
      </c>
      <c r="D26" s="8">
        <v>699</v>
      </c>
      <c r="E26" s="9">
        <v>12489.405579399143</v>
      </c>
      <c r="F26" s="9">
        <v>1199.4163090128754</v>
      </c>
      <c r="G26" s="10">
        <v>4.3772463718368106</v>
      </c>
      <c r="H26" s="8">
        <v>303057.41666666669</v>
      </c>
      <c r="I26" s="8">
        <v>26961.083333333332</v>
      </c>
      <c r="J26" s="8">
        <v>753</v>
      </c>
      <c r="K26" s="9">
        <v>14488.800796812748</v>
      </c>
      <c r="L26" s="9">
        <v>1288.9760956175298</v>
      </c>
      <c r="M26" s="10">
        <v>4.2268655598484299</v>
      </c>
      <c r="N26" s="8">
        <f t="shared" ref="N26:N52" si="6">IFERROR(AVERAGE(T26,Z26,AF26,AL26,AR26,AX26,BD26,BJ26,BP26,BV26,CB26,CH26)," ")</f>
        <v>326277.66666666669</v>
      </c>
      <c r="O26" s="8">
        <f t="shared" ref="O26:O52" si="7">IFERROR(AVERAGE(U26,AA26,AG26,AM26,AS26,AY26,BE26,BK26,BQ26,BW26,CC26,CI26)," ")</f>
        <v>23843.333333333332</v>
      </c>
      <c r="P26" s="8">
        <f t="shared" ref="P26:P52" si="8">IFERROR(SUM(V26,AB26,AH26,AN26,AT26,AZ26,BF26,BL26,BR26,BX26,CD26,CJ26)," ")</f>
        <v>174</v>
      </c>
      <c r="Q26" s="9">
        <f t="shared" ref="Q26:Q52" si="9">IFERROR(SUM(T26,Z26,AF26,AL26,AR26,AX26,BD26,BJ26,BP26,BV26,CB26,CH26)/P26*3," ")</f>
        <v>16876.431034482761</v>
      </c>
      <c r="R26" s="9">
        <f t="shared" ref="R26:R52" si="10">IFERROR(SUM(U26,AA26,AG26,AM26,AS26,AY26,BE26,BK26,BQ26,BW26,CC26,CI26)/P26*3," ")</f>
        <v>1233.2758620689656</v>
      </c>
      <c r="S26" s="10">
        <f t="shared" ref="S26:S52" si="11">IFERROR(AVERAGE(Y26,AE26,AK26,AQ26,AW26,BC26,BI26,BO26,BU26,CA26,CG26,CM26)," ")</f>
        <v>3.76945379618709</v>
      </c>
      <c r="T26" s="11">
        <v>319242</v>
      </c>
      <c r="U26" s="11">
        <v>17141</v>
      </c>
      <c r="V26" s="11">
        <v>51</v>
      </c>
      <c r="W26" s="12">
        <v>18778.941176470591</v>
      </c>
      <c r="X26" s="12">
        <v>1008.294117647059</v>
      </c>
      <c r="Y26" s="13">
        <v>3.2749846320009661</v>
      </c>
      <c r="Z26" s="11">
        <v>376978</v>
      </c>
      <c r="AA26" s="11">
        <v>34006</v>
      </c>
      <c r="AB26" s="11">
        <v>68</v>
      </c>
      <c r="AC26" s="12">
        <v>16631.382352941171</v>
      </c>
      <c r="AD26" s="12">
        <v>1500.2647058823529</v>
      </c>
      <c r="AE26" s="13">
        <v>4.236159399395599</v>
      </c>
      <c r="AF26" s="11">
        <v>282613</v>
      </c>
      <c r="AG26" s="11">
        <v>20383</v>
      </c>
      <c r="AH26" s="11">
        <v>55</v>
      </c>
      <c r="AI26" s="12">
        <v>15415.25454545454</v>
      </c>
      <c r="AJ26" s="12">
        <v>1111.8</v>
      </c>
      <c r="AK26" s="13">
        <v>3.7972173571647052</v>
      </c>
      <c r="AL26" s="11"/>
      <c r="AM26" s="11"/>
      <c r="AN26" s="11"/>
      <c r="AO26" s="12"/>
      <c r="AP26" s="12"/>
      <c r="AQ26" s="13"/>
      <c r="AR26" s="11"/>
      <c r="AS26" s="11"/>
      <c r="AT26" s="11"/>
      <c r="AU26" s="12"/>
      <c r="AV26" s="12"/>
      <c r="AW26" s="13"/>
      <c r="AX26" s="11"/>
      <c r="AY26" s="11"/>
      <c r="AZ26" s="11"/>
      <c r="BA26" s="12"/>
      <c r="BB26" s="12"/>
      <c r="BC26" s="13"/>
      <c r="BD26" s="11"/>
      <c r="BE26" s="11"/>
      <c r="BF26" s="11"/>
      <c r="BG26" s="12"/>
      <c r="BH26" s="12"/>
      <c r="BI26" s="13"/>
      <c r="BJ26" s="11"/>
      <c r="BK26" s="11"/>
      <c r="BL26" s="11"/>
      <c r="BM26" s="12"/>
      <c r="BN26" s="12"/>
      <c r="BO26" s="13"/>
      <c r="BP26" s="11"/>
      <c r="BQ26" s="11"/>
      <c r="BR26" s="11"/>
      <c r="BS26" s="12"/>
      <c r="BT26" s="12"/>
      <c r="BU26" s="13"/>
      <c r="BV26" s="11"/>
      <c r="BW26" s="11"/>
      <c r="BX26" s="11"/>
      <c r="BY26" s="12"/>
      <c r="BZ26" s="12"/>
      <c r="CA26" s="13"/>
      <c r="CB26" s="11"/>
      <c r="CC26" s="11"/>
      <c r="CD26" s="11"/>
      <c r="CE26" s="12"/>
      <c r="CF26" s="12"/>
      <c r="CG26" s="13"/>
      <c r="CJ26" s="11"/>
      <c r="CK26" s="12"/>
      <c r="CL26" s="12"/>
      <c r="CM26" s="13"/>
    </row>
    <row r="27" spans="1:91" x14ac:dyDescent="0.25">
      <c r="A27" s="7" t="s">
        <v>24</v>
      </c>
      <c r="B27" s="8">
        <v>87201.090909090912</v>
      </c>
      <c r="C27" s="8">
        <v>6472.272727272727</v>
      </c>
      <c r="D27" s="8">
        <v>206</v>
      </c>
      <c r="E27" s="9">
        <v>13969.106796116504</v>
      </c>
      <c r="F27" s="9">
        <v>1036.8203883495146</v>
      </c>
      <c r="G27" s="10">
        <v>3.8534161172843708</v>
      </c>
      <c r="H27" s="8">
        <v>61819.444444444445</v>
      </c>
      <c r="I27" s="8">
        <v>3967.4444444444443</v>
      </c>
      <c r="J27" s="8">
        <v>98</v>
      </c>
      <c r="K27" s="9">
        <v>17031.887755102041</v>
      </c>
      <c r="L27" s="9">
        <v>1093.0714285714284</v>
      </c>
      <c r="M27" s="10">
        <v>5.9838808868177837</v>
      </c>
      <c r="N27" s="8">
        <f t="shared" si="6"/>
        <v>9732</v>
      </c>
      <c r="O27" s="8">
        <f t="shared" si="7"/>
        <v>816</v>
      </c>
      <c r="P27" s="8">
        <f t="shared" si="8"/>
        <v>3</v>
      </c>
      <c r="Q27" s="9">
        <f t="shared" si="9"/>
        <v>9732</v>
      </c>
      <c r="R27" s="9">
        <f t="shared" si="10"/>
        <v>816</v>
      </c>
      <c r="S27" s="10">
        <f t="shared" si="11"/>
        <v>4.12</v>
      </c>
      <c r="T27" s="11"/>
      <c r="U27" s="11"/>
      <c r="V27" s="11"/>
      <c r="W27" s="12"/>
      <c r="X27" s="12"/>
      <c r="Y27" s="13"/>
      <c r="Z27" s="11">
        <v>9732</v>
      </c>
      <c r="AA27" s="11">
        <v>816</v>
      </c>
      <c r="AB27" s="11">
        <v>3</v>
      </c>
      <c r="AC27" s="12">
        <v>9732</v>
      </c>
      <c r="AD27" s="12">
        <v>816</v>
      </c>
      <c r="AE27" s="13">
        <v>4.12</v>
      </c>
      <c r="AF27" s="11"/>
      <c r="AG27" s="11"/>
      <c r="AH27" s="11"/>
      <c r="AI27" s="12"/>
      <c r="AJ27" s="12"/>
      <c r="AK27" s="13"/>
      <c r="AL27" s="11"/>
      <c r="AM27" s="11"/>
      <c r="AN27" s="11"/>
      <c r="AO27" s="12"/>
      <c r="AP27" s="12"/>
      <c r="AQ27" s="13"/>
      <c r="AR27" s="11"/>
      <c r="AS27" s="11"/>
      <c r="AT27" s="11"/>
      <c r="AU27" s="12"/>
      <c r="AV27" s="12"/>
      <c r="AW27" s="13"/>
      <c r="AX27" s="11"/>
      <c r="AY27" s="11"/>
      <c r="AZ27" s="11"/>
      <c r="BA27" s="12"/>
      <c r="BB27" s="12"/>
      <c r="BC27" s="13"/>
      <c r="BD27" s="11"/>
      <c r="BE27" s="11"/>
      <c r="BF27" s="11"/>
      <c r="BG27" s="12"/>
      <c r="BH27" s="12"/>
      <c r="BI27" s="13"/>
      <c r="BJ27" s="11"/>
      <c r="BK27" s="11"/>
      <c r="BL27" s="11"/>
      <c r="BM27" s="12"/>
      <c r="BN27" s="12"/>
      <c r="BO27" s="13"/>
      <c r="BP27" s="11"/>
      <c r="BQ27" s="11"/>
      <c r="BR27" s="11"/>
      <c r="BS27" s="12"/>
      <c r="BT27" s="12"/>
      <c r="BU27" s="13"/>
      <c r="BV27" s="11"/>
      <c r="BW27" s="11"/>
      <c r="BX27" s="11"/>
      <c r="BY27" s="12"/>
      <c r="BZ27" s="12"/>
      <c r="CA27" s="13"/>
      <c r="CB27" s="11"/>
      <c r="CC27" s="11"/>
      <c r="CD27" s="11"/>
      <c r="CE27" s="12"/>
      <c r="CF27" s="12"/>
      <c r="CG27" s="13"/>
      <c r="CJ27" s="11"/>
      <c r="CK27" s="12"/>
      <c r="CL27" s="12"/>
      <c r="CM27" s="13"/>
    </row>
    <row r="28" spans="1:91" ht="12.75" customHeight="1" x14ac:dyDescent="0.25">
      <c r="A28" s="7" t="s">
        <v>25</v>
      </c>
      <c r="B28" s="8">
        <v>272027.33333333331</v>
      </c>
      <c r="C28" s="8">
        <v>61068.25</v>
      </c>
      <c r="D28" s="8">
        <v>717</v>
      </c>
      <c r="E28" s="9">
        <v>13658.276150627615</v>
      </c>
      <c r="F28" s="9">
        <v>3066.1882845188284</v>
      </c>
      <c r="G28" s="10">
        <v>6.5803730939822396</v>
      </c>
      <c r="H28" s="8">
        <v>261351.8</v>
      </c>
      <c r="I28" s="8">
        <v>73940</v>
      </c>
      <c r="J28" s="8">
        <v>590</v>
      </c>
      <c r="K28" s="9">
        <v>13289.074576271189</v>
      </c>
      <c r="L28" s="9">
        <v>3759.6610169491523</v>
      </c>
      <c r="M28" s="10">
        <v>6.8894869961296461</v>
      </c>
      <c r="N28" s="8">
        <f t="shared" si="6"/>
        <v>299043.33333333331</v>
      </c>
      <c r="O28" s="8">
        <f t="shared" si="7"/>
        <v>82075.333333333328</v>
      </c>
      <c r="P28" s="8">
        <f t="shared" si="8"/>
        <v>205</v>
      </c>
      <c r="Q28" s="9">
        <f t="shared" si="9"/>
        <v>13128.731707317073</v>
      </c>
      <c r="R28" s="9">
        <f t="shared" si="10"/>
        <v>3603.3073170731705</v>
      </c>
      <c r="S28" s="10">
        <f t="shared" si="11"/>
        <v>7.2348319912725456</v>
      </c>
      <c r="T28" s="11">
        <v>362826</v>
      </c>
      <c r="U28" s="11">
        <v>95220</v>
      </c>
      <c r="V28" s="11">
        <v>72</v>
      </c>
      <c r="W28" s="12">
        <v>15117.75</v>
      </c>
      <c r="X28" s="12">
        <v>3967.5</v>
      </c>
      <c r="Y28" s="13">
        <v>7.0706764128127793</v>
      </c>
      <c r="Z28" s="11">
        <v>297749</v>
      </c>
      <c r="AA28" s="11">
        <v>92355</v>
      </c>
      <c r="AB28" s="11">
        <v>70</v>
      </c>
      <c r="AC28" s="12">
        <v>12760.67142857143</v>
      </c>
      <c r="AD28" s="12">
        <v>3958.071428571428</v>
      </c>
      <c r="AE28" s="13">
        <v>7.700227081606271</v>
      </c>
      <c r="AF28" s="11">
        <v>236555</v>
      </c>
      <c r="AG28" s="11">
        <v>58651</v>
      </c>
      <c r="AH28" s="11">
        <v>63</v>
      </c>
      <c r="AI28" s="12">
        <v>11264.523809523809</v>
      </c>
      <c r="AJ28" s="12">
        <v>2792.9047619047619</v>
      </c>
      <c r="AK28" s="13">
        <v>6.9335924793985866</v>
      </c>
      <c r="AL28" s="11"/>
      <c r="AM28" s="11"/>
      <c r="AN28" s="11"/>
      <c r="AO28" s="12"/>
      <c r="AP28" s="12"/>
      <c r="AQ28" s="13"/>
      <c r="AR28" s="11"/>
      <c r="AS28" s="11"/>
      <c r="AT28" s="11"/>
      <c r="AU28" s="12"/>
      <c r="AV28" s="12"/>
      <c r="AW28" s="13"/>
      <c r="AX28" s="11"/>
      <c r="AY28" s="11"/>
      <c r="AZ28" s="11"/>
      <c r="BA28" s="12"/>
      <c r="BB28" s="12"/>
      <c r="BC28" s="13"/>
      <c r="BD28" s="11"/>
      <c r="BE28" s="11"/>
      <c r="BF28" s="11"/>
      <c r="BG28" s="12"/>
      <c r="BH28" s="12"/>
      <c r="BI28" s="13"/>
      <c r="BJ28" s="11"/>
      <c r="BK28" s="11"/>
      <c r="BL28" s="11"/>
      <c r="BM28" s="12"/>
      <c r="BN28" s="12"/>
      <c r="BO28" s="13"/>
      <c r="BP28" s="11"/>
      <c r="BQ28" s="11"/>
      <c r="BR28" s="11"/>
      <c r="BS28" s="12"/>
      <c r="BT28" s="12"/>
      <c r="BU28" s="13"/>
      <c r="BV28" s="11"/>
      <c r="BW28" s="11"/>
      <c r="BX28" s="11"/>
      <c r="BY28" s="12"/>
      <c r="BZ28" s="12"/>
      <c r="CA28" s="13"/>
      <c r="CB28" s="11"/>
      <c r="CC28" s="11"/>
      <c r="CD28" s="11"/>
      <c r="CE28" s="12"/>
      <c r="CF28" s="12"/>
      <c r="CG28" s="13"/>
      <c r="CJ28" s="11"/>
      <c r="CK28" s="12"/>
      <c r="CL28" s="12"/>
      <c r="CM28" s="13"/>
    </row>
    <row r="29" spans="1:91" x14ac:dyDescent="0.25">
      <c r="A29" s="7" t="s">
        <v>26</v>
      </c>
      <c r="B29" s="8">
        <v>111987.16666666667</v>
      </c>
      <c r="C29" s="8">
        <v>78260.5</v>
      </c>
      <c r="D29" s="8">
        <v>411</v>
      </c>
      <c r="E29" s="9">
        <v>9809.094890510949</v>
      </c>
      <c r="F29" s="9">
        <v>6854.9343065693429</v>
      </c>
      <c r="G29" s="10">
        <v>13.301947724238151</v>
      </c>
      <c r="H29" s="8">
        <v>114271.58333333333</v>
      </c>
      <c r="I29" s="8">
        <v>78634.75</v>
      </c>
      <c r="J29" s="8">
        <v>406</v>
      </c>
      <c r="K29" s="9">
        <v>10132.45566502463</v>
      </c>
      <c r="L29" s="9">
        <v>6972.5394088669946</v>
      </c>
      <c r="M29" s="10">
        <v>13.142932028430662</v>
      </c>
      <c r="N29" s="8">
        <f t="shared" si="6"/>
        <v>76688</v>
      </c>
      <c r="O29" s="8">
        <f t="shared" si="7"/>
        <v>43966.333333333336</v>
      </c>
      <c r="P29" s="8">
        <f t="shared" si="8"/>
        <v>49</v>
      </c>
      <c r="Q29" s="9">
        <f t="shared" si="9"/>
        <v>14085.551020408164</v>
      </c>
      <c r="R29" s="9">
        <f t="shared" si="10"/>
        <v>8075.4489795918362</v>
      </c>
      <c r="S29" s="10">
        <f t="shared" si="11"/>
        <v>11.343894930307235</v>
      </c>
      <c r="T29" s="11">
        <v>83538</v>
      </c>
      <c r="U29" s="11">
        <v>68474</v>
      </c>
      <c r="V29" s="11">
        <v>24</v>
      </c>
      <c r="W29" s="12">
        <v>10442.25</v>
      </c>
      <c r="X29" s="12">
        <v>8559.25</v>
      </c>
      <c r="Y29" s="13">
        <v>14.304444740213301</v>
      </c>
      <c r="Z29" s="11">
        <v>102486</v>
      </c>
      <c r="AA29" s="11">
        <v>41452</v>
      </c>
      <c r="AB29" s="11">
        <v>16</v>
      </c>
      <c r="AC29" s="12">
        <v>19216.125</v>
      </c>
      <c r="AD29" s="12">
        <v>7772.25</v>
      </c>
      <c r="AE29" s="13">
        <v>9.5272400507084001</v>
      </c>
      <c r="AF29" s="11">
        <v>44040</v>
      </c>
      <c r="AG29" s="11">
        <v>21973</v>
      </c>
      <c r="AH29" s="11">
        <v>9</v>
      </c>
      <c r="AI29" s="12">
        <v>14680</v>
      </c>
      <c r="AJ29" s="12">
        <v>7324.333333333333</v>
      </c>
      <c r="AK29" s="13">
        <v>10.199999999999999</v>
      </c>
      <c r="AL29" s="11"/>
      <c r="AM29" s="11"/>
      <c r="AN29" s="11"/>
      <c r="AO29" s="12"/>
      <c r="AP29" s="12"/>
      <c r="AQ29" s="13"/>
      <c r="AR29" s="11"/>
      <c r="AS29" s="11"/>
      <c r="AT29" s="11"/>
      <c r="AU29" s="12"/>
      <c r="AV29" s="12"/>
      <c r="AW29" s="13"/>
      <c r="AX29" s="11"/>
      <c r="AY29" s="11"/>
      <c r="AZ29" s="11"/>
      <c r="BA29" s="12"/>
      <c r="BB29" s="12"/>
      <c r="BC29" s="13"/>
      <c r="BD29" s="11"/>
      <c r="BE29" s="11"/>
      <c r="BF29" s="11"/>
      <c r="BG29" s="12"/>
      <c r="BH29" s="12"/>
      <c r="BI29" s="13"/>
      <c r="BJ29" s="11"/>
      <c r="BK29" s="11"/>
      <c r="BL29" s="11"/>
      <c r="BM29" s="12"/>
      <c r="BN29" s="12"/>
      <c r="BO29" s="13"/>
      <c r="BP29" s="11"/>
      <c r="BQ29" s="11"/>
      <c r="BR29" s="11"/>
      <c r="BS29" s="12"/>
      <c r="BT29" s="12"/>
      <c r="BU29" s="13"/>
      <c r="BV29" s="11"/>
      <c r="BW29" s="11"/>
      <c r="BX29" s="11"/>
      <c r="BY29" s="12"/>
      <c r="BZ29" s="12"/>
      <c r="CA29" s="13"/>
      <c r="CB29" s="11"/>
      <c r="CC29" s="11"/>
      <c r="CD29" s="11"/>
      <c r="CE29" s="12"/>
      <c r="CF29" s="12"/>
      <c r="CG29" s="13"/>
      <c r="CJ29" s="11"/>
      <c r="CK29" s="12"/>
      <c r="CL29" s="12"/>
      <c r="CM29" s="13"/>
    </row>
    <row r="30" spans="1:91" x14ac:dyDescent="0.25">
      <c r="A30" s="7" t="s">
        <v>27</v>
      </c>
      <c r="B30" s="8">
        <v>119228.75</v>
      </c>
      <c r="C30" s="8">
        <v>88136.5</v>
      </c>
      <c r="D30" s="8">
        <v>476</v>
      </c>
      <c r="E30" s="9">
        <v>9017.3004201680669</v>
      </c>
      <c r="F30" s="9">
        <v>6665.7857142857147</v>
      </c>
      <c r="G30" s="10">
        <v>13.6528568954124</v>
      </c>
      <c r="H30" s="8">
        <v>139515.16666666666</v>
      </c>
      <c r="I30" s="8">
        <v>124253.75</v>
      </c>
      <c r="J30" s="8">
        <v>632</v>
      </c>
      <c r="K30" s="9">
        <v>7947.066455696202</v>
      </c>
      <c r="L30" s="9">
        <v>7077.7452531645558</v>
      </c>
      <c r="M30" s="10">
        <v>14.946041280404785</v>
      </c>
      <c r="N30" s="8">
        <f t="shared" si="6"/>
        <v>175417</v>
      </c>
      <c r="O30" s="8">
        <f t="shared" si="7"/>
        <v>136238.66666666666</v>
      </c>
      <c r="P30" s="8">
        <f t="shared" si="8"/>
        <v>155</v>
      </c>
      <c r="Q30" s="9">
        <f t="shared" si="9"/>
        <v>10185.503225806451</v>
      </c>
      <c r="R30" s="9">
        <f t="shared" si="10"/>
        <v>7910.6322580645165</v>
      </c>
      <c r="S30" s="10">
        <f t="shared" si="11"/>
        <v>13.856649916721553</v>
      </c>
      <c r="T30" s="11">
        <v>169875</v>
      </c>
      <c r="U30" s="11">
        <v>119778</v>
      </c>
      <c r="V30" s="11">
        <v>52</v>
      </c>
      <c r="W30" s="12">
        <v>9800.4807692307695</v>
      </c>
      <c r="X30" s="12">
        <v>6910.2692307692314</v>
      </c>
      <c r="Y30" s="13">
        <v>13.09337045601532</v>
      </c>
      <c r="Z30" s="11">
        <v>175624</v>
      </c>
      <c r="AA30" s="11">
        <v>145287</v>
      </c>
      <c r="AB30" s="11">
        <v>54</v>
      </c>
      <c r="AC30" s="12">
        <v>9756.8888888888887</v>
      </c>
      <c r="AD30" s="12">
        <v>8071.5</v>
      </c>
      <c r="AE30" s="13">
        <v>14.35317414657953</v>
      </c>
      <c r="AF30" s="11">
        <v>180752</v>
      </c>
      <c r="AG30" s="11">
        <v>143651</v>
      </c>
      <c r="AH30" s="11">
        <v>49</v>
      </c>
      <c r="AI30" s="12">
        <v>11066.44897959184</v>
      </c>
      <c r="AJ30" s="12">
        <v>8794.9591836734689</v>
      </c>
      <c r="AK30" s="13">
        <v>14.123405147569811</v>
      </c>
      <c r="AL30" s="11"/>
      <c r="AM30" s="11"/>
      <c r="AN30" s="11"/>
      <c r="AO30" s="12"/>
      <c r="AP30" s="12"/>
      <c r="AQ30" s="13"/>
      <c r="AR30" s="11"/>
      <c r="AS30" s="11"/>
      <c r="AT30" s="11"/>
      <c r="AU30" s="12"/>
      <c r="AV30" s="12"/>
      <c r="AW30" s="13"/>
      <c r="AX30" s="11"/>
      <c r="AY30" s="11"/>
      <c r="AZ30" s="11"/>
      <c r="BA30" s="12"/>
      <c r="BB30" s="12"/>
      <c r="BC30" s="13"/>
      <c r="BD30" s="11"/>
      <c r="BE30" s="11"/>
      <c r="BF30" s="11"/>
      <c r="BG30" s="12"/>
      <c r="BH30" s="12"/>
      <c r="BI30" s="13"/>
      <c r="BJ30" s="11"/>
      <c r="BK30" s="11"/>
      <c r="BL30" s="11"/>
      <c r="BM30" s="12"/>
      <c r="BN30" s="12"/>
      <c r="BO30" s="13"/>
      <c r="BP30" s="11"/>
      <c r="BQ30" s="11"/>
      <c r="BR30" s="11"/>
      <c r="BS30" s="12"/>
      <c r="BT30" s="12"/>
      <c r="BU30" s="13"/>
      <c r="BV30" s="11"/>
      <c r="BW30" s="11"/>
      <c r="BX30" s="11"/>
      <c r="BY30" s="12"/>
      <c r="BZ30" s="12"/>
      <c r="CA30" s="13"/>
      <c r="CB30" s="11"/>
      <c r="CC30" s="11"/>
      <c r="CD30" s="11"/>
      <c r="CE30" s="12"/>
      <c r="CF30" s="12"/>
      <c r="CG30" s="13"/>
      <c r="CJ30" s="11"/>
      <c r="CK30" s="12"/>
      <c r="CL30" s="12"/>
      <c r="CM30" s="13"/>
    </row>
    <row r="31" spans="1:91" x14ac:dyDescent="0.25">
      <c r="A31" s="7" t="s">
        <v>28</v>
      </c>
      <c r="B31" s="8">
        <v>162991</v>
      </c>
      <c r="C31" s="8">
        <v>5463.5</v>
      </c>
      <c r="D31" s="8">
        <v>316</v>
      </c>
      <c r="E31" s="9">
        <v>15473.82911392405</v>
      </c>
      <c r="F31" s="9">
        <v>518.6867088607595</v>
      </c>
      <c r="G31" s="10">
        <v>2.582557260244553</v>
      </c>
      <c r="H31" s="8">
        <v>163313.72727272726</v>
      </c>
      <c r="I31" s="8">
        <v>5567</v>
      </c>
      <c r="J31" s="8">
        <v>377</v>
      </c>
      <c r="K31" s="9">
        <v>14295.366047745356</v>
      </c>
      <c r="L31" s="9">
        <v>487.29708222811678</v>
      </c>
      <c r="M31" s="10">
        <v>2.610579502496341</v>
      </c>
      <c r="N31" s="8">
        <f t="shared" si="6"/>
        <v>97241</v>
      </c>
      <c r="O31" s="8">
        <f t="shared" si="7"/>
        <v>3435.5</v>
      </c>
      <c r="P31" s="8">
        <f t="shared" si="8"/>
        <v>41</v>
      </c>
      <c r="Q31" s="9">
        <f t="shared" si="9"/>
        <v>14230.390243902439</v>
      </c>
      <c r="R31" s="9">
        <f t="shared" si="10"/>
        <v>502.7560975609756</v>
      </c>
      <c r="S31" s="10">
        <f t="shared" si="11"/>
        <v>2.6047767997962659</v>
      </c>
      <c r="T31" s="11"/>
      <c r="U31" s="11"/>
      <c r="V31" s="11"/>
      <c r="W31" s="12"/>
      <c r="X31" s="12"/>
      <c r="Y31" s="13"/>
      <c r="Z31" s="11">
        <v>179608</v>
      </c>
      <c r="AA31" s="11">
        <v>6381</v>
      </c>
      <c r="AB31" s="11">
        <v>36</v>
      </c>
      <c r="AC31" s="12">
        <v>14967.33333333333</v>
      </c>
      <c r="AD31" s="12">
        <v>531.75</v>
      </c>
      <c r="AE31" s="13">
        <v>2.658592023700395</v>
      </c>
      <c r="AF31" s="11">
        <v>14874</v>
      </c>
      <c r="AG31" s="11">
        <v>490</v>
      </c>
      <c r="AH31" s="11">
        <v>5</v>
      </c>
      <c r="AI31" s="12">
        <v>8924.4000000000015</v>
      </c>
      <c r="AJ31" s="12">
        <v>294</v>
      </c>
      <c r="AK31" s="13">
        <v>2.5509615758921371</v>
      </c>
      <c r="AL31" s="11"/>
      <c r="AM31" s="11"/>
      <c r="AN31" s="11"/>
      <c r="AO31" s="12"/>
      <c r="AP31" s="12"/>
      <c r="AQ31" s="13"/>
      <c r="AR31" s="11"/>
      <c r="AS31" s="11"/>
      <c r="AT31" s="11"/>
      <c r="AU31" s="12"/>
      <c r="AV31" s="12"/>
      <c r="AW31" s="13"/>
      <c r="AX31" s="11"/>
      <c r="AY31" s="11"/>
      <c r="AZ31" s="11"/>
      <c r="BA31" s="12"/>
      <c r="BB31" s="12"/>
      <c r="BC31" s="13"/>
      <c r="BD31" s="11"/>
      <c r="BE31" s="11"/>
      <c r="BF31" s="11"/>
      <c r="BG31" s="12"/>
      <c r="BH31" s="12"/>
      <c r="BI31" s="13"/>
      <c r="BJ31" s="11"/>
      <c r="BK31" s="11"/>
      <c r="BL31" s="11"/>
      <c r="BM31" s="12"/>
      <c r="BN31" s="12"/>
      <c r="BO31" s="13"/>
      <c r="BP31" s="11"/>
      <c r="BQ31" s="11"/>
      <c r="BR31" s="11"/>
      <c r="BS31" s="12"/>
      <c r="BT31" s="12"/>
      <c r="BU31" s="13"/>
      <c r="BV31" s="11"/>
      <c r="BW31" s="11"/>
      <c r="BX31" s="11"/>
      <c r="BY31" s="12"/>
      <c r="BZ31" s="12"/>
      <c r="CA31" s="13"/>
      <c r="CB31" s="11"/>
      <c r="CC31" s="11"/>
      <c r="CD31" s="11"/>
      <c r="CE31" s="12"/>
      <c r="CF31" s="12"/>
      <c r="CG31" s="13"/>
      <c r="CJ31" s="11"/>
      <c r="CK31" s="12"/>
      <c r="CL31" s="12"/>
      <c r="CM31" s="13"/>
    </row>
    <row r="32" spans="1:91" x14ac:dyDescent="0.25">
      <c r="A32" s="7" t="s">
        <v>29</v>
      </c>
      <c r="B32" s="8">
        <v>73485</v>
      </c>
      <c r="C32" s="8">
        <v>25801.5</v>
      </c>
      <c r="D32" s="8">
        <v>150</v>
      </c>
      <c r="E32" s="9">
        <v>14697</v>
      </c>
      <c r="F32" s="9">
        <v>5160.2999999999993</v>
      </c>
      <c r="G32" s="10">
        <v>10</v>
      </c>
      <c r="H32" s="8">
        <v>247480.41666666666</v>
      </c>
      <c r="I32" s="8">
        <v>86986.25</v>
      </c>
      <c r="J32" s="8">
        <v>449</v>
      </c>
      <c r="K32" s="9">
        <v>19842.527839643655</v>
      </c>
      <c r="L32" s="9">
        <v>6974.3986636971058</v>
      </c>
      <c r="M32" s="10">
        <v>9.9633415195747013</v>
      </c>
      <c r="N32" s="8">
        <f t="shared" si="6"/>
        <v>208713.33333333334</v>
      </c>
      <c r="O32" s="8">
        <f t="shared" si="7"/>
        <v>74079.333333333328</v>
      </c>
      <c r="P32" s="8">
        <f t="shared" si="8"/>
        <v>104</v>
      </c>
      <c r="Q32" s="9">
        <f t="shared" si="9"/>
        <v>18061.73076923077</v>
      </c>
      <c r="R32" s="9">
        <f t="shared" si="10"/>
        <v>6410.711538461539</v>
      </c>
      <c r="S32" s="10">
        <f t="shared" si="11"/>
        <v>10</v>
      </c>
      <c r="T32" s="11">
        <v>259000</v>
      </c>
      <c r="U32" s="11">
        <v>91903</v>
      </c>
      <c r="V32" s="11">
        <v>40</v>
      </c>
      <c r="W32" s="12">
        <v>19425</v>
      </c>
      <c r="X32" s="12">
        <v>6892.7249999999995</v>
      </c>
      <c r="Y32" s="13">
        <v>10</v>
      </c>
      <c r="Z32" s="11">
        <v>252140</v>
      </c>
      <c r="AA32" s="11">
        <v>89510</v>
      </c>
      <c r="AB32" s="11">
        <v>43</v>
      </c>
      <c r="AC32" s="12">
        <v>17591.162790697679</v>
      </c>
      <c r="AD32" s="12">
        <v>6244.8837209302328</v>
      </c>
      <c r="AE32" s="13">
        <v>10</v>
      </c>
      <c r="AF32" s="11">
        <v>115000</v>
      </c>
      <c r="AG32" s="11">
        <v>40825</v>
      </c>
      <c r="AH32" s="11">
        <v>21</v>
      </c>
      <c r="AI32" s="12">
        <v>16428.571428571431</v>
      </c>
      <c r="AJ32" s="12">
        <v>5832.1428571428569</v>
      </c>
      <c r="AK32" s="13">
        <v>10</v>
      </c>
      <c r="AL32" s="11"/>
      <c r="AM32" s="11"/>
      <c r="AN32" s="11"/>
      <c r="AO32" s="12"/>
      <c r="AP32" s="12"/>
      <c r="AQ32" s="13"/>
      <c r="AR32" s="11"/>
      <c r="AS32" s="11"/>
      <c r="AT32" s="11"/>
      <c r="AU32" s="12"/>
      <c r="AV32" s="12"/>
      <c r="AW32" s="13"/>
      <c r="AX32" s="11"/>
      <c r="AY32" s="11"/>
      <c r="AZ32" s="11"/>
      <c r="BA32" s="12"/>
      <c r="BB32" s="12"/>
      <c r="BC32" s="13"/>
      <c r="BD32" s="11"/>
      <c r="BE32" s="11"/>
      <c r="BF32" s="11"/>
      <c r="BG32" s="12"/>
      <c r="BH32" s="12"/>
      <c r="BI32" s="13"/>
      <c r="BJ32" s="11"/>
      <c r="BK32" s="11"/>
      <c r="BL32" s="11"/>
      <c r="BM32" s="12"/>
      <c r="BN32" s="12"/>
      <c r="BO32" s="13"/>
      <c r="BP32" s="11"/>
      <c r="BQ32" s="11"/>
      <c r="BR32" s="11"/>
      <c r="BS32" s="12"/>
      <c r="BT32" s="12"/>
      <c r="BU32" s="13"/>
      <c r="BV32" s="11"/>
      <c r="BW32" s="11"/>
      <c r="BX32" s="11"/>
      <c r="BY32" s="12"/>
      <c r="BZ32" s="12"/>
      <c r="CA32" s="13"/>
      <c r="CB32" s="11"/>
      <c r="CC32" s="11"/>
      <c r="CD32" s="11"/>
      <c r="CE32" s="12"/>
      <c r="CF32" s="12"/>
      <c r="CG32" s="13"/>
      <c r="CJ32" s="11"/>
      <c r="CK32" s="12"/>
      <c r="CL32" s="12"/>
      <c r="CM32" s="13"/>
    </row>
    <row r="33" spans="1:91" x14ac:dyDescent="0.25">
      <c r="A33" s="7" t="s">
        <v>30</v>
      </c>
      <c r="B33" s="8">
        <v>156397.63636363635</v>
      </c>
      <c r="C33" s="8">
        <v>126670.27272727272</v>
      </c>
      <c r="D33" s="8">
        <v>481</v>
      </c>
      <c r="E33" s="9">
        <v>10729.983367983368</v>
      </c>
      <c r="F33" s="9">
        <v>8690.4760914760918</v>
      </c>
      <c r="G33" s="10">
        <v>12.25308676979</v>
      </c>
      <c r="H33" s="8">
        <v>183737.75</v>
      </c>
      <c r="I33" s="8">
        <v>116683.16666666667</v>
      </c>
      <c r="J33" s="8">
        <v>570</v>
      </c>
      <c r="K33" s="9">
        <v>11604.489473684211</v>
      </c>
      <c r="L33" s="9">
        <v>7369.4631578947374</v>
      </c>
      <c r="M33" s="10">
        <v>10.846797722330821</v>
      </c>
      <c r="N33" s="8">
        <f t="shared" si="6"/>
        <v>63321</v>
      </c>
      <c r="O33" s="8">
        <f t="shared" si="7"/>
        <v>53856</v>
      </c>
      <c r="P33" s="8">
        <f t="shared" si="8"/>
        <v>50</v>
      </c>
      <c r="Q33" s="9">
        <f t="shared" si="9"/>
        <v>7598.52</v>
      </c>
      <c r="R33" s="9">
        <f t="shared" si="10"/>
        <v>6462.7199999999993</v>
      </c>
      <c r="S33" s="10">
        <f t="shared" si="11"/>
        <v>13.38240425975485</v>
      </c>
      <c r="T33" s="11">
        <v>31296</v>
      </c>
      <c r="U33" s="11">
        <v>39066</v>
      </c>
      <c r="V33" s="11">
        <v>16</v>
      </c>
      <c r="W33" s="12">
        <v>5868</v>
      </c>
      <c r="X33" s="12">
        <v>7324.875</v>
      </c>
      <c r="Y33" s="13">
        <v>15.18</v>
      </c>
      <c r="Z33" s="11">
        <v>95346</v>
      </c>
      <c r="AA33" s="11">
        <v>68646</v>
      </c>
      <c r="AB33" s="11">
        <v>34</v>
      </c>
      <c r="AC33" s="12">
        <v>8412.8823529411766</v>
      </c>
      <c r="AD33" s="12">
        <v>6057</v>
      </c>
      <c r="AE33" s="13">
        <v>11.5848085195097</v>
      </c>
      <c r="AF33" s="11"/>
      <c r="AG33" s="11"/>
      <c r="AH33" s="11"/>
      <c r="AI33" s="12"/>
      <c r="AJ33" s="12"/>
      <c r="AK33" s="13"/>
      <c r="AL33" s="11"/>
      <c r="AM33" s="11"/>
      <c r="AN33" s="11"/>
      <c r="AO33" s="12"/>
      <c r="AP33" s="12"/>
      <c r="AQ33" s="13"/>
      <c r="AR33" s="11"/>
      <c r="AS33" s="11"/>
      <c r="AT33" s="11"/>
      <c r="AU33" s="12"/>
      <c r="AV33" s="12"/>
      <c r="AW33" s="13"/>
      <c r="AX33" s="11"/>
      <c r="AY33" s="11"/>
      <c r="AZ33" s="11"/>
      <c r="BA33" s="12"/>
      <c r="BB33" s="12"/>
      <c r="BC33" s="13"/>
      <c r="BD33" s="11"/>
      <c r="BE33" s="11"/>
      <c r="BF33" s="11"/>
      <c r="BG33" s="12"/>
      <c r="BH33" s="12"/>
      <c r="BI33" s="13"/>
      <c r="BJ33" s="11"/>
      <c r="BK33" s="11"/>
      <c r="BL33" s="11"/>
      <c r="BM33" s="12"/>
      <c r="BN33" s="12"/>
      <c r="BO33" s="13"/>
      <c r="BP33" s="11"/>
      <c r="BQ33" s="11"/>
      <c r="BR33" s="11"/>
      <c r="BS33" s="12"/>
      <c r="BT33" s="12"/>
      <c r="BU33" s="13"/>
      <c r="BV33" s="11"/>
      <c r="BW33" s="11"/>
      <c r="BX33" s="11"/>
      <c r="BY33" s="12"/>
      <c r="BZ33" s="12"/>
      <c r="CA33" s="13"/>
      <c r="CB33" s="11"/>
      <c r="CC33" s="11"/>
      <c r="CD33" s="11"/>
      <c r="CE33" s="12"/>
      <c r="CF33" s="12"/>
      <c r="CG33" s="13"/>
      <c r="CJ33" s="11"/>
      <c r="CK33" s="12"/>
      <c r="CL33" s="12"/>
      <c r="CM33" s="13"/>
    </row>
    <row r="34" spans="1:91" x14ac:dyDescent="0.25">
      <c r="A34" s="7" t="s">
        <v>31</v>
      </c>
      <c r="B34" s="8">
        <v>54515.333333333336</v>
      </c>
      <c r="C34" s="8">
        <v>270182.83333333331</v>
      </c>
      <c r="D34" s="8">
        <v>545</v>
      </c>
      <c r="E34" s="9">
        <v>3601.0128440366975</v>
      </c>
      <c r="F34" s="9">
        <v>17846.939449541285</v>
      </c>
      <c r="G34" s="10">
        <v>34.744328743612293</v>
      </c>
      <c r="H34" s="8">
        <v>52472.083333333336</v>
      </c>
      <c r="I34" s="8">
        <v>233184.75</v>
      </c>
      <c r="J34" s="8">
        <v>471</v>
      </c>
      <c r="K34" s="9">
        <v>4010.6050955414012</v>
      </c>
      <c r="L34" s="9">
        <v>17823.038216560508</v>
      </c>
      <c r="M34" s="10">
        <v>33.944290434386716</v>
      </c>
      <c r="N34" s="8">
        <f t="shared" si="6"/>
        <v>28620.333333333332</v>
      </c>
      <c r="O34" s="8">
        <f t="shared" si="7"/>
        <v>123487.66666666667</v>
      </c>
      <c r="P34" s="8">
        <f t="shared" si="8"/>
        <v>72</v>
      </c>
      <c r="Q34" s="9">
        <f t="shared" si="9"/>
        <v>3577.541666666667</v>
      </c>
      <c r="R34" s="9">
        <f t="shared" si="10"/>
        <v>15435.958333333332</v>
      </c>
      <c r="S34" s="10">
        <f t="shared" si="11"/>
        <v>33.52584049033586</v>
      </c>
      <c r="T34" s="11">
        <v>44447</v>
      </c>
      <c r="U34" s="11">
        <v>147087</v>
      </c>
      <c r="V34" s="11">
        <v>34</v>
      </c>
      <c r="W34" s="12">
        <v>3921.794117647059</v>
      </c>
      <c r="X34" s="12">
        <v>12978.26470588235</v>
      </c>
      <c r="Y34" s="13">
        <v>28.68212506732797</v>
      </c>
      <c r="Z34" s="11">
        <v>33114</v>
      </c>
      <c r="AA34" s="11">
        <v>178942</v>
      </c>
      <c r="AB34" s="11">
        <v>32</v>
      </c>
      <c r="AC34" s="12">
        <v>3104.4375</v>
      </c>
      <c r="AD34" s="12">
        <v>16775.8125</v>
      </c>
      <c r="AE34" s="13">
        <v>36.152000350061762</v>
      </c>
      <c r="AF34" s="11">
        <v>8300</v>
      </c>
      <c r="AG34" s="11">
        <v>44434</v>
      </c>
      <c r="AH34" s="11">
        <v>6</v>
      </c>
      <c r="AI34" s="12">
        <v>4150</v>
      </c>
      <c r="AJ34" s="12">
        <v>22217</v>
      </c>
      <c r="AK34" s="13">
        <v>35.743396053617843</v>
      </c>
      <c r="AL34" s="11"/>
      <c r="AM34" s="11"/>
      <c r="AN34" s="11"/>
      <c r="AO34" s="12"/>
      <c r="AP34" s="12"/>
      <c r="AQ34" s="13"/>
      <c r="AR34" s="11"/>
      <c r="AS34" s="11"/>
      <c r="AT34" s="11"/>
      <c r="AU34" s="12"/>
      <c r="AV34" s="12"/>
      <c r="AW34" s="13"/>
      <c r="AX34" s="11"/>
      <c r="AY34" s="11"/>
      <c r="AZ34" s="11"/>
      <c r="BA34" s="12"/>
      <c r="BB34" s="12"/>
      <c r="BC34" s="13"/>
      <c r="BD34" s="11"/>
      <c r="BE34" s="11"/>
      <c r="BF34" s="11"/>
      <c r="BG34" s="12"/>
      <c r="BH34" s="12"/>
      <c r="BI34" s="13"/>
      <c r="BJ34" s="11"/>
      <c r="BK34" s="11"/>
      <c r="BL34" s="11"/>
      <c r="BM34" s="12"/>
      <c r="BN34" s="12"/>
      <c r="BO34" s="13"/>
      <c r="BP34" s="11"/>
      <c r="BQ34" s="11"/>
      <c r="BR34" s="11"/>
      <c r="BS34" s="12"/>
      <c r="BT34" s="12"/>
      <c r="BU34" s="13"/>
      <c r="BV34" s="11"/>
      <c r="BW34" s="11"/>
      <c r="BX34" s="11"/>
      <c r="BY34" s="12"/>
      <c r="BZ34" s="12"/>
      <c r="CA34" s="13"/>
      <c r="CB34" s="11"/>
      <c r="CC34" s="11"/>
      <c r="CD34" s="11"/>
      <c r="CE34" s="12"/>
      <c r="CF34" s="12"/>
      <c r="CG34" s="13"/>
      <c r="CJ34" s="11"/>
      <c r="CK34" s="12"/>
      <c r="CL34" s="12"/>
      <c r="CM34" s="13"/>
    </row>
    <row r="35" spans="1:91" x14ac:dyDescent="0.25">
      <c r="A35" s="7" t="s">
        <v>32</v>
      </c>
      <c r="B35" s="8">
        <v>183591.5</v>
      </c>
      <c r="C35" s="8">
        <v>11474.666666666666</v>
      </c>
      <c r="D35" s="8">
        <v>550</v>
      </c>
      <c r="E35" s="9">
        <v>12016.898181818182</v>
      </c>
      <c r="F35" s="9">
        <v>751.06909090909085</v>
      </c>
      <c r="G35" s="10">
        <v>3.5319106532899678</v>
      </c>
      <c r="H35" s="8">
        <v>207194.5</v>
      </c>
      <c r="I35" s="8">
        <v>12166.25</v>
      </c>
      <c r="J35" s="8">
        <v>575</v>
      </c>
      <c r="K35" s="9">
        <v>12972.177391304347</v>
      </c>
      <c r="L35" s="9">
        <v>761.71304347826094</v>
      </c>
      <c r="M35" s="10">
        <v>3.3874445657119399</v>
      </c>
      <c r="N35" s="8">
        <f t="shared" si="6"/>
        <v>25363</v>
      </c>
      <c r="O35" s="8">
        <f t="shared" si="7"/>
        <v>1220</v>
      </c>
      <c r="P35" s="8">
        <f t="shared" si="8"/>
        <v>8</v>
      </c>
      <c r="Q35" s="9">
        <f t="shared" si="9"/>
        <v>9511.125</v>
      </c>
      <c r="R35" s="9">
        <f t="shared" si="10"/>
        <v>457.5</v>
      </c>
      <c r="S35" s="10">
        <f t="shared" si="11"/>
        <v>3.103806941398267</v>
      </c>
      <c r="T35" s="11">
        <v>25363</v>
      </c>
      <c r="U35" s="11">
        <v>1220</v>
      </c>
      <c r="V35" s="11">
        <v>8</v>
      </c>
      <c r="W35" s="12">
        <v>9511.125</v>
      </c>
      <c r="X35" s="12">
        <v>457.5</v>
      </c>
      <c r="Y35" s="13">
        <v>3.103806941398267</v>
      </c>
      <c r="Z35" s="11"/>
      <c r="AA35" s="11"/>
      <c r="AB35" s="11"/>
      <c r="AC35" s="12"/>
      <c r="AD35" s="12"/>
      <c r="AE35" s="13"/>
      <c r="AF35" s="11"/>
      <c r="AG35" s="11"/>
      <c r="AH35" s="11"/>
      <c r="AI35" s="12"/>
      <c r="AJ35" s="12"/>
      <c r="AK35" s="13"/>
      <c r="AL35" s="11"/>
      <c r="AM35" s="11"/>
      <c r="AN35" s="11"/>
      <c r="AO35" s="12"/>
      <c r="AP35" s="12"/>
      <c r="AQ35" s="13"/>
      <c r="AR35" s="11"/>
      <c r="AS35" s="11"/>
      <c r="AT35" s="11"/>
      <c r="AU35" s="12"/>
      <c r="AV35" s="12"/>
      <c r="AW35" s="13"/>
      <c r="AX35" s="11"/>
      <c r="AY35" s="11"/>
      <c r="AZ35" s="11"/>
      <c r="BA35" s="12"/>
      <c r="BB35" s="12"/>
      <c r="BC35" s="13"/>
      <c r="BD35" s="11"/>
      <c r="BE35" s="11"/>
      <c r="BF35" s="11"/>
      <c r="BG35" s="12"/>
      <c r="BH35" s="12"/>
      <c r="BI35" s="13"/>
      <c r="BJ35" s="11"/>
      <c r="BK35" s="11"/>
      <c r="BL35" s="11"/>
      <c r="BM35" s="12"/>
      <c r="BN35" s="12"/>
      <c r="BO35" s="13"/>
      <c r="BP35" s="11"/>
      <c r="BQ35" s="11"/>
      <c r="BR35" s="11"/>
      <c r="BS35" s="12"/>
      <c r="BT35" s="12"/>
      <c r="BU35" s="13"/>
      <c r="BV35" s="11"/>
      <c r="BW35" s="11"/>
      <c r="BX35" s="11"/>
      <c r="BY35" s="12"/>
      <c r="BZ35" s="12"/>
      <c r="CA35" s="13"/>
      <c r="CB35" s="11"/>
      <c r="CC35" s="11"/>
      <c r="CD35" s="11"/>
      <c r="CE35" s="12"/>
      <c r="CF35" s="12"/>
      <c r="CG35" s="13"/>
      <c r="CJ35" s="11"/>
      <c r="CK35" s="12"/>
      <c r="CL35" s="12"/>
      <c r="CM35" s="13"/>
    </row>
    <row r="36" spans="1:91" x14ac:dyDescent="0.25">
      <c r="A36" s="7" t="s">
        <v>33</v>
      </c>
      <c r="B36" s="8">
        <v>149289.37286999999</v>
      </c>
      <c r="C36" s="8">
        <v>10088.416666666666</v>
      </c>
      <c r="D36" s="8">
        <v>485</v>
      </c>
      <c r="E36" s="9">
        <v>11081.273037773197</v>
      </c>
      <c r="F36" s="9">
        <v>748.83092783505151</v>
      </c>
      <c r="G36" s="10">
        <v>3.6739299384394641</v>
      </c>
      <c r="H36" s="8">
        <v>174111.08333333334</v>
      </c>
      <c r="I36" s="8">
        <v>10168.833333333334</v>
      </c>
      <c r="J36" s="8">
        <v>560</v>
      </c>
      <c r="K36" s="9">
        <v>11192.855357142857</v>
      </c>
      <c r="L36" s="9">
        <v>653.71071428571429</v>
      </c>
      <c r="M36" s="10">
        <v>3.4072625964062322</v>
      </c>
      <c r="N36" s="8">
        <f t="shared" si="6"/>
        <v>30484</v>
      </c>
      <c r="O36" s="8">
        <f t="shared" si="7"/>
        <v>2896</v>
      </c>
      <c r="P36" s="8">
        <f t="shared" si="8"/>
        <v>21</v>
      </c>
      <c r="Q36" s="9">
        <f t="shared" si="9"/>
        <v>13064.571428571429</v>
      </c>
      <c r="R36" s="9">
        <f t="shared" si="10"/>
        <v>1241.1428571428571</v>
      </c>
      <c r="S36" s="10">
        <f t="shared" si="11"/>
        <v>13.237985585521145</v>
      </c>
      <c r="T36" s="11">
        <v>68082</v>
      </c>
      <c r="U36" s="11">
        <v>2788</v>
      </c>
      <c r="V36" s="11">
        <v>11</v>
      </c>
      <c r="W36" s="12">
        <v>18567.81818181818</v>
      </c>
      <c r="X36" s="12">
        <v>760.36363636363637</v>
      </c>
      <c r="Y36" s="13">
        <v>2.860115551451837</v>
      </c>
      <c r="Z36" s="11">
        <v>1030</v>
      </c>
      <c r="AA36" s="11">
        <v>4976</v>
      </c>
      <c r="AB36" s="11">
        <v>1</v>
      </c>
      <c r="AC36" s="12">
        <v>3090</v>
      </c>
      <c r="AD36" s="12">
        <v>14928</v>
      </c>
      <c r="AE36" s="13">
        <v>34</v>
      </c>
      <c r="AF36" s="11">
        <v>22340</v>
      </c>
      <c r="AG36" s="11">
        <v>924</v>
      </c>
      <c r="AH36" s="11">
        <v>9</v>
      </c>
      <c r="AI36" s="12">
        <v>7446.6666666666661</v>
      </c>
      <c r="AJ36" s="12">
        <v>308</v>
      </c>
      <c r="AK36" s="13">
        <v>2.853841205111602</v>
      </c>
      <c r="AL36" s="11"/>
      <c r="AM36" s="11"/>
      <c r="AN36" s="11"/>
      <c r="AO36" s="12"/>
      <c r="AP36" s="12"/>
      <c r="AQ36" s="13"/>
      <c r="AR36" s="11"/>
      <c r="AS36" s="11"/>
      <c r="AT36" s="11"/>
      <c r="AU36" s="12"/>
      <c r="AV36" s="12"/>
      <c r="AW36" s="13"/>
      <c r="AX36" s="11"/>
      <c r="AY36" s="11"/>
      <c r="AZ36" s="11"/>
      <c r="BA36" s="12"/>
      <c r="BB36" s="12"/>
      <c r="BC36" s="13"/>
      <c r="BD36" s="11"/>
      <c r="BE36" s="11"/>
      <c r="BF36" s="11"/>
      <c r="BG36" s="12"/>
      <c r="BH36" s="12"/>
      <c r="BI36" s="13"/>
      <c r="BJ36" s="11"/>
      <c r="BK36" s="11"/>
      <c r="BL36" s="11"/>
      <c r="BM36" s="12"/>
      <c r="BN36" s="12"/>
      <c r="BO36" s="13"/>
      <c r="BP36" s="11"/>
      <c r="BQ36" s="11"/>
      <c r="BR36" s="11"/>
      <c r="BS36" s="12"/>
      <c r="BT36" s="12"/>
      <c r="BU36" s="13"/>
      <c r="BV36" s="11"/>
      <c r="BW36" s="11"/>
      <c r="BX36" s="11"/>
      <c r="BY36" s="12"/>
      <c r="BZ36" s="12"/>
      <c r="CA36" s="13"/>
      <c r="CB36" s="11"/>
      <c r="CC36" s="11"/>
      <c r="CD36" s="11"/>
      <c r="CE36" s="12"/>
      <c r="CF36" s="12"/>
      <c r="CG36" s="13"/>
      <c r="CJ36" s="11"/>
      <c r="CK36" s="12"/>
      <c r="CL36" s="12"/>
      <c r="CM36" s="13"/>
    </row>
    <row r="37" spans="1:91" x14ac:dyDescent="0.25">
      <c r="A37" s="7" t="s">
        <v>34</v>
      </c>
      <c r="B37" s="8">
        <v>136208.70000000001</v>
      </c>
      <c r="C37" s="8">
        <v>9564.5</v>
      </c>
      <c r="D37" s="8">
        <v>384</v>
      </c>
      <c r="E37" s="9">
        <v>10641.3046875</v>
      </c>
      <c r="F37" s="9">
        <v>747.2265625</v>
      </c>
      <c r="G37" s="10">
        <v>3.7469161157926099</v>
      </c>
      <c r="H37" s="8">
        <v>207599.08333333334</v>
      </c>
      <c r="I37" s="8">
        <v>12262.583333333334</v>
      </c>
      <c r="J37" s="8">
        <v>582</v>
      </c>
      <c r="K37" s="9">
        <v>12841.180412371134</v>
      </c>
      <c r="L37" s="9">
        <v>758.51030927835052</v>
      </c>
      <c r="M37" s="10">
        <v>3.3769757862728347</v>
      </c>
      <c r="N37" s="8">
        <f t="shared" si="6"/>
        <v>66477</v>
      </c>
      <c r="O37" s="8">
        <f t="shared" si="7"/>
        <v>6317.333333333333</v>
      </c>
      <c r="P37" s="8">
        <f t="shared" si="8"/>
        <v>65</v>
      </c>
      <c r="Q37" s="9">
        <f t="shared" si="9"/>
        <v>9204.5076923076922</v>
      </c>
      <c r="R37" s="9">
        <f t="shared" si="10"/>
        <v>874.70769230769235</v>
      </c>
      <c r="S37" s="10">
        <f t="shared" si="11"/>
        <v>3.5072307592276366</v>
      </c>
      <c r="T37" s="11">
        <v>60720</v>
      </c>
      <c r="U37" s="11">
        <v>2664</v>
      </c>
      <c r="V37" s="11">
        <v>16</v>
      </c>
      <c r="W37" s="12">
        <v>11385</v>
      </c>
      <c r="X37" s="12">
        <v>499.5</v>
      </c>
      <c r="Y37" s="13">
        <v>2.9631218581497891</v>
      </c>
      <c r="Z37" s="11">
        <v>115565</v>
      </c>
      <c r="AA37" s="11">
        <v>15566</v>
      </c>
      <c r="AB37" s="11">
        <v>41</v>
      </c>
      <c r="AC37" s="12">
        <v>8455.9756097560967</v>
      </c>
      <c r="AD37" s="12">
        <v>1138.975609756098</v>
      </c>
      <c r="AE37" s="13">
        <v>5.0783424957576866</v>
      </c>
      <c r="AF37" s="11">
        <v>23146</v>
      </c>
      <c r="AG37" s="11">
        <v>722</v>
      </c>
      <c r="AH37" s="11">
        <v>8</v>
      </c>
      <c r="AI37" s="12">
        <v>8679.75</v>
      </c>
      <c r="AJ37" s="12">
        <v>270.75</v>
      </c>
      <c r="AK37" s="13">
        <v>2.4802279237754341</v>
      </c>
      <c r="AL37" s="11"/>
      <c r="AM37" s="11"/>
      <c r="AN37" s="11"/>
      <c r="AO37" s="12"/>
      <c r="AP37" s="12"/>
      <c r="AQ37" s="13"/>
      <c r="AR37" s="11"/>
      <c r="AS37" s="11"/>
      <c r="AT37" s="11"/>
      <c r="AU37" s="12"/>
      <c r="AV37" s="12"/>
      <c r="AW37" s="13"/>
      <c r="AX37" s="11"/>
      <c r="AY37" s="11"/>
      <c r="AZ37" s="11"/>
      <c r="BA37" s="12"/>
      <c r="BB37" s="12"/>
      <c r="BC37" s="13"/>
      <c r="BD37" s="11"/>
      <c r="BE37" s="11"/>
      <c r="BF37" s="11"/>
      <c r="BG37" s="12"/>
      <c r="BH37" s="12"/>
      <c r="BI37" s="13"/>
      <c r="BJ37" s="11"/>
      <c r="BK37" s="11"/>
      <c r="BL37" s="11"/>
      <c r="BM37" s="12"/>
      <c r="BN37" s="12"/>
      <c r="BO37" s="13"/>
      <c r="BP37" s="11"/>
      <c r="BQ37" s="11"/>
      <c r="BR37" s="11"/>
      <c r="BS37" s="12"/>
      <c r="BT37" s="12"/>
      <c r="BU37" s="13"/>
      <c r="BV37" s="11"/>
      <c r="BW37" s="11"/>
      <c r="BX37" s="11"/>
      <c r="BY37" s="12"/>
      <c r="BZ37" s="12"/>
      <c r="CA37" s="13"/>
      <c r="CB37" s="11"/>
      <c r="CC37" s="11"/>
      <c r="CD37" s="11"/>
      <c r="CE37" s="12"/>
      <c r="CF37" s="12"/>
      <c r="CG37" s="13"/>
      <c r="CJ37" s="11"/>
      <c r="CK37" s="12"/>
      <c r="CL37" s="12"/>
      <c r="CM37" s="13"/>
    </row>
    <row r="38" spans="1:91" x14ac:dyDescent="0.25">
      <c r="A38" s="7" t="s">
        <v>35</v>
      </c>
      <c r="B38" s="8">
        <v>35630.5</v>
      </c>
      <c r="C38" s="8">
        <v>573</v>
      </c>
      <c r="D38" s="8">
        <v>17</v>
      </c>
      <c r="E38" s="9">
        <v>12575.470588235294</v>
      </c>
      <c r="F38" s="9">
        <v>202.23529411764704</v>
      </c>
      <c r="G38" s="10">
        <v>1.776431694391629</v>
      </c>
      <c r="H38" s="8">
        <v>171856.5</v>
      </c>
      <c r="I38" s="8">
        <v>29784.5</v>
      </c>
      <c r="J38" s="8">
        <v>82</v>
      </c>
      <c r="K38" s="9">
        <v>12574.865853658535</v>
      </c>
      <c r="L38" s="9">
        <v>2179.3536585365855</v>
      </c>
      <c r="M38" s="10">
        <v>5.3803530180983188</v>
      </c>
      <c r="N38" s="8" t="str">
        <f t="shared" si="6"/>
        <v xml:space="preserve"> </v>
      </c>
      <c r="O38" s="8" t="str">
        <f t="shared" si="7"/>
        <v xml:space="preserve"> </v>
      </c>
      <c r="P38" s="8">
        <f t="shared" si="8"/>
        <v>0</v>
      </c>
      <c r="Q38" s="9" t="str">
        <f t="shared" si="9"/>
        <v xml:space="preserve"> </v>
      </c>
      <c r="R38" s="9" t="str">
        <f t="shared" si="10"/>
        <v xml:space="preserve"> </v>
      </c>
      <c r="S38" s="10" t="str">
        <f t="shared" si="11"/>
        <v xml:space="preserve"> </v>
      </c>
      <c r="T38" s="11"/>
      <c r="U38" s="11"/>
      <c r="V38" s="11"/>
      <c r="W38" s="12"/>
      <c r="X38" s="12"/>
      <c r="Y38" s="13"/>
      <c r="Z38" s="11"/>
      <c r="AA38" s="11"/>
      <c r="AB38" s="11"/>
      <c r="AC38" s="12"/>
      <c r="AD38" s="12"/>
      <c r="AE38" s="13"/>
      <c r="AF38" s="11"/>
      <c r="AG38" s="11"/>
      <c r="AH38" s="11"/>
      <c r="AI38" s="12"/>
      <c r="AJ38" s="12"/>
      <c r="AK38" s="13"/>
      <c r="AL38" s="11"/>
      <c r="AM38" s="11"/>
      <c r="AN38" s="11"/>
      <c r="AO38" s="12"/>
      <c r="AP38" s="12"/>
      <c r="AQ38" s="13"/>
      <c r="AR38" s="11"/>
      <c r="AS38" s="11"/>
      <c r="AT38" s="11"/>
      <c r="AU38" s="12"/>
      <c r="AV38" s="12"/>
      <c r="AW38" s="13"/>
      <c r="AX38" s="11"/>
      <c r="AY38" s="11"/>
      <c r="AZ38" s="11"/>
      <c r="BA38" s="12"/>
      <c r="BB38" s="12"/>
      <c r="BC38" s="13"/>
      <c r="BD38" s="11"/>
      <c r="BE38" s="11"/>
      <c r="BF38" s="11"/>
      <c r="BG38" s="12"/>
      <c r="BH38" s="12"/>
      <c r="BI38" s="13"/>
      <c r="BJ38" s="11"/>
      <c r="BK38" s="11"/>
      <c r="BL38" s="11"/>
      <c r="BM38" s="12"/>
      <c r="BN38" s="12"/>
      <c r="BO38" s="13"/>
      <c r="BP38" s="11"/>
      <c r="BQ38" s="11"/>
      <c r="BR38" s="11"/>
      <c r="BS38" s="12"/>
      <c r="BT38" s="12"/>
      <c r="BU38" s="13"/>
      <c r="BV38" s="11"/>
      <c r="BW38" s="11"/>
      <c r="BX38" s="11"/>
      <c r="BY38" s="12"/>
      <c r="BZ38" s="12"/>
      <c r="CA38" s="13"/>
      <c r="CB38" s="11"/>
      <c r="CC38" s="11"/>
      <c r="CD38" s="11"/>
      <c r="CE38" s="12"/>
      <c r="CF38" s="12"/>
      <c r="CG38" s="13"/>
      <c r="CJ38" s="11"/>
      <c r="CK38" s="12"/>
      <c r="CL38" s="12"/>
      <c r="CM38" s="13"/>
    </row>
    <row r="39" spans="1:91" x14ac:dyDescent="0.25">
      <c r="A39" s="7" t="s">
        <v>36</v>
      </c>
      <c r="B39" s="8">
        <v>29898</v>
      </c>
      <c r="C39" s="8">
        <v>390.5</v>
      </c>
      <c r="D39" s="8">
        <v>11</v>
      </c>
      <c r="E39" s="9">
        <v>16308</v>
      </c>
      <c r="F39" s="9">
        <v>213</v>
      </c>
      <c r="G39" s="10">
        <v>1.6</v>
      </c>
      <c r="H39" s="8">
        <v>10211</v>
      </c>
      <c r="I39" s="8">
        <v>1081</v>
      </c>
      <c r="J39" s="8">
        <v>3</v>
      </c>
      <c r="K39" s="9">
        <v>10211</v>
      </c>
      <c r="L39" s="9">
        <v>1081</v>
      </c>
      <c r="M39" s="10">
        <v>5.1444617769822214</v>
      </c>
      <c r="N39" s="8" t="str">
        <f t="shared" si="6"/>
        <v xml:space="preserve"> </v>
      </c>
      <c r="O39" s="8" t="str">
        <f t="shared" si="7"/>
        <v xml:space="preserve"> </v>
      </c>
      <c r="P39" s="8">
        <f t="shared" si="8"/>
        <v>0</v>
      </c>
      <c r="Q39" s="9" t="str">
        <f t="shared" si="9"/>
        <v xml:space="preserve"> </v>
      </c>
      <c r="R39" s="9" t="str">
        <f t="shared" si="10"/>
        <v xml:space="preserve"> </v>
      </c>
      <c r="S39" s="10" t="str">
        <f t="shared" si="11"/>
        <v xml:space="preserve"> </v>
      </c>
      <c r="T39" s="11"/>
      <c r="U39" s="11"/>
      <c r="V39" s="11"/>
      <c r="W39" s="12"/>
      <c r="X39" s="12"/>
      <c r="Y39" s="13"/>
      <c r="Z39" s="11"/>
      <c r="AA39" s="11"/>
      <c r="AB39" s="11"/>
      <c r="AC39" s="12"/>
      <c r="AD39" s="12"/>
      <c r="AE39" s="13"/>
      <c r="AF39" s="11"/>
      <c r="AG39" s="11"/>
      <c r="AH39" s="11"/>
      <c r="AI39" s="12"/>
      <c r="AJ39" s="12"/>
      <c r="AK39" s="13"/>
      <c r="AL39" s="11"/>
      <c r="AM39" s="11"/>
      <c r="AN39" s="11"/>
      <c r="AO39" s="12"/>
      <c r="AP39" s="12"/>
      <c r="AQ39" s="13"/>
      <c r="AR39" s="11"/>
      <c r="AS39" s="11"/>
      <c r="AT39" s="11"/>
      <c r="AU39" s="12"/>
      <c r="AV39" s="12"/>
      <c r="AW39" s="13"/>
      <c r="AX39" s="11"/>
      <c r="AY39" s="11"/>
      <c r="AZ39" s="11"/>
      <c r="BA39" s="12"/>
      <c r="BB39" s="12"/>
      <c r="BC39" s="13"/>
      <c r="BD39" s="11"/>
      <c r="BE39" s="11"/>
      <c r="BF39" s="11"/>
      <c r="BG39" s="12"/>
      <c r="BH39" s="12"/>
      <c r="BI39" s="13"/>
      <c r="BJ39" s="11"/>
      <c r="BK39" s="11"/>
      <c r="BL39" s="11"/>
      <c r="BM39" s="12"/>
      <c r="BN39" s="12"/>
      <c r="BO39" s="13"/>
      <c r="BP39" s="11"/>
      <c r="BQ39" s="11"/>
      <c r="BR39" s="11"/>
      <c r="BS39" s="12"/>
      <c r="BT39" s="12"/>
      <c r="BU39" s="13"/>
      <c r="BV39" s="11"/>
      <c r="BW39" s="11"/>
      <c r="BX39" s="11"/>
      <c r="BY39" s="12"/>
      <c r="BZ39" s="12"/>
      <c r="CA39" s="13"/>
      <c r="CB39" s="11"/>
      <c r="CC39" s="11"/>
      <c r="CD39" s="11"/>
      <c r="CE39" s="12"/>
      <c r="CF39" s="12"/>
      <c r="CG39" s="13"/>
      <c r="CJ39" s="11"/>
      <c r="CK39" s="12"/>
      <c r="CL39" s="12"/>
      <c r="CM39" s="13"/>
    </row>
    <row r="40" spans="1:91" x14ac:dyDescent="0.25">
      <c r="A40" s="7" t="s">
        <v>37</v>
      </c>
      <c r="B40" s="8">
        <v>99980.272727272721</v>
      </c>
      <c r="C40" s="8">
        <v>16583</v>
      </c>
      <c r="D40" s="8">
        <v>255</v>
      </c>
      <c r="E40" s="9">
        <v>12938.623529411765</v>
      </c>
      <c r="F40" s="9">
        <v>2146.035294117647</v>
      </c>
      <c r="G40" s="10">
        <v>5.6493127741712597</v>
      </c>
      <c r="H40" s="8">
        <v>121864</v>
      </c>
      <c r="I40" s="8">
        <v>23900.727272727272</v>
      </c>
      <c r="J40" s="8">
        <v>397</v>
      </c>
      <c r="K40" s="9">
        <v>10129.753148614609</v>
      </c>
      <c r="L40" s="9">
        <v>1986.7103274559195</v>
      </c>
      <c r="M40" s="10">
        <v>6.814213477293432</v>
      </c>
      <c r="N40" s="8">
        <f t="shared" si="6"/>
        <v>91661.5</v>
      </c>
      <c r="O40" s="8">
        <f t="shared" si="7"/>
        <v>12845</v>
      </c>
      <c r="P40" s="8">
        <f t="shared" si="8"/>
        <v>70</v>
      </c>
      <c r="Q40" s="9">
        <f t="shared" si="9"/>
        <v>7856.7000000000007</v>
      </c>
      <c r="R40" s="9">
        <f t="shared" si="10"/>
        <v>1101</v>
      </c>
      <c r="S40" s="10">
        <f t="shared" si="11"/>
        <v>5.1303118699040642</v>
      </c>
      <c r="T40" s="11">
        <v>111399</v>
      </c>
      <c r="U40" s="11">
        <v>16643</v>
      </c>
      <c r="V40" s="11">
        <v>48</v>
      </c>
      <c r="W40" s="12">
        <v>6962.4375</v>
      </c>
      <c r="X40" s="12">
        <v>1040.1875</v>
      </c>
      <c r="Y40" s="13">
        <v>5.3620855384742709</v>
      </c>
      <c r="Z40" s="11"/>
      <c r="AA40" s="11"/>
      <c r="AB40" s="11"/>
      <c r="AC40" s="12"/>
      <c r="AD40" s="12"/>
      <c r="AE40" s="13"/>
      <c r="AF40" s="11">
        <v>71924</v>
      </c>
      <c r="AG40" s="11">
        <v>9047</v>
      </c>
      <c r="AH40" s="11">
        <v>22</v>
      </c>
      <c r="AI40" s="12">
        <v>9807.818181818182</v>
      </c>
      <c r="AJ40" s="12">
        <v>1233.681818181818</v>
      </c>
      <c r="AK40" s="13">
        <v>4.8985382013338574</v>
      </c>
      <c r="AL40" s="11"/>
      <c r="AM40" s="11"/>
      <c r="AN40" s="11"/>
      <c r="AO40" s="12"/>
      <c r="AP40" s="12"/>
      <c r="AQ40" s="13"/>
      <c r="AR40" s="11"/>
      <c r="AS40" s="11"/>
      <c r="AT40" s="11"/>
      <c r="AU40" s="12"/>
      <c r="AV40" s="12"/>
      <c r="AW40" s="13"/>
      <c r="AX40" s="11"/>
      <c r="AY40" s="11"/>
      <c r="AZ40" s="11"/>
      <c r="BA40" s="12"/>
      <c r="BB40" s="12"/>
      <c r="BC40" s="13"/>
      <c r="BD40" s="11"/>
      <c r="BE40" s="11"/>
      <c r="BF40" s="11"/>
      <c r="BG40" s="12"/>
      <c r="BH40" s="12"/>
      <c r="BI40" s="13"/>
      <c r="BJ40" s="11"/>
      <c r="BK40" s="11"/>
      <c r="BL40" s="11"/>
      <c r="BM40" s="12"/>
      <c r="BN40" s="12"/>
      <c r="BO40" s="13"/>
      <c r="BP40" s="11"/>
      <c r="BQ40" s="11"/>
      <c r="BR40" s="11"/>
      <c r="BS40" s="12"/>
      <c r="BT40" s="12"/>
      <c r="BU40" s="13"/>
      <c r="BV40" s="11"/>
      <c r="BW40" s="11"/>
      <c r="BX40" s="11"/>
      <c r="BY40" s="12"/>
      <c r="BZ40" s="12"/>
      <c r="CA40" s="13"/>
      <c r="CB40" s="11"/>
      <c r="CC40" s="11"/>
      <c r="CD40" s="11"/>
      <c r="CE40" s="12"/>
      <c r="CF40" s="12"/>
      <c r="CG40" s="13"/>
      <c r="CJ40" s="11"/>
      <c r="CK40" s="12"/>
      <c r="CL40" s="12"/>
      <c r="CM40" s="13"/>
    </row>
    <row r="41" spans="1:91" x14ac:dyDescent="0.25">
      <c r="A41" s="7" t="s">
        <v>38</v>
      </c>
      <c r="B41" s="8">
        <v>124200</v>
      </c>
      <c r="C41" s="8">
        <v>8746</v>
      </c>
      <c r="D41" s="8">
        <v>19</v>
      </c>
      <c r="E41" s="9">
        <v>39221.052631578947</v>
      </c>
      <c r="F41" s="9">
        <v>2761.8947368421054</v>
      </c>
      <c r="G41" s="10">
        <v>3.8023638719213539</v>
      </c>
      <c r="H41" s="8">
        <v>126668</v>
      </c>
      <c r="I41" s="8">
        <v>10453.666666666666</v>
      </c>
      <c r="J41" s="8">
        <v>36</v>
      </c>
      <c r="K41" s="9">
        <v>31667</v>
      </c>
      <c r="L41" s="9">
        <v>2613.416666666667</v>
      </c>
      <c r="M41" s="10">
        <v>4.6489930607417618</v>
      </c>
      <c r="N41" s="8" t="str">
        <f t="shared" si="6"/>
        <v xml:space="preserve"> </v>
      </c>
      <c r="O41" s="8" t="str">
        <f t="shared" si="7"/>
        <v xml:space="preserve"> </v>
      </c>
      <c r="P41" s="8">
        <f t="shared" si="8"/>
        <v>0</v>
      </c>
      <c r="Q41" s="9" t="str">
        <f t="shared" si="9"/>
        <v xml:space="preserve"> </v>
      </c>
      <c r="R41" s="9" t="str">
        <f t="shared" si="10"/>
        <v xml:space="preserve"> </v>
      </c>
      <c r="S41" s="10" t="str">
        <f t="shared" si="11"/>
        <v xml:space="preserve"> </v>
      </c>
      <c r="T41" s="11"/>
      <c r="U41" s="11"/>
      <c r="V41" s="11"/>
      <c r="W41" s="12"/>
      <c r="X41" s="12"/>
      <c r="Y41" s="13"/>
      <c r="Z41" s="11"/>
      <c r="AA41" s="11"/>
      <c r="AB41" s="11"/>
      <c r="AC41" s="12"/>
      <c r="AD41" s="12"/>
      <c r="AE41" s="13"/>
      <c r="AF41" s="11"/>
      <c r="AG41" s="11"/>
      <c r="AH41" s="11"/>
      <c r="AI41" s="12"/>
      <c r="AJ41" s="12"/>
      <c r="AK41" s="13"/>
      <c r="AL41" s="11"/>
      <c r="AM41" s="11"/>
      <c r="AN41" s="11"/>
      <c r="AO41" s="12"/>
      <c r="AP41" s="12"/>
      <c r="AQ41" s="13"/>
      <c r="AR41" s="11"/>
      <c r="AS41" s="11"/>
      <c r="AT41" s="11"/>
      <c r="AU41" s="12"/>
      <c r="AV41" s="12"/>
      <c r="AW41" s="13"/>
      <c r="AX41" s="11"/>
      <c r="AY41" s="11"/>
      <c r="AZ41" s="11"/>
      <c r="BA41" s="12"/>
      <c r="BB41" s="12"/>
      <c r="BC41" s="13"/>
      <c r="BD41" s="11"/>
      <c r="BE41" s="11"/>
      <c r="BF41" s="11"/>
      <c r="BG41" s="12"/>
      <c r="BH41" s="12"/>
      <c r="BI41" s="13"/>
      <c r="BJ41" s="11"/>
      <c r="BK41" s="11"/>
      <c r="BL41" s="11"/>
      <c r="BM41" s="12"/>
      <c r="BN41" s="12"/>
      <c r="BO41" s="13"/>
      <c r="BP41" s="11"/>
      <c r="BQ41" s="11"/>
      <c r="BR41" s="11"/>
      <c r="BS41" s="12"/>
      <c r="BT41" s="12"/>
      <c r="BU41" s="13"/>
      <c r="BV41" s="11"/>
      <c r="BW41" s="11"/>
      <c r="BX41" s="11"/>
      <c r="BY41" s="12"/>
      <c r="BZ41" s="12"/>
      <c r="CA41" s="13"/>
      <c r="CB41" s="11"/>
      <c r="CC41" s="11"/>
      <c r="CD41" s="11"/>
      <c r="CE41" s="12"/>
      <c r="CF41" s="12"/>
      <c r="CG41" s="13"/>
      <c r="CJ41" s="11"/>
      <c r="CK41" s="12"/>
      <c r="CL41" s="12"/>
      <c r="CM41" s="13"/>
    </row>
    <row r="42" spans="1:91" x14ac:dyDescent="0.25">
      <c r="A42" s="7" t="s">
        <v>39</v>
      </c>
      <c r="B42" s="8">
        <v>9613.0833333333339</v>
      </c>
      <c r="C42" s="8">
        <v>18982.666666666668</v>
      </c>
      <c r="D42" s="8">
        <v>101</v>
      </c>
      <c r="E42" s="9">
        <v>3426.4455445544554</v>
      </c>
      <c r="F42" s="9">
        <v>6766.0990099009896</v>
      </c>
      <c r="G42" s="10">
        <v>21.755159446892272</v>
      </c>
      <c r="H42" s="8">
        <v>26974.81818181818</v>
      </c>
      <c r="I42" s="8">
        <v>40307.909090909088</v>
      </c>
      <c r="J42" s="8">
        <v>193</v>
      </c>
      <c r="K42" s="9">
        <v>4612.2746113989633</v>
      </c>
      <c r="L42" s="9">
        <v>6892.025906735752</v>
      </c>
      <c r="M42" s="10">
        <v>18.922343857158804</v>
      </c>
      <c r="N42" s="8">
        <f t="shared" si="6"/>
        <v>19520</v>
      </c>
      <c r="O42" s="8">
        <f t="shared" si="7"/>
        <v>45498.666666666664</v>
      </c>
      <c r="P42" s="8">
        <f t="shared" si="8"/>
        <v>42</v>
      </c>
      <c r="Q42" s="9">
        <f t="shared" si="9"/>
        <v>4182.8571428571431</v>
      </c>
      <c r="R42" s="9">
        <f t="shared" si="10"/>
        <v>9749.7142857142862</v>
      </c>
      <c r="S42" s="10">
        <f t="shared" si="11"/>
        <v>22.28207571812619</v>
      </c>
      <c r="T42" s="11">
        <v>16200</v>
      </c>
      <c r="U42" s="11">
        <v>47733</v>
      </c>
      <c r="V42" s="11">
        <v>13</v>
      </c>
      <c r="W42" s="12">
        <v>3738.461538461539</v>
      </c>
      <c r="X42" s="12">
        <v>11015.30769230769</v>
      </c>
      <c r="Y42" s="13">
        <v>24.400781711825299</v>
      </c>
      <c r="Z42" s="11">
        <v>22600</v>
      </c>
      <c r="AA42" s="11">
        <v>46509</v>
      </c>
      <c r="AB42" s="11">
        <v>13</v>
      </c>
      <c r="AC42" s="12">
        <v>5215.3846153846152</v>
      </c>
      <c r="AD42" s="12">
        <v>10732.846153846151</v>
      </c>
      <c r="AE42" s="13">
        <v>20.9509541041955</v>
      </c>
      <c r="AF42" s="11">
        <v>19760</v>
      </c>
      <c r="AG42" s="11">
        <v>42254</v>
      </c>
      <c r="AH42" s="11">
        <v>16</v>
      </c>
      <c r="AI42" s="12">
        <v>3705</v>
      </c>
      <c r="AJ42" s="12">
        <v>7922.625</v>
      </c>
      <c r="AK42" s="13">
        <v>21.494491338357761</v>
      </c>
      <c r="AL42" s="11"/>
      <c r="AM42" s="11"/>
      <c r="AN42" s="11"/>
      <c r="AO42" s="12"/>
      <c r="AP42" s="12"/>
      <c r="AQ42" s="13"/>
      <c r="AR42" s="11"/>
      <c r="AS42" s="11"/>
      <c r="AT42" s="11"/>
      <c r="AU42" s="12"/>
      <c r="AV42" s="12"/>
      <c r="AW42" s="13"/>
      <c r="AX42" s="11"/>
      <c r="AY42" s="11"/>
      <c r="AZ42" s="11"/>
      <c r="BA42" s="12"/>
      <c r="BB42" s="12"/>
      <c r="BC42" s="13"/>
      <c r="BD42" s="11"/>
      <c r="BE42" s="11"/>
      <c r="BF42" s="11"/>
      <c r="BG42" s="12"/>
      <c r="BH42" s="12"/>
      <c r="BI42" s="13"/>
      <c r="BJ42" s="11"/>
      <c r="BK42" s="11"/>
      <c r="BL42" s="11"/>
      <c r="BM42" s="12"/>
      <c r="BN42" s="12"/>
      <c r="BO42" s="13"/>
      <c r="BP42" s="11"/>
      <c r="BQ42" s="11"/>
      <c r="BR42" s="11"/>
      <c r="BS42" s="12"/>
      <c r="BT42" s="12"/>
      <c r="BU42" s="13"/>
      <c r="BV42" s="11"/>
      <c r="BW42" s="11"/>
      <c r="BX42" s="11"/>
      <c r="BY42" s="12"/>
      <c r="BZ42" s="12"/>
      <c r="CA42" s="13"/>
      <c r="CB42" s="11"/>
      <c r="CC42" s="11"/>
      <c r="CD42" s="11"/>
      <c r="CE42" s="12"/>
      <c r="CF42" s="12"/>
      <c r="CG42" s="13"/>
      <c r="CJ42" s="11"/>
      <c r="CK42" s="12"/>
      <c r="CL42" s="12"/>
      <c r="CM42" s="13"/>
    </row>
    <row r="43" spans="1:91" x14ac:dyDescent="0.25">
      <c r="A43" s="7" t="s">
        <v>40</v>
      </c>
      <c r="B43" s="8">
        <v>22574.5</v>
      </c>
      <c r="C43" s="8">
        <v>783.25</v>
      </c>
      <c r="D43" s="8">
        <v>15</v>
      </c>
      <c r="E43" s="9">
        <v>18059.599999999999</v>
      </c>
      <c r="F43" s="9">
        <v>626.6</v>
      </c>
      <c r="G43" s="10">
        <v>2.564912660559858</v>
      </c>
      <c r="H43" s="8">
        <v>236720.2</v>
      </c>
      <c r="I43" s="8">
        <v>8298.1</v>
      </c>
      <c r="J43" s="8">
        <v>331</v>
      </c>
      <c r="K43" s="9">
        <v>21455.003021148037</v>
      </c>
      <c r="L43" s="9">
        <v>752.09365558912384</v>
      </c>
      <c r="M43" s="10">
        <v>2.5357240271825825</v>
      </c>
      <c r="N43" s="8">
        <f t="shared" si="6"/>
        <v>303005</v>
      </c>
      <c r="O43" s="8">
        <f t="shared" si="7"/>
        <v>11012.666666666666</v>
      </c>
      <c r="P43" s="8">
        <f t="shared" si="8"/>
        <v>126</v>
      </c>
      <c r="Q43" s="9">
        <f t="shared" si="9"/>
        <v>21643.214285714283</v>
      </c>
      <c r="R43" s="9">
        <f t="shared" si="10"/>
        <v>786.61904761904771</v>
      </c>
      <c r="S43" s="10">
        <f t="shared" si="11"/>
        <v>2.6332603318139802</v>
      </c>
      <c r="T43" s="11">
        <v>178860</v>
      </c>
      <c r="U43" s="11">
        <v>6633</v>
      </c>
      <c r="V43" s="11">
        <v>25</v>
      </c>
      <c r="W43" s="12">
        <v>21463.200000000001</v>
      </c>
      <c r="X43" s="12">
        <v>795.96</v>
      </c>
      <c r="Y43" s="13">
        <v>2.65</v>
      </c>
      <c r="Z43" s="11">
        <v>395719</v>
      </c>
      <c r="AA43" s="11">
        <v>13398</v>
      </c>
      <c r="AB43" s="11">
        <v>49</v>
      </c>
      <c r="AC43" s="12">
        <v>24227.693877551021</v>
      </c>
      <c r="AD43" s="12">
        <v>820.28571428571433</v>
      </c>
      <c r="AE43" s="13">
        <v>2.5295946096631892</v>
      </c>
      <c r="AF43" s="11">
        <v>334436</v>
      </c>
      <c r="AG43" s="11">
        <v>13007</v>
      </c>
      <c r="AH43" s="11">
        <v>52</v>
      </c>
      <c r="AI43" s="12">
        <v>19294.38461538461</v>
      </c>
      <c r="AJ43" s="12">
        <v>750.40384615384619</v>
      </c>
      <c r="AK43" s="13">
        <v>2.720186385778752</v>
      </c>
      <c r="AL43" s="11"/>
      <c r="AM43" s="11"/>
      <c r="AN43" s="11"/>
      <c r="AO43" s="12"/>
      <c r="AP43" s="12"/>
      <c r="AQ43" s="13"/>
      <c r="AR43" s="11"/>
      <c r="AS43" s="11"/>
      <c r="AT43" s="11"/>
      <c r="AU43" s="12"/>
      <c r="AV43" s="12"/>
      <c r="AW43" s="13"/>
      <c r="AX43" s="11"/>
      <c r="AY43" s="11"/>
      <c r="AZ43" s="11"/>
      <c r="BA43" s="12"/>
      <c r="BB43" s="12"/>
      <c r="BC43" s="13"/>
      <c r="BD43" s="11"/>
      <c r="BE43" s="11"/>
      <c r="BF43" s="11"/>
      <c r="BG43" s="12"/>
      <c r="BH43" s="12"/>
      <c r="BI43" s="13"/>
      <c r="BJ43" s="11"/>
      <c r="BK43" s="11"/>
      <c r="BL43" s="11"/>
      <c r="BM43" s="12"/>
      <c r="BN43" s="12"/>
      <c r="BO43" s="13"/>
      <c r="BP43" s="11"/>
      <c r="BQ43" s="11"/>
      <c r="BR43" s="11"/>
      <c r="BS43" s="12"/>
      <c r="BT43" s="12"/>
      <c r="BU43" s="13"/>
      <c r="BV43" s="11"/>
      <c r="BW43" s="11"/>
      <c r="BX43" s="11"/>
      <c r="BY43" s="12"/>
      <c r="BZ43" s="12"/>
      <c r="CA43" s="13"/>
      <c r="CB43" s="11"/>
      <c r="CC43" s="11"/>
      <c r="CD43" s="11"/>
      <c r="CE43" s="12"/>
      <c r="CF43" s="12"/>
      <c r="CG43" s="13"/>
      <c r="CJ43" s="11"/>
      <c r="CK43" s="12"/>
      <c r="CL43" s="12"/>
      <c r="CM43" s="13"/>
    </row>
    <row r="44" spans="1:91" x14ac:dyDescent="0.25">
      <c r="A44" s="7" t="s">
        <v>41</v>
      </c>
      <c r="B44" s="8">
        <v>21680</v>
      </c>
      <c r="C44" s="8">
        <v>804</v>
      </c>
      <c r="D44" s="8">
        <v>3</v>
      </c>
      <c r="E44" s="9">
        <v>21680</v>
      </c>
      <c r="F44" s="9">
        <v>804</v>
      </c>
      <c r="G44" s="10">
        <v>2.65</v>
      </c>
      <c r="H44" s="8">
        <v>213012.5</v>
      </c>
      <c r="I44" s="8">
        <v>7899.2</v>
      </c>
      <c r="J44" s="8">
        <v>294</v>
      </c>
      <c r="K44" s="9">
        <v>21735.9693877551</v>
      </c>
      <c r="L44" s="9">
        <v>806.0408163265306</v>
      </c>
      <c r="M44" s="10">
        <v>2.6733030652639913</v>
      </c>
      <c r="N44" s="8">
        <f t="shared" si="6"/>
        <v>314058.66666666669</v>
      </c>
      <c r="O44" s="8">
        <f t="shared" si="7"/>
        <v>11432.666666666666</v>
      </c>
      <c r="P44" s="8">
        <f t="shared" si="8"/>
        <v>121</v>
      </c>
      <c r="Q44" s="9">
        <f t="shared" si="9"/>
        <v>23359.735537190085</v>
      </c>
      <c r="R44" s="9">
        <f t="shared" si="10"/>
        <v>850.36363636363626</v>
      </c>
      <c r="S44" s="10">
        <f t="shared" si="11"/>
        <v>2.6337845319251327</v>
      </c>
      <c r="T44" s="11">
        <v>184368</v>
      </c>
      <c r="U44" s="11">
        <v>6836</v>
      </c>
      <c r="V44" s="11">
        <v>23</v>
      </c>
      <c r="W44" s="12">
        <v>24048</v>
      </c>
      <c r="X44" s="12">
        <v>891.6521739130435</v>
      </c>
      <c r="Y44" s="13">
        <v>2.65</v>
      </c>
      <c r="Z44" s="11">
        <v>408710</v>
      </c>
      <c r="AA44" s="11">
        <v>13993</v>
      </c>
      <c r="AB44" s="11">
        <v>49</v>
      </c>
      <c r="AC44" s="12">
        <v>25023.0612244898</v>
      </c>
      <c r="AD44" s="12">
        <v>856.71428571428567</v>
      </c>
      <c r="AE44" s="13">
        <v>2.5440947699963559</v>
      </c>
      <c r="AF44" s="11">
        <v>349098</v>
      </c>
      <c r="AG44" s="11">
        <v>13469</v>
      </c>
      <c r="AH44" s="11">
        <v>49</v>
      </c>
      <c r="AI44" s="12">
        <v>21373.34693877551</v>
      </c>
      <c r="AJ44" s="12">
        <v>824.63265306122457</v>
      </c>
      <c r="AK44" s="13">
        <v>2.707258825779042</v>
      </c>
      <c r="AL44" s="11"/>
      <c r="AM44" s="11"/>
      <c r="AN44" s="11"/>
      <c r="AO44" s="12"/>
      <c r="AP44" s="12"/>
      <c r="AQ44" s="13"/>
      <c r="AR44" s="11"/>
      <c r="AS44" s="11"/>
      <c r="AT44" s="11"/>
      <c r="AU44" s="12"/>
      <c r="AV44" s="12"/>
      <c r="AW44" s="13"/>
      <c r="AX44" s="11"/>
      <c r="AY44" s="11"/>
      <c r="AZ44" s="11"/>
      <c r="BA44" s="12"/>
      <c r="BB44" s="12"/>
      <c r="BC44" s="13"/>
      <c r="BD44" s="11"/>
      <c r="BE44" s="11"/>
      <c r="BF44" s="11"/>
      <c r="BG44" s="12"/>
      <c r="BH44" s="12"/>
      <c r="BI44" s="13"/>
      <c r="BJ44" s="11"/>
      <c r="BK44" s="11"/>
      <c r="BL44" s="11"/>
      <c r="BM44" s="12"/>
      <c r="BN44" s="12"/>
      <c r="BO44" s="13"/>
      <c r="BP44" s="11"/>
      <c r="BQ44" s="11"/>
      <c r="BR44" s="11"/>
      <c r="BS44" s="12"/>
      <c r="BT44" s="12"/>
      <c r="BU44" s="13"/>
      <c r="BV44" s="11"/>
      <c r="BW44" s="11"/>
      <c r="BX44" s="11"/>
      <c r="BY44" s="12"/>
      <c r="BZ44" s="12"/>
      <c r="CA44" s="13"/>
      <c r="CB44" s="11"/>
      <c r="CC44" s="11"/>
      <c r="CD44" s="11"/>
      <c r="CE44" s="12"/>
      <c r="CF44" s="12"/>
      <c r="CG44" s="13"/>
      <c r="CJ44" s="11"/>
      <c r="CK44" s="12"/>
      <c r="CL44" s="12"/>
      <c r="CM44" s="13"/>
    </row>
    <row r="45" spans="1:91" x14ac:dyDescent="0.25">
      <c r="A45" s="7" t="s">
        <v>42</v>
      </c>
      <c r="B45" s="8">
        <v>103503.14285714286</v>
      </c>
      <c r="C45" s="8">
        <v>1794.5714285714287</v>
      </c>
      <c r="D45" s="8">
        <v>120</v>
      </c>
      <c r="E45" s="9">
        <v>18113.05</v>
      </c>
      <c r="F45" s="9">
        <v>314.05</v>
      </c>
      <c r="G45" s="10">
        <v>1.8548290255852711</v>
      </c>
      <c r="H45" s="8">
        <v>235282.58333333334</v>
      </c>
      <c r="I45" s="8">
        <v>4874.833333333333</v>
      </c>
      <c r="J45" s="8">
        <v>505</v>
      </c>
      <c r="K45" s="9">
        <v>16772.619801980196</v>
      </c>
      <c r="L45" s="9">
        <v>347.51287128712875</v>
      </c>
      <c r="M45" s="10">
        <v>2.0508695084901611</v>
      </c>
      <c r="N45" s="8">
        <f t="shared" si="6"/>
        <v>287803.33333333331</v>
      </c>
      <c r="O45" s="8">
        <f t="shared" si="7"/>
        <v>5402</v>
      </c>
      <c r="P45" s="8">
        <f t="shared" si="8"/>
        <v>127</v>
      </c>
      <c r="Q45" s="9">
        <f t="shared" si="9"/>
        <v>20395.511811023622</v>
      </c>
      <c r="R45" s="9">
        <f t="shared" si="10"/>
        <v>382.81889763779532</v>
      </c>
      <c r="S45" s="10">
        <f t="shared" si="11"/>
        <v>1.9304518147569663</v>
      </c>
      <c r="T45" s="11">
        <v>281804</v>
      </c>
      <c r="U45" s="11">
        <v>5000</v>
      </c>
      <c r="V45" s="11">
        <v>51</v>
      </c>
      <c r="W45" s="12">
        <v>16576.705882352941</v>
      </c>
      <c r="X45" s="12">
        <v>294.11764705882348</v>
      </c>
      <c r="Y45" s="13">
        <v>1.882759834177592</v>
      </c>
      <c r="Z45" s="11">
        <v>294605</v>
      </c>
      <c r="AA45" s="11">
        <v>5855</v>
      </c>
      <c r="AB45" s="11">
        <v>38</v>
      </c>
      <c r="AC45" s="12">
        <v>23258.28947368421</v>
      </c>
      <c r="AD45" s="12">
        <v>462.23684210526312</v>
      </c>
      <c r="AE45" s="13">
        <v>1.9801001401171541</v>
      </c>
      <c r="AF45" s="11">
        <v>287001</v>
      </c>
      <c r="AG45" s="11">
        <v>5351</v>
      </c>
      <c r="AH45" s="11">
        <v>38</v>
      </c>
      <c r="AI45" s="12">
        <v>22657.97368421053</v>
      </c>
      <c r="AJ45" s="12">
        <v>422.44736842105272</v>
      </c>
      <c r="AK45" s="13">
        <v>1.928495469976153</v>
      </c>
      <c r="AL45" s="11"/>
      <c r="AM45" s="11"/>
      <c r="AN45" s="11"/>
      <c r="AO45" s="12"/>
      <c r="AP45" s="12"/>
      <c r="AQ45" s="13"/>
      <c r="AR45" s="11"/>
      <c r="AS45" s="11"/>
      <c r="AT45" s="11"/>
      <c r="AU45" s="12"/>
      <c r="AV45" s="12"/>
      <c r="AW45" s="13"/>
      <c r="AX45" s="11"/>
      <c r="AY45" s="11"/>
      <c r="AZ45" s="11"/>
      <c r="BA45" s="12"/>
      <c r="BB45" s="12"/>
      <c r="BC45" s="13"/>
      <c r="BD45" s="11"/>
      <c r="BE45" s="11"/>
      <c r="BF45" s="11"/>
      <c r="BG45" s="12"/>
      <c r="BH45" s="12"/>
      <c r="BI45" s="13"/>
      <c r="BJ45" s="11"/>
      <c r="BK45" s="11"/>
      <c r="BL45" s="11"/>
      <c r="BM45" s="12"/>
      <c r="BN45" s="12"/>
      <c r="BO45" s="13"/>
      <c r="BP45" s="11"/>
      <c r="BQ45" s="11"/>
      <c r="BR45" s="11"/>
      <c r="BS45" s="12"/>
      <c r="BT45" s="12"/>
      <c r="BU45" s="13"/>
      <c r="BV45" s="11"/>
      <c r="BW45" s="11"/>
      <c r="BX45" s="11"/>
      <c r="BY45" s="12"/>
      <c r="BZ45" s="12"/>
      <c r="CA45" s="13"/>
      <c r="CB45" s="11"/>
      <c r="CC45" s="11"/>
      <c r="CD45" s="11"/>
      <c r="CE45" s="12"/>
      <c r="CF45" s="12"/>
      <c r="CG45" s="13"/>
      <c r="CJ45" s="11"/>
      <c r="CK45" s="12"/>
      <c r="CL45" s="12"/>
      <c r="CM45" s="13"/>
    </row>
    <row r="46" spans="1:91" x14ac:dyDescent="0.25">
      <c r="A46" s="7" t="s">
        <v>43</v>
      </c>
      <c r="B46" s="8">
        <v>136155.44444444444</v>
      </c>
      <c r="C46" s="8">
        <v>2197.5555555555557</v>
      </c>
      <c r="D46" s="8">
        <v>215</v>
      </c>
      <c r="E46" s="9">
        <v>17098.590697674419</v>
      </c>
      <c r="F46" s="9">
        <v>275.97209302325581</v>
      </c>
      <c r="G46" s="10">
        <v>1.7889638464614579</v>
      </c>
      <c r="H46" s="8">
        <v>242818.08333333334</v>
      </c>
      <c r="I46" s="8">
        <v>4624.666666666667</v>
      </c>
      <c r="J46" s="8">
        <v>504</v>
      </c>
      <c r="K46" s="9">
        <v>17344.148809523809</v>
      </c>
      <c r="L46" s="9">
        <v>330.33333333333337</v>
      </c>
      <c r="M46" s="10">
        <v>1.9487209867511608</v>
      </c>
      <c r="N46" s="8">
        <f t="shared" si="6"/>
        <v>329355.66666666669</v>
      </c>
      <c r="O46" s="8">
        <f t="shared" si="7"/>
        <v>5731</v>
      </c>
      <c r="P46" s="8">
        <f t="shared" si="8"/>
        <v>121</v>
      </c>
      <c r="Q46" s="9">
        <f t="shared" si="9"/>
        <v>24497.528925619834</v>
      </c>
      <c r="R46" s="9">
        <f t="shared" si="10"/>
        <v>426.27272727272725</v>
      </c>
      <c r="S46" s="10">
        <f t="shared" si="11"/>
        <v>1.8556025307627462</v>
      </c>
      <c r="T46" s="11">
        <v>407925</v>
      </c>
      <c r="U46" s="11">
        <v>6876</v>
      </c>
      <c r="V46" s="11">
        <v>55</v>
      </c>
      <c r="W46" s="12">
        <v>22250.45454545454</v>
      </c>
      <c r="X46" s="12">
        <v>375.05454545454552</v>
      </c>
      <c r="Y46" s="13">
        <v>1.8225777184372209</v>
      </c>
      <c r="Z46" s="11">
        <v>295766</v>
      </c>
      <c r="AA46" s="11">
        <v>5245</v>
      </c>
      <c r="AB46" s="11">
        <v>34</v>
      </c>
      <c r="AC46" s="12">
        <v>26097</v>
      </c>
      <c r="AD46" s="12">
        <v>462.79411764705878</v>
      </c>
      <c r="AE46" s="13">
        <v>1.866878693671018</v>
      </c>
      <c r="AF46" s="11">
        <v>284376</v>
      </c>
      <c r="AG46" s="11">
        <v>5072</v>
      </c>
      <c r="AH46" s="11">
        <v>32</v>
      </c>
      <c r="AI46" s="12">
        <v>26660.25</v>
      </c>
      <c r="AJ46" s="12">
        <v>475.5</v>
      </c>
      <c r="AK46" s="13">
        <v>1.87735118018</v>
      </c>
      <c r="AL46" s="11"/>
      <c r="AM46" s="11"/>
      <c r="AN46" s="11"/>
      <c r="AO46" s="12"/>
      <c r="AP46" s="12"/>
      <c r="AQ46" s="13"/>
      <c r="AR46" s="11"/>
      <c r="AS46" s="11"/>
      <c r="AT46" s="11"/>
      <c r="AU46" s="12"/>
      <c r="AV46" s="12"/>
      <c r="AW46" s="13"/>
      <c r="AX46" s="11"/>
      <c r="AY46" s="11"/>
      <c r="AZ46" s="11"/>
      <c r="BA46" s="12"/>
      <c r="BB46" s="12"/>
      <c r="BC46" s="13"/>
      <c r="BD46" s="11"/>
      <c r="BE46" s="11"/>
      <c r="BF46" s="11"/>
      <c r="BG46" s="12"/>
      <c r="BH46" s="12"/>
      <c r="BI46" s="13"/>
      <c r="BJ46" s="11"/>
      <c r="BK46" s="11"/>
      <c r="BL46" s="11"/>
      <c r="BM46" s="12"/>
      <c r="BN46" s="12"/>
      <c r="BO46" s="13"/>
      <c r="BP46" s="11"/>
      <c r="BQ46" s="11"/>
      <c r="BR46" s="11"/>
      <c r="BS46" s="12"/>
      <c r="BT46" s="12"/>
      <c r="BU46" s="13"/>
      <c r="BV46" s="11"/>
      <c r="BW46" s="11"/>
      <c r="BX46" s="11"/>
      <c r="BY46" s="12"/>
      <c r="BZ46" s="12"/>
      <c r="CA46" s="13"/>
      <c r="CB46" s="11"/>
      <c r="CC46" s="11"/>
      <c r="CD46" s="11"/>
      <c r="CE46" s="12"/>
      <c r="CF46" s="12"/>
      <c r="CG46" s="13"/>
      <c r="CJ46" s="11"/>
      <c r="CK46" s="12"/>
      <c r="CL46" s="12"/>
      <c r="CM46" s="13"/>
    </row>
    <row r="47" spans="1:91" x14ac:dyDescent="0.25">
      <c r="A47" s="7" t="s">
        <v>44</v>
      </c>
      <c r="B47" s="8">
        <v>243612.5</v>
      </c>
      <c r="C47" s="8">
        <v>15446.5</v>
      </c>
      <c r="D47" s="8">
        <v>71</v>
      </c>
      <c r="E47" s="9">
        <v>41173.943661971833</v>
      </c>
      <c r="F47" s="9">
        <v>2610.6760563380285</v>
      </c>
      <c r="G47" s="10">
        <v>3.6078824962187479</v>
      </c>
      <c r="H47" s="8">
        <v>274729.75</v>
      </c>
      <c r="I47" s="8">
        <v>15969.25</v>
      </c>
      <c r="J47" s="8">
        <v>580</v>
      </c>
      <c r="K47" s="9">
        <v>17052.191379310345</v>
      </c>
      <c r="L47" s="9">
        <v>991.19482758620688</v>
      </c>
      <c r="M47" s="10">
        <v>3.409522640492499</v>
      </c>
      <c r="N47" s="8">
        <f t="shared" si="6"/>
        <v>245817</v>
      </c>
      <c r="O47" s="8">
        <f t="shared" si="7"/>
        <v>18670.333333333332</v>
      </c>
      <c r="P47" s="8">
        <f t="shared" si="8"/>
        <v>171</v>
      </c>
      <c r="Q47" s="9">
        <f t="shared" si="9"/>
        <v>12937.736842105263</v>
      </c>
      <c r="R47" s="9">
        <f t="shared" si="10"/>
        <v>982.64912280701765</v>
      </c>
      <c r="S47" s="10">
        <f t="shared" si="11"/>
        <v>3.8660420014138555</v>
      </c>
      <c r="T47" s="11">
        <v>211685</v>
      </c>
      <c r="U47" s="11">
        <v>18032</v>
      </c>
      <c r="V47" s="11">
        <v>58</v>
      </c>
      <c r="W47" s="12">
        <v>10949.224137931031</v>
      </c>
      <c r="X47" s="12">
        <v>932.68965517241372</v>
      </c>
      <c r="Y47" s="13">
        <v>4.1242709617363724</v>
      </c>
      <c r="Z47" s="11">
        <v>317710</v>
      </c>
      <c r="AA47" s="11">
        <v>25412</v>
      </c>
      <c r="AB47" s="11">
        <v>67</v>
      </c>
      <c r="AC47" s="12">
        <v>14225.820895522391</v>
      </c>
      <c r="AD47" s="12">
        <v>1137.8507462686571</v>
      </c>
      <c r="AE47" s="13">
        <v>4.0027204296810144</v>
      </c>
      <c r="AF47" s="11">
        <v>208056</v>
      </c>
      <c r="AG47" s="11">
        <v>12567</v>
      </c>
      <c r="AH47" s="11">
        <v>46</v>
      </c>
      <c r="AI47" s="12">
        <v>13568.86956521739</v>
      </c>
      <c r="AJ47" s="12">
        <v>819.58695652173924</v>
      </c>
      <c r="AK47" s="13">
        <v>3.4711346128241778</v>
      </c>
      <c r="AL47" s="11"/>
      <c r="AM47" s="11"/>
      <c r="AN47" s="11"/>
      <c r="AO47" s="12"/>
      <c r="AP47" s="12"/>
      <c r="AQ47" s="13"/>
      <c r="AR47" s="11"/>
      <c r="AS47" s="11"/>
      <c r="AT47" s="11"/>
      <c r="AU47" s="12"/>
      <c r="AV47" s="12"/>
      <c r="AW47" s="13"/>
      <c r="AX47" s="11"/>
      <c r="AY47" s="11"/>
      <c r="AZ47" s="11"/>
      <c r="BA47" s="12"/>
      <c r="BB47" s="12"/>
      <c r="BC47" s="13"/>
      <c r="BD47" s="11"/>
      <c r="BE47" s="11"/>
      <c r="BF47" s="11"/>
      <c r="BG47" s="12"/>
      <c r="BH47" s="12"/>
      <c r="BI47" s="13"/>
      <c r="BJ47" s="11"/>
      <c r="BK47" s="11"/>
      <c r="BL47" s="11"/>
      <c r="BM47" s="12"/>
      <c r="BN47" s="12"/>
      <c r="BO47" s="13"/>
      <c r="BP47" s="11"/>
      <c r="BQ47" s="11"/>
      <c r="BR47" s="11"/>
      <c r="BS47" s="12"/>
      <c r="BT47" s="12"/>
      <c r="BU47" s="13"/>
      <c r="BV47" s="11"/>
      <c r="BW47" s="11"/>
      <c r="BX47" s="11"/>
      <c r="BY47" s="12"/>
      <c r="BZ47" s="12"/>
      <c r="CA47" s="13"/>
      <c r="CB47" s="11"/>
      <c r="CC47" s="11"/>
      <c r="CD47" s="11"/>
      <c r="CE47" s="12"/>
      <c r="CF47" s="12"/>
      <c r="CG47" s="13"/>
      <c r="CJ47" s="11"/>
      <c r="CK47" s="12"/>
      <c r="CL47" s="12"/>
      <c r="CM47" s="13"/>
    </row>
    <row r="48" spans="1:91" x14ac:dyDescent="0.25">
      <c r="A48" s="7" t="s">
        <v>45</v>
      </c>
      <c r="B48" s="8">
        <v>137954.75</v>
      </c>
      <c r="C48" s="8">
        <v>8496.25</v>
      </c>
      <c r="D48" s="8">
        <v>36</v>
      </c>
      <c r="E48" s="9">
        <v>45984.916666666664</v>
      </c>
      <c r="F48" s="9">
        <v>2832.0833333333335</v>
      </c>
      <c r="G48" s="10">
        <v>3.556461458315999</v>
      </c>
      <c r="H48" s="8">
        <v>269525.83333333331</v>
      </c>
      <c r="I48" s="8">
        <v>16718.833333333332</v>
      </c>
      <c r="J48" s="8">
        <v>577</v>
      </c>
      <c r="K48" s="9">
        <v>16816.169844020798</v>
      </c>
      <c r="L48" s="9">
        <v>1043.1161178509533</v>
      </c>
      <c r="M48" s="10">
        <v>3.5274967256829974</v>
      </c>
      <c r="N48" s="8">
        <f t="shared" si="6"/>
        <v>243117.33333333334</v>
      </c>
      <c r="O48" s="8">
        <f t="shared" si="7"/>
        <v>18522.333333333332</v>
      </c>
      <c r="P48" s="8">
        <f t="shared" si="8"/>
        <v>180</v>
      </c>
      <c r="Q48" s="9">
        <f t="shared" si="9"/>
        <v>12155.866666666667</v>
      </c>
      <c r="R48" s="9">
        <f t="shared" si="10"/>
        <v>926.11666666666679</v>
      </c>
      <c r="S48" s="10">
        <f t="shared" si="11"/>
        <v>3.854775164746393</v>
      </c>
      <c r="T48" s="11">
        <v>225871</v>
      </c>
      <c r="U48" s="11">
        <v>20964</v>
      </c>
      <c r="V48" s="11">
        <v>64</v>
      </c>
      <c r="W48" s="12">
        <v>10587.703125</v>
      </c>
      <c r="X48" s="12">
        <v>982.6875</v>
      </c>
      <c r="Y48" s="13">
        <v>4.3040472640921532</v>
      </c>
      <c r="Z48" s="11">
        <v>280061</v>
      </c>
      <c r="AA48" s="11">
        <v>23375</v>
      </c>
      <c r="AB48" s="11">
        <v>63</v>
      </c>
      <c r="AC48" s="12">
        <v>13336.238095238101</v>
      </c>
      <c r="AD48" s="12">
        <v>1113.0952380952381</v>
      </c>
      <c r="AE48" s="13">
        <v>4.0927369540695029</v>
      </c>
      <c r="AF48" s="11">
        <v>223420</v>
      </c>
      <c r="AG48" s="11">
        <v>11228</v>
      </c>
      <c r="AH48" s="11">
        <v>53</v>
      </c>
      <c r="AI48" s="12">
        <v>12646.41509433962</v>
      </c>
      <c r="AJ48" s="12">
        <v>635.54716981132083</v>
      </c>
      <c r="AK48" s="13">
        <v>3.167541276077523</v>
      </c>
      <c r="AL48" s="11"/>
      <c r="AM48" s="11"/>
      <c r="AN48" s="11"/>
      <c r="AO48" s="12"/>
      <c r="AP48" s="12"/>
      <c r="AQ48" s="13"/>
      <c r="AR48" s="11"/>
      <c r="AS48" s="11"/>
      <c r="AT48" s="11"/>
      <c r="AU48" s="12"/>
      <c r="AV48" s="12"/>
      <c r="AW48" s="13"/>
      <c r="AX48" s="11"/>
      <c r="AY48" s="11"/>
      <c r="AZ48" s="11"/>
      <c r="BA48" s="12"/>
      <c r="BB48" s="12"/>
      <c r="BC48" s="13"/>
      <c r="BD48" s="11"/>
      <c r="BE48" s="11"/>
      <c r="BF48" s="11"/>
      <c r="BG48" s="12"/>
      <c r="BH48" s="12"/>
      <c r="BI48" s="13"/>
      <c r="BJ48" s="11"/>
      <c r="BK48" s="11"/>
      <c r="BL48" s="11"/>
      <c r="BM48" s="12"/>
      <c r="BN48" s="12"/>
      <c r="BO48" s="13"/>
      <c r="BP48" s="11"/>
      <c r="BQ48" s="11"/>
      <c r="BR48" s="11"/>
      <c r="BS48" s="12"/>
      <c r="BT48" s="12"/>
      <c r="BU48" s="13"/>
      <c r="BV48" s="11"/>
      <c r="BW48" s="11"/>
      <c r="BX48" s="11"/>
      <c r="BY48" s="12"/>
      <c r="BZ48" s="12"/>
      <c r="CA48" s="13"/>
      <c r="CB48" s="11"/>
      <c r="CC48" s="11"/>
      <c r="CD48" s="11"/>
      <c r="CE48" s="12"/>
      <c r="CF48" s="12"/>
      <c r="CG48" s="13"/>
      <c r="CJ48" s="11"/>
      <c r="CK48" s="12"/>
      <c r="CL48" s="12"/>
      <c r="CM48" s="13"/>
    </row>
    <row r="49" spans="1:94" x14ac:dyDescent="0.25">
      <c r="A49" s="7" t="s">
        <v>46</v>
      </c>
      <c r="B49" s="8">
        <v>75089</v>
      </c>
      <c r="C49" s="8">
        <v>24726.400000000001</v>
      </c>
      <c r="D49" s="8">
        <v>90</v>
      </c>
      <c r="E49" s="9">
        <v>12514.833333333334</v>
      </c>
      <c r="F49" s="9">
        <v>4121.0666666666666</v>
      </c>
      <c r="G49" s="10">
        <v>7.7998823780064308</v>
      </c>
      <c r="H49" s="8">
        <v>117765.33333333333</v>
      </c>
      <c r="I49" s="8">
        <v>25810.416666666668</v>
      </c>
      <c r="J49" s="8">
        <v>332</v>
      </c>
      <c r="K49" s="9">
        <v>12769.734939759037</v>
      </c>
      <c r="L49" s="9">
        <v>2798.719879518072</v>
      </c>
      <c r="M49" s="10">
        <v>6.277869409443114</v>
      </c>
      <c r="N49" s="8">
        <f t="shared" si="6"/>
        <v>269121.33333333331</v>
      </c>
      <c r="O49" s="8">
        <f t="shared" si="7"/>
        <v>47515.333333333336</v>
      </c>
      <c r="P49" s="8">
        <f t="shared" si="8"/>
        <v>153</v>
      </c>
      <c r="Q49" s="9">
        <f t="shared" si="9"/>
        <v>15830.666666666666</v>
      </c>
      <c r="R49" s="9">
        <f t="shared" si="10"/>
        <v>2795.0196078431372</v>
      </c>
      <c r="S49" s="10">
        <f t="shared" si="11"/>
        <v>5.7300277704679985</v>
      </c>
      <c r="T49" s="11">
        <v>268651</v>
      </c>
      <c r="U49" s="11">
        <v>44060</v>
      </c>
      <c r="V49" s="11">
        <v>60</v>
      </c>
      <c r="W49" s="12">
        <v>13432.55</v>
      </c>
      <c r="X49" s="12">
        <v>2203</v>
      </c>
      <c r="Y49" s="13">
        <v>5.4295026822115382</v>
      </c>
      <c r="Z49" s="11">
        <v>352852</v>
      </c>
      <c r="AA49" s="11">
        <v>61157</v>
      </c>
      <c r="AB49" s="11">
        <v>54</v>
      </c>
      <c r="AC49" s="12">
        <v>19602.888888888891</v>
      </c>
      <c r="AD49" s="12">
        <v>3397.6111111111109</v>
      </c>
      <c r="AE49" s="13">
        <v>5.6482029140644414</v>
      </c>
      <c r="AF49" s="11">
        <v>185861</v>
      </c>
      <c r="AG49" s="11">
        <v>37329</v>
      </c>
      <c r="AH49" s="11">
        <v>39</v>
      </c>
      <c r="AI49" s="12">
        <v>14297</v>
      </c>
      <c r="AJ49" s="12">
        <v>2871.461538461539</v>
      </c>
      <c r="AK49" s="13">
        <v>6.112377715128015</v>
      </c>
      <c r="AL49" s="11"/>
      <c r="AM49" s="11"/>
      <c r="AN49" s="11"/>
      <c r="AO49" s="12"/>
      <c r="AP49" s="12"/>
      <c r="AQ49" s="13"/>
      <c r="AR49" s="11"/>
      <c r="AS49" s="11"/>
      <c r="AT49" s="11"/>
      <c r="AU49" s="12"/>
      <c r="AV49" s="12"/>
      <c r="AW49" s="13"/>
      <c r="AX49" s="11"/>
      <c r="AY49" s="11"/>
      <c r="AZ49" s="11"/>
      <c r="BA49" s="12"/>
      <c r="BB49" s="12"/>
      <c r="BC49" s="13"/>
      <c r="BD49" s="11"/>
      <c r="BE49" s="11"/>
      <c r="BF49" s="11"/>
      <c r="BG49" s="12"/>
      <c r="BH49" s="12"/>
      <c r="BI49" s="13"/>
      <c r="BJ49" s="11"/>
      <c r="BK49" s="11"/>
      <c r="BL49" s="11"/>
      <c r="BM49" s="12"/>
      <c r="BN49" s="12"/>
      <c r="BO49" s="13"/>
      <c r="BP49" s="11"/>
      <c r="BQ49" s="11"/>
      <c r="BR49" s="11"/>
      <c r="BS49" s="12"/>
      <c r="BT49" s="12"/>
      <c r="BU49" s="13"/>
      <c r="BV49" s="11"/>
      <c r="BW49" s="11"/>
      <c r="BX49" s="11"/>
      <c r="BY49" s="12"/>
      <c r="BZ49" s="12"/>
      <c r="CA49" s="13"/>
      <c r="CB49" s="11"/>
      <c r="CC49" s="11"/>
      <c r="CD49" s="11"/>
      <c r="CE49" s="12"/>
      <c r="CF49" s="12"/>
      <c r="CG49" s="13"/>
      <c r="CJ49" s="11"/>
      <c r="CK49" s="12"/>
      <c r="CL49" s="12"/>
      <c r="CM49" s="13"/>
    </row>
    <row r="50" spans="1:94" x14ac:dyDescent="0.25">
      <c r="A50" s="7" t="s">
        <v>47</v>
      </c>
      <c r="B50" s="8">
        <v>42900</v>
      </c>
      <c r="C50" s="8">
        <v>1590.5</v>
      </c>
      <c r="D50" s="8">
        <v>12</v>
      </c>
      <c r="E50" s="9">
        <v>21450</v>
      </c>
      <c r="F50" s="9">
        <v>795.25</v>
      </c>
      <c r="G50" s="10">
        <v>2.65</v>
      </c>
      <c r="H50" s="8">
        <v>355367.91666666669</v>
      </c>
      <c r="I50" s="8">
        <v>13211.5</v>
      </c>
      <c r="J50" s="8">
        <v>483</v>
      </c>
      <c r="K50" s="9">
        <v>26487.049689440992</v>
      </c>
      <c r="L50" s="9">
        <v>984.70807453416137</v>
      </c>
      <c r="M50" s="10">
        <v>2.6548016509255992</v>
      </c>
      <c r="N50" s="8">
        <f t="shared" si="6"/>
        <v>309213.33333333331</v>
      </c>
      <c r="O50" s="8">
        <f t="shared" si="7"/>
        <v>11467.333333333334</v>
      </c>
      <c r="P50" s="8">
        <f t="shared" si="8"/>
        <v>121</v>
      </c>
      <c r="Q50" s="9">
        <f t="shared" si="9"/>
        <v>22999.338842975209</v>
      </c>
      <c r="R50" s="9">
        <f t="shared" si="10"/>
        <v>852.9421487603305</v>
      </c>
      <c r="S50" s="10">
        <f t="shared" si="11"/>
        <v>2.65</v>
      </c>
      <c r="T50" s="11">
        <v>335220</v>
      </c>
      <c r="U50" s="11">
        <v>12431</v>
      </c>
      <c r="V50" s="11">
        <v>42</v>
      </c>
      <c r="W50" s="12">
        <v>23944.28571428571</v>
      </c>
      <c r="X50" s="12">
        <v>887.92857142857144</v>
      </c>
      <c r="Y50" s="13">
        <v>2.65</v>
      </c>
      <c r="Z50" s="11">
        <v>253480</v>
      </c>
      <c r="AA50" s="11">
        <v>9402</v>
      </c>
      <c r="AB50" s="11">
        <v>40</v>
      </c>
      <c r="AC50" s="12">
        <v>19011</v>
      </c>
      <c r="AD50" s="12">
        <v>705.15000000000009</v>
      </c>
      <c r="AE50" s="13">
        <v>2.65</v>
      </c>
      <c r="AF50" s="11">
        <v>338940</v>
      </c>
      <c r="AG50" s="11">
        <v>12569</v>
      </c>
      <c r="AH50" s="11">
        <v>39</v>
      </c>
      <c r="AI50" s="12">
        <v>26072.307692307691</v>
      </c>
      <c r="AJ50" s="12">
        <v>966.84615384615381</v>
      </c>
      <c r="AK50" s="13">
        <v>2.65</v>
      </c>
      <c r="AL50" s="11"/>
      <c r="AM50" s="11"/>
      <c r="AN50" s="11"/>
      <c r="AO50" s="12"/>
      <c r="AP50" s="12"/>
      <c r="AQ50" s="13"/>
      <c r="AR50" s="11"/>
      <c r="AS50" s="11"/>
      <c r="AT50" s="11"/>
      <c r="AU50" s="12"/>
      <c r="AV50" s="12"/>
      <c r="AW50" s="13"/>
      <c r="AX50" s="11"/>
      <c r="AY50" s="11"/>
      <c r="AZ50" s="11"/>
      <c r="BA50" s="12"/>
      <c r="BB50" s="12"/>
      <c r="BC50" s="13"/>
      <c r="BD50" s="11"/>
      <c r="BE50" s="11"/>
      <c r="BF50" s="11"/>
      <c r="BG50" s="12"/>
      <c r="BH50" s="12"/>
      <c r="BI50" s="13"/>
      <c r="BJ50" s="11"/>
      <c r="BK50" s="11"/>
      <c r="BL50" s="11"/>
      <c r="BM50" s="12"/>
      <c r="BN50" s="12"/>
      <c r="BO50" s="13"/>
      <c r="BP50" s="11"/>
      <c r="BQ50" s="11"/>
      <c r="BR50" s="11"/>
      <c r="BS50" s="12"/>
      <c r="BT50" s="12"/>
      <c r="BU50" s="13"/>
      <c r="BV50" s="11"/>
      <c r="BW50" s="11"/>
      <c r="BX50" s="11"/>
      <c r="BY50" s="12"/>
      <c r="BZ50" s="12"/>
      <c r="CA50" s="13"/>
      <c r="CB50" s="11"/>
      <c r="CC50" s="11"/>
      <c r="CD50" s="11"/>
      <c r="CE50" s="12"/>
      <c r="CF50" s="12"/>
      <c r="CG50" s="13"/>
      <c r="CJ50" s="11"/>
      <c r="CK50" s="12"/>
      <c r="CL50" s="12"/>
      <c r="CM50" s="13"/>
    </row>
    <row r="51" spans="1:94" x14ac:dyDescent="0.25">
      <c r="A51" s="7" t="s">
        <v>48</v>
      </c>
      <c r="B51" s="8">
        <v>50620</v>
      </c>
      <c r="C51" s="8">
        <v>3637</v>
      </c>
      <c r="D51" s="8">
        <v>10</v>
      </c>
      <c r="E51" s="9">
        <v>15186</v>
      </c>
      <c r="F51" s="9">
        <v>1091.0999999999999</v>
      </c>
      <c r="G51" s="10">
        <v>3.7022641955760438</v>
      </c>
      <c r="H51" s="8">
        <v>359159.08333333331</v>
      </c>
      <c r="I51" s="8">
        <v>14007.333333333334</v>
      </c>
      <c r="J51" s="8">
        <v>487</v>
      </c>
      <c r="K51" s="9">
        <v>26549.747433264889</v>
      </c>
      <c r="L51" s="9">
        <v>1035.4496919917865</v>
      </c>
      <c r="M51" s="10">
        <v>2.7385050572923721</v>
      </c>
      <c r="N51" s="8">
        <f t="shared" si="6"/>
        <v>305913.33333333331</v>
      </c>
      <c r="O51" s="8">
        <f t="shared" si="7"/>
        <v>11344.666666666666</v>
      </c>
      <c r="P51" s="8">
        <f t="shared" si="8"/>
        <v>118</v>
      </c>
      <c r="Q51" s="9">
        <f t="shared" si="9"/>
        <v>23332.372881355932</v>
      </c>
      <c r="R51" s="9">
        <f t="shared" si="10"/>
        <v>865.27118644067787</v>
      </c>
      <c r="S51" s="10">
        <f t="shared" si="11"/>
        <v>2.65</v>
      </c>
      <c r="T51" s="11">
        <v>318760</v>
      </c>
      <c r="U51" s="11">
        <v>11821</v>
      </c>
      <c r="V51" s="11">
        <v>44</v>
      </c>
      <c r="W51" s="12">
        <v>21733.63636363636</v>
      </c>
      <c r="X51" s="12">
        <v>805.97727272727275</v>
      </c>
      <c r="Y51" s="13">
        <v>2.65</v>
      </c>
      <c r="Z51" s="11">
        <v>257520</v>
      </c>
      <c r="AA51" s="11">
        <v>9550</v>
      </c>
      <c r="AB51" s="11">
        <v>33</v>
      </c>
      <c r="AC51" s="12">
        <v>23410.909090909088</v>
      </c>
      <c r="AD51" s="12">
        <v>868.18181818181813</v>
      </c>
      <c r="AE51" s="13">
        <v>2.65</v>
      </c>
      <c r="AF51" s="11">
        <v>341460</v>
      </c>
      <c r="AG51" s="11">
        <v>12663</v>
      </c>
      <c r="AH51" s="11">
        <v>41</v>
      </c>
      <c r="AI51" s="12">
        <v>24984.878048780491</v>
      </c>
      <c r="AJ51" s="12">
        <v>926.56097560975616</v>
      </c>
      <c r="AK51" s="13">
        <v>2.65</v>
      </c>
      <c r="AL51" s="11"/>
      <c r="AM51" s="11"/>
      <c r="AN51" s="11"/>
      <c r="AO51" s="12"/>
      <c r="AP51" s="12"/>
      <c r="AQ51" s="13"/>
      <c r="AR51" s="11"/>
      <c r="AS51" s="11"/>
      <c r="AT51" s="11"/>
      <c r="AU51" s="12"/>
      <c r="AV51" s="12"/>
      <c r="AW51" s="13"/>
      <c r="AX51" s="11"/>
      <c r="AY51" s="11"/>
      <c r="AZ51" s="11"/>
      <c r="BA51" s="12"/>
      <c r="BB51" s="12"/>
      <c r="BC51" s="13"/>
      <c r="BD51" s="11"/>
      <c r="BE51" s="11"/>
      <c r="BF51" s="11"/>
      <c r="BG51" s="12"/>
      <c r="BH51" s="12"/>
      <c r="BI51" s="13"/>
      <c r="BJ51" s="11"/>
      <c r="BK51" s="11"/>
      <c r="BL51" s="11"/>
      <c r="BM51" s="12"/>
      <c r="BN51" s="12"/>
      <c r="BO51" s="13"/>
      <c r="BP51" s="11"/>
      <c r="BQ51" s="11"/>
      <c r="BR51" s="11"/>
      <c r="BS51" s="12"/>
      <c r="BT51" s="12"/>
      <c r="BU51" s="13"/>
      <c r="BV51" s="11"/>
      <c r="BW51" s="11"/>
      <c r="BX51" s="11"/>
      <c r="BY51" s="12"/>
      <c r="BZ51" s="12"/>
      <c r="CA51" s="13"/>
      <c r="CB51" s="11"/>
      <c r="CC51" s="11"/>
      <c r="CD51" s="11"/>
      <c r="CE51" s="12"/>
      <c r="CF51" s="12"/>
      <c r="CG51" s="13"/>
      <c r="CJ51" s="11"/>
      <c r="CK51" s="12"/>
      <c r="CL51" s="12"/>
      <c r="CM51" s="13"/>
    </row>
    <row r="52" spans="1:94" x14ac:dyDescent="0.25">
      <c r="A52" s="7" t="s">
        <v>49</v>
      </c>
      <c r="B52" s="8">
        <v>30506.5</v>
      </c>
      <c r="C52" s="8">
        <v>73566.375</v>
      </c>
      <c r="D52" s="8">
        <v>150</v>
      </c>
      <c r="E52" s="9">
        <v>4881.04</v>
      </c>
      <c r="F52" s="9">
        <v>11770.619999999999</v>
      </c>
      <c r="G52" s="10">
        <v>24.64303276313813</v>
      </c>
      <c r="H52" s="8">
        <v>55544.916666666664</v>
      </c>
      <c r="I52" s="8">
        <v>115773.75</v>
      </c>
      <c r="J52" s="8">
        <v>403</v>
      </c>
      <c r="K52" s="9">
        <v>4961.8287841191068</v>
      </c>
      <c r="L52" s="9">
        <v>10342.071960297766</v>
      </c>
      <c r="M52" s="10">
        <v>22.966263156692474</v>
      </c>
      <c r="N52" s="8">
        <f t="shared" si="6"/>
        <v>52143</v>
      </c>
      <c r="O52" s="8">
        <f t="shared" si="7"/>
        <v>111560.33333333333</v>
      </c>
      <c r="P52" s="8">
        <f t="shared" si="8"/>
        <v>85</v>
      </c>
      <c r="Q52" s="9">
        <f t="shared" si="9"/>
        <v>5521.0235294117647</v>
      </c>
      <c r="R52" s="9">
        <f t="shared" si="10"/>
        <v>11812.270588235295</v>
      </c>
      <c r="S52" s="10">
        <f t="shared" si="11"/>
        <v>23.042924925425186</v>
      </c>
      <c r="T52" s="11">
        <v>62208</v>
      </c>
      <c r="U52" s="11">
        <v>126246</v>
      </c>
      <c r="V52" s="11">
        <v>32</v>
      </c>
      <c r="W52" s="12">
        <v>5832</v>
      </c>
      <c r="X52" s="12">
        <v>11835.5625</v>
      </c>
      <c r="Y52" s="13">
        <v>22.36860939383563</v>
      </c>
      <c r="Z52" s="11">
        <v>58921</v>
      </c>
      <c r="AA52" s="11">
        <v>129876</v>
      </c>
      <c r="AB52" s="11">
        <v>34</v>
      </c>
      <c r="AC52" s="12">
        <v>5198.9117647058829</v>
      </c>
      <c r="AD52" s="12">
        <v>11459.64705882353</v>
      </c>
      <c r="AE52" s="13">
        <v>23.12881203165189</v>
      </c>
      <c r="AF52" s="11">
        <v>35300</v>
      </c>
      <c r="AG52" s="11">
        <v>78559</v>
      </c>
      <c r="AH52" s="11">
        <v>19</v>
      </c>
      <c r="AI52" s="12">
        <v>5573.6842105263158</v>
      </c>
      <c r="AJ52" s="12">
        <v>12404.05263157895</v>
      </c>
      <c r="AK52" s="13">
        <v>23.63135335078805</v>
      </c>
      <c r="AL52" s="11"/>
      <c r="AM52" s="11"/>
      <c r="AN52" s="11"/>
      <c r="AO52" s="12"/>
      <c r="AP52" s="12"/>
      <c r="AQ52" s="13"/>
      <c r="AR52" s="11"/>
      <c r="AS52" s="11"/>
      <c r="AT52" s="11"/>
      <c r="AU52" s="12"/>
      <c r="AV52" s="12"/>
      <c r="AW52" s="13"/>
      <c r="AX52" s="11"/>
      <c r="AY52" s="11"/>
      <c r="AZ52" s="11"/>
      <c r="BA52" s="12"/>
      <c r="BB52" s="12"/>
      <c r="BC52" s="13"/>
      <c r="BD52" s="11"/>
      <c r="BE52" s="11"/>
      <c r="BF52" s="11"/>
      <c r="BG52" s="12"/>
      <c r="BH52" s="12"/>
      <c r="BI52" s="13"/>
      <c r="BJ52" s="11"/>
      <c r="BK52" s="11"/>
      <c r="BL52" s="11"/>
      <c r="BM52" s="12"/>
      <c r="BN52" s="12"/>
      <c r="BO52" s="13"/>
      <c r="BP52" s="11"/>
      <c r="BQ52" s="11"/>
      <c r="BR52" s="11"/>
      <c r="BS52" s="12"/>
      <c r="BT52" s="12"/>
      <c r="BU52" s="13"/>
      <c r="BV52" s="11"/>
      <c r="BW52" s="11"/>
      <c r="BX52" s="11"/>
      <c r="BY52" s="12"/>
      <c r="BZ52" s="12"/>
      <c r="CA52" s="13"/>
      <c r="CB52" s="11"/>
      <c r="CC52" s="11"/>
      <c r="CD52" s="11"/>
      <c r="CE52" s="12"/>
      <c r="CF52" s="12"/>
      <c r="CG52" s="13"/>
      <c r="CJ52" s="11"/>
      <c r="CK52" s="12"/>
      <c r="CL52" s="12"/>
      <c r="CM52" s="13"/>
    </row>
    <row r="53" spans="1:94" s="15" customFormat="1" x14ac:dyDescent="0.25">
      <c r="A53" s="2" t="s">
        <v>50</v>
      </c>
      <c r="B53" s="14">
        <v>9360318.5779220741</v>
      </c>
      <c r="C53" s="14">
        <v>2004328.1266955263</v>
      </c>
      <c r="D53" s="14"/>
      <c r="E53" s="14"/>
      <c r="F53" s="14"/>
      <c r="G53" s="14"/>
      <c r="H53" s="14">
        <f>SUM(H3:H52)</f>
        <v>11047871.299898989</v>
      </c>
      <c r="I53" s="14">
        <f>SUM(I3:I52)</f>
        <v>2337438.9141414147</v>
      </c>
      <c r="J53" s="14"/>
      <c r="K53" s="14"/>
      <c r="L53" s="14"/>
      <c r="M53" s="14"/>
      <c r="N53" s="14">
        <f>SUM(N3:N52)</f>
        <v>10296357.500000002</v>
      </c>
      <c r="O53" s="14">
        <f>SUM(O3:O52)</f>
        <v>2107432.5</v>
      </c>
      <c r="P53" s="14"/>
      <c r="Q53" s="14"/>
      <c r="R53" s="14"/>
      <c r="S53" s="14"/>
      <c r="T53" s="14">
        <f>SUM(T3:T52)</f>
        <v>10694739</v>
      </c>
      <c r="U53" s="14">
        <f>SUM(U3:U52)</f>
        <v>2256493</v>
      </c>
      <c r="V53" s="14"/>
      <c r="W53" s="14"/>
      <c r="X53" s="14"/>
      <c r="Y53" s="14"/>
      <c r="Z53" s="14">
        <f>SUM(Z3:Z52)</f>
        <v>10823920</v>
      </c>
      <c r="AA53" s="14">
        <f>SUM(AA3:AA52)</f>
        <v>2240979</v>
      </c>
      <c r="AB53" s="14"/>
      <c r="AC53" s="14"/>
      <c r="AD53" s="14"/>
      <c r="AE53" s="14"/>
      <c r="AF53" s="14">
        <f>SUM(AF3:AF52)</f>
        <v>9048000</v>
      </c>
      <c r="AG53" s="14">
        <f>SUM(AG3:AG52)</f>
        <v>1750617</v>
      </c>
      <c r="AH53" s="14"/>
      <c r="AI53" s="14"/>
      <c r="AJ53" s="14"/>
      <c r="AK53" s="14"/>
      <c r="AL53" s="14">
        <f>SUM(AL3:AL52)</f>
        <v>0</v>
      </c>
      <c r="AM53" s="14">
        <f>SUM(AM3:AM52)</f>
        <v>0</v>
      </c>
      <c r="AN53" s="14"/>
      <c r="AO53" s="14"/>
      <c r="AP53" s="14"/>
      <c r="AQ53" s="14"/>
      <c r="AR53" s="14">
        <f>SUM(AR3:AR52)</f>
        <v>0</v>
      </c>
      <c r="AS53" s="14">
        <f>SUM(AS3:AS52)</f>
        <v>0</v>
      </c>
      <c r="AT53" s="14"/>
      <c r="AU53" s="14"/>
      <c r="AV53" s="14"/>
      <c r="AW53" s="14"/>
      <c r="AX53" s="14">
        <f>SUM(AX3:AX52)</f>
        <v>0</v>
      </c>
      <c r="AY53" s="14">
        <f>SUM(AY3:AY52)</f>
        <v>0</v>
      </c>
      <c r="AZ53" s="14"/>
      <c r="BA53" s="14"/>
      <c r="BB53" s="14"/>
      <c r="BC53" s="14"/>
      <c r="BD53" s="14">
        <f>SUM(BD3:BD52)</f>
        <v>0</v>
      </c>
      <c r="BE53" s="14">
        <f>SUM(BE3:BE52)</f>
        <v>0</v>
      </c>
      <c r="BF53" s="14"/>
      <c r="BG53" s="14"/>
      <c r="BH53" s="14"/>
      <c r="BI53" s="14"/>
      <c r="BJ53" s="14">
        <f>SUM(BJ3:BJ52)</f>
        <v>0</v>
      </c>
      <c r="BK53" s="14">
        <f>SUM(BK3:BK52)</f>
        <v>0</v>
      </c>
      <c r="BL53" s="14"/>
      <c r="BM53" s="14"/>
      <c r="BN53" s="14"/>
      <c r="BO53" s="14"/>
      <c r="BP53" s="14">
        <f>SUM(BP3:BP52)</f>
        <v>0</v>
      </c>
      <c r="BQ53" s="14">
        <f>SUM(BQ3:BQ52)</f>
        <v>0</v>
      </c>
      <c r="BR53" s="14"/>
      <c r="BS53" s="14"/>
      <c r="BT53" s="14"/>
      <c r="BU53" s="14"/>
      <c r="BV53" s="14">
        <f>SUM(BV3:BV52)</f>
        <v>0</v>
      </c>
      <c r="BW53" s="14">
        <f>SUM(BW3:BW52)</f>
        <v>0</v>
      </c>
      <c r="BX53" s="14"/>
      <c r="BY53" s="14"/>
      <c r="BZ53" s="14"/>
      <c r="CA53" s="14"/>
      <c r="CB53" s="14">
        <f>SUM(CB3:CB52)</f>
        <v>0</v>
      </c>
      <c r="CC53" s="14">
        <f>SUM(CC3:CC52)</f>
        <v>0</v>
      </c>
      <c r="CD53" s="14"/>
      <c r="CE53" s="14"/>
      <c r="CF53" s="14"/>
      <c r="CG53" s="14"/>
      <c r="CH53" s="14">
        <f>SUM(CH3:CH52)</f>
        <v>0</v>
      </c>
      <c r="CI53" s="14">
        <f>SUM(CI3:CI52)</f>
        <v>0</v>
      </c>
      <c r="CJ53" s="14"/>
      <c r="CK53" s="14"/>
      <c r="CL53" s="14"/>
      <c r="CM53" s="14"/>
    </row>
    <row r="54" spans="1:94" x14ac:dyDescent="0.2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1"/>
      <c r="O54" s="11"/>
      <c r="P54" s="11"/>
      <c r="Q54" s="11"/>
      <c r="R54" s="17"/>
      <c r="S54" s="18"/>
    </row>
    <row r="55" spans="1:94" x14ac:dyDescent="0.25">
      <c r="A55" s="1"/>
      <c r="B55" s="26" t="s">
        <v>109</v>
      </c>
      <c r="C55" s="26"/>
      <c r="D55" s="26"/>
      <c r="E55" s="26"/>
      <c r="F55" s="26"/>
      <c r="G55" s="26"/>
      <c r="H55" s="26" t="s">
        <v>116</v>
      </c>
      <c r="I55" s="26"/>
      <c r="J55" s="26"/>
      <c r="K55" s="26"/>
      <c r="L55" s="26"/>
      <c r="M55" s="26"/>
      <c r="N55" s="26" t="s">
        <v>129</v>
      </c>
      <c r="O55" s="26"/>
      <c r="P55" s="26"/>
      <c r="Q55" s="26"/>
      <c r="R55" s="26"/>
      <c r="S55" s="26"/>
      <c r="T55" s="26" t="s">
        <v>117</v>
      </c>
      <c r="U55" s="26"/>
      <c r="V55" s="26"/>
      <c r="W55" s="26"/>
      <c r="X55" s="26"/>
      <c r="Y55" s="26"/>
      <c r="Z55" s="26" t="s">
        <v>118</v>
      </c>
      <c r="AA55" s="26"/>
      <c r="AB55" s="26"/>
      <c r="AC55" s="26"/>
      <c r="AD55" s="26"/>
      <c r="AE55" s="26"/>
      <c r="AF55" s="26" t="s">
        <v>119</v>
      </c>
      <c r="AG55" s="26"/>
      <c r="AH55" s="26"/>
      <c r="AI55" s="26"/>
      <c r="AJ55" s="26"/>
      <c r="AK55" s="26"/>
      <c r="AL55" s="26" t="s">
        <v>120</v>
      </c>
      <c r="AM55" s="26"/>
      <c r="AN55" s="26"/>
      <c r="AO55" s="26"/>
      <c r="AP55" s="26"/>
      <c r="AQ55" s="26"/>
      <c r="AR55" s="26" t="s">
        <v>121</v>
      </c>
      <c r="AS55" s="26"/>
      <c r="AT55" s="26"/>
      <c r="AU55" s="26"/>
      <c r="AV55" s="26"/>
      <c r="AW55" s="26"/>
      <c r="AX55" s="26" t="s">
        <v>122</v>
      </c>
      <c r="AY55" s="26"/>
      <c r="AZ55" s="26"/>
      <c r="BA55" s="26"/>
      <c r="BB55" s="26"/>
      <c r="BC55" s="26"/>
      <c r="BD55" s="26" t="s">
        <v>123</v>
      </c>
      <c r="BE55" s="26"/>
      <c r="BF55" s="26"/>
      <c r="BG55" s="26"/>
      <c r="BH55" s="26"/>
      <c r="BI55" s="26"/>
      <c r="BJ55" s="26" t="s">
        <v>124</v>
      </c>
      <c r="BK55" s="26"/>
      <c r="BL55" s="26"/>
      <c r="BM55" s="26"/>
      <c r="BN55" s="26"/>
      <c r="BO55" s="26"/>
      <c r="BP55" s="26" t="s">
        <v>125</v>
      </c>
      <c r="BQ55" s="26"/>
      <c r="BR55" s="26"/>
      <c r="BS55" s="26"/>
      <c r="BT55" s="26"/>
      <c r="BU55" s="26"/>
      <c r="BV55" s="26" t="s">
        <v>126</v>
      </c>
      <c r="BW55" s="26"/>
      <c r="BX55" s="26"/>
      <c r="BY55" s="26"/>
      <c r="BZ55" s="26"/>
      <c r="CA55" s="26"/>
      <c r="CB55" s="26" t="s">
        <v>127</v>
      </c>
      <c r="CC55" s="26"/>
      <c r="CD55" s="26"/>
      <c r="CE55" s="26"/>
      <c r="CF55" s="26"/>
      <c r="CG55" s="26"/>
      <c r="CH55" s="26" t="s">
        <v>128</v>
      </c>
      <c r="CI55" s="26"/>
      <c r="CJ55" s="26"/>
      <c r="CK55" s="26"/>
      <c r="CL55" s="26"/>
      <c r="CM55" s="26"/>
    </row>
    <row r="56" spans="1:94" s="6" customFormat="1" ht="75" x14ac:dyDescent="0.25">
      <c r="A56" s="4"/>
      <c r="B56" s="5" t="s">
        <v>111</v>
      </c>
      <c r="C56" s="5" t="s">
        <v>112</v>
      </c>
      <c r="D56" s="5" t="s">
        <v>113</v>
      </c>
      <c r="E56" s="5" t="s">
        <v>114</v>
      </c>
      <c r="F56" s="5" t="s">
        <v>115</v>
      </c>
      <c r="G56" s="5" t="s">
        <v>110</v>
      </c>
      <c r="H56" s="5" t="s">
        <v>111</v>
      </c>
      <c r="I56" s="5" t="s">
        <v>112</v>
      </c>
      <c r="J56" s="5" t="s">
        <v>113</v>
      </c>
      <c r="K56" s="5" t="s">
        <v>114</v>
      </c>
      <c r="L56" s="5" t="s">
        <v>115</v>
      </c>
      <c r="M56" s="5" t="s">
        <v>110</v>
      </c>
      <c r="N56" s="5" t="s">
        <v>111</v>
      </c>
      <c r="O56" s="5" t="s">
        <v>112</v>
      </c>
      <c r="P56" s="5" t="s">
        <v>113</v>
      </c>
      <c r="Q56" s="5" t="s">
        <v>114</v>
      </c>
      <c r="R56" s="5" t="s">
        <v>115</v>
      </c>
      <c r="S56" s="5" t="s">
        <v>110</v>
      </c>
      <c r="T56" s="5" t="s">
        <v>111</v>
      </c>
      <c r="U56" s="5" t="s">
        <v>112</v>
      </c>
      <c r="V56" s="5" t="s">
        <v>113</v>
      </c>
      <c r="W56" s="5" t="s">
        <v>114</v>
      </c>
      <c r="X56" s="5" t="s">
        <v>115</v>
      </c>
      <c r="Y56" s="5" t="s">
        <v>110</v>
      </c>
      <c r="Z56" s="5" t="s">
        <v>111</v>
      </c>
      <c r="AA56" s="5" t="s">
        <v>112</v>
      </c>
      <c r="AB56" s="5" t="s">
        <v>113</v>
      </c>
      <c r="AC56" s="5" t="s">
        <v>114</v>
      </c>
      <c r="AD56" s="5" t="s">
        <v>115</v>
      </c>
      <c r="AE56" s="5" t="s">
        <v>110</v>
      </c>
      <c r="AF56" s="5" t="s">
        <v>111</v>
      </c>
      <c r="AG56" s="5" t="s">
        <v>112</v>
      </c>
      <c r="AH56" s="5" t="s">
        <v>113</v>
      </c>
      <c r="AI56" s="5" t="s">
        <v>114</v>
      </c>
      <c r="AJ56" s="5" t="s">
        <v>115</v>
      </c>
      <c r="AK56" s="5" t="s">
        <v>110</v>
      </c>
      <c r="AL56" s="5" t="s">
        <v>111</v>
      </c>
      <c r="AM56" s="5" t="s">
        <v>112</v>
      </c>
      <c r="AN56" s="5" t="s">
        <v>113</v>
      </c>
      <c r="AO56" s="5" t="s">
        <v>114</v>
      </c>
      <c r="AP56" s="5" t="s">
        <v>115</v>
      </c>
      <c r="AQ56" s="5" t="s">
        <v>110</v>
      </c>
      <c r="AR56" s="5" t="s">
        <v>111</v>
      </c>
      <c r="AS56" s="5" t="s">
        <v>112</v>
      </c>
      <c r="AT56" s="5" t="s">
        <v>113</v>
      </c>
      <c r="AU56" s="5" t="s">
        <v>114</v>
      </c>
      <c r="AV56" s="5" t="s">
        <v>115</v>
      </c>
      <c r="AW56" s="5" t="s">
        <v>110</v>
      </c>
      <c r="AX56" s="5" t="s">
        <v>111</v>
      </c>
      <c r="AY56" s="5" t="s">
        <v>112</v>
      </c>
      <c r="AZ56" s="5" t="s">
        <v>113</v>
      </c>
      <c r="BA56" s="5" t="s">
        <v>114</v>
      </c>
      <c r="BB56" s="5" t="s">
        <v>115</v>
      </c>
      <c r="BC56" s="5" t="s">
        <v>110</v>
      </c>
      <c r="BD56" s="5" t="s">
        <v>111</v>
      </c>
      <c r="BE56" s="5" t="s">
        <v>112</v>
      </c>
      <c r="BF56" s="5" t="s">
        <v>113</v>
      </c>
      <c r="BG56" s="5" t="s">
        <v>114</v>
      </c>
      <c r="BH56" s="5" t="s">
        <v>115</v>
      </c>
      <c r="BI56" s="5" t="s">
        <v>110</v>
      </c>
      <c r="BJ56" s="5" t="s">
        <v>111</v>
      </c>
      <c r="BK56" s="5" t="s">
        <v>112</v>
      </c>
      <c r="BL56" s="5" t="s">
        <v>113</v>
      </c>
      <c r="BM56" s="5" t="s">
        <v>114</v>
      </c>
      <c r="BN56" s="5" t="s">
        <v>115</v>
      </c>
      <c r="BO56" s="5" t="s">
        <v>110</v>
      </c>
      <c r="BP56" s="5" t="s">
        <v>111</v>
      </c>
      <c r="BQ56" s="5" t="s">
        <v>112</v>
      </c>
      <c r="BR56" s="5" t="s">
        <v>113</v>
      </c>
      <c r="BS56" s="5" t="s">
        <v>114</v>
      </c>
      <c r="BT56" s="5" t="s">
        <v>115</v>
      </c>
      <c r="BU56" s="5" t="s">
        <v>110</v>
      </c>
      <c r="BV56" s="5" t="s">
        <v>111</v>
      </c>
      <c r="BW56" s="5" t="s">
        <v>112</v>
      </c>
      <c r="BX56" s="5" t="s">
        <v>113</v>
      </c>
      <c r="BY56" s="5" t="s">
        <v>114</v>
      </c>
      <c r="BZ56" s="5" t="s">
        <v>115</v>
      </c>
      <c r="CA56" s="5" t="s">
        <v>110</v>
      </c>
      <c r="CB56" s="5" t="s">
        <v>111</v>
      </c>
      <c r="CC56" s="5" t="s">
        <v>112</v>
      </c>
      <c r="CD56" s="5" t="s">
        <v>113</v>
      </c>
      <c r="CE56" s="5" t="s">
        <v>114</v>
      </c>
      <c r="CF56" s="5" t="s">
        <v>115</v>
      </c>
      <c r="CG56" s="5" t="s">
        <v>110</v>
      </c>
      <c r="CH56" s="5" t="s">
        <v>111</v>
      </c>
      <c r="CI56" s="5" t="s">
        <v>112</v>
      </c>
      <c r="CJ56" s="5" t="s">
        <v>113</v>
      </c>
      <c r="CK56" s="5" t="s">
        <v>114</v>
      </c>
      <c r="CL56" s="5" t="s">
        <v>115</v>
      </c>
      <c r="CM56" s="5" t="s">
        <v>110</v>
      </c>
    </row>
    <row r="57" spans="1:94" x14ac:dyDescent="0.25">
      <c r="A57" s="19" t="s">
        <v>51</v>
      </c>
      <c r="B57" s="8">
        <v>110653</v>
      </c>
      <c r="C57" s="8">
        <v>9949.625</v>
      </c>
      <c r="D57" s="8">
        <v>55</v>
      </c>
      <c r="E57" s="9">
        <v>48284.94545454545</v>
      </c>
      <c r="F57" s="9">
        <v>4341.6545454545458</v>
      </c>
      <c r="G57" s="10">
        <v>3.818586346677344</v>
      </c>
      <c r="H57" s="8">
        <v>43199</v>
      </c>
      <c r="I57" s="8">
        <v>2072</v>
      </c>
      <c r="J57" s="8">
        <v>5</v>
      </c>
      <c r="K57" s="9">
        <v>51838.799999999996</v>
      </c>
      <c r="L57" s="9">
        <v>2486.3999999999996</v>
      </c>
      <c r="M57" s="10">
        <v>2.368836869937013</v>
      </c>
      <c r="N57" s="8" t="str">
        <f t="shared" ref="N57:N78" si="12">IFERROR(AVERAGE(T57,Z57,AF57,AL57,AR57,AX57,BD57,BJ57,BP57,BV57,CB57,CH57)," ")</f>
        <v xml:space="preserve"> </v>
      </c>
      <c r="O57" s="8" t="str">
        <f t="shared" ref="O57:O78" si="13">IFERROR(AVERAGE(U57,AA57,AG57,AM57,AS57,AY57,BE57,BK57,BQ57,BW57,CC57,CI57)," ")</f>
        <v xml:space="preserve"> </v>
      </c>
      <c r="P57" s="8">
        <f t="shared" ref="P57:P78" si="14">IFERROR(SUM(V57,AB57,AH57,AN57,AT57,AZ57,BF57,BL57,BR57,BX57,CD57,CJ57)," ")</f>
        <v>0</v>
      </c>
      <c r="Q57" s="9" t="str">
        <f t="shared" ref="Q57:Q78" si="15">IFERROR(SUM(T57,Z57,AF57,AL57,AR57,AX57,BD57,BJ57,BP57,BV57,CB57,CH57)/P57*3," ")</f>
        <v xml:space="preserve"> </v>
      </c>
      <c r="R57" s="9" t="str">
        <f t="shared" ref="R57:R78" si="16">IFERROR(SUM(U57,AA57,AG57,AM57,AS57,AY57,BE57,BK57,BQ57,BW57,CC57,CI57)/P57*3," ")</f>
        <v xml:space="preserve"> </v>
      </c>
      <c r="S57" s="10" t="str">
        <f t="shared" ref="S57:S78" si="17">IFERROR(AVERAGE(Y57,AE57,AK57,AQ57,AW57,BC57,BI57,BO57,BU57,CA57,CG57,CM57)," ")</f>
        <v xml:space="preserve"> </v>
      </c>
      <c r="T57" s="11"/>
      <c r="U57" s="11"/>
      <c r="V57" s="11"/>
      <c r="W57" s="12"/>
      <c r="X57" s="12"/>
      <c r="Y57" s="13"/>
      <c r="Z57" s="11"/>
      <c r="AA57" s="11"/>
      <c r="AB57" s="11"/>
      <c r="AC57" s="12"/>
      <c r="AD57" s="12"/>
      <c r="AE57" s="13"/>
      <c r="AF57" s="11"/>
      <c r="AG57" s="11"/>
      <c r="AH57" s="11"/>
      <c r="AI57" s="12"/>
      <c r="AJ57" s="12"/>
      <c r="AK57" s="13"/>
      <c r="AL57" s="11"/>
      <c r="AM57" s="11"/>
      <c r="AN57" s="11"/>
      <c r="AO57" s="12"/>
      <c r="AP57" s="12"/>
      <c r="AQ57" s="13"/>
      <c r="AR57" s="11"/>
      <c r="AS57" s="11"/>
      <c r="AT57" s="11"/>
      <c r="AU57" s="12"/>
      <c r="AV57" s="12"/>
      <c r="AW57" s="13"/>
      <c r="AX57" s="11"/>
      <c r="AY57" s="11"/>
      <c r="AZ57" s="11"/>
      <c r="BA57" s="12"/>
      <c r="BB57" s="12"/>
      <c r="BC57" s="13"/>
      <c r="BD57" s="11"/>
      <c r="BE57" s="11"/>
      <c r="BF57" s="11"/>
      <c r="BG57" s="12"/>
      <c r="BH57" s="12"/>
      <c r="BI57" s="13"/>
      <c r="BJ57" s="11"/>
      <c r="BK57" s="11"/>
      <c r="BL57" s="11"/>
      <c r="BM57" s="12"/>
      <c r="BN57" s="12"/>
      <c r="BO57" s="13"/>
      <c r="BP57" s="11"/>
      <c r="BQ57" s="11"/>
      <c r="BR57" s="11"/>
      <c r="BS57" s="12"/>
      <c r="BT57" s="12"/>
      <c r="BU57" s="13"/>
      <c r="BV57" s="11"/>
      <c r="BW57" s="11"/>
      <c r="BX57" s="11"/>
      <c r="BY57" s="12"/>
      <c r="BZ57" s="12"/>
      <c r="CA57" s="13"/>
      <c r="CB57" s="11"/>
      <c r="CC57" s="11"/>
      <c r="CD57" s="11"/>
      <c r="CE57" s="12"/>
      <c r="CF57" s="12"/>
      <c r="CG57" s="13"/>
      <c r="CJ57" s="11"/>
      <c r="CK57" s="12"/>
      <c r="CL57" s="12"/>
      <c r="CM57" s="13"/>
      <c r="CN57" s="11"/>
      <c r="CO57" s="11"/>
      <c r="CP57" s="11"/>
    </row>
    <row r="58" spans="1:94" x14ac:dyDescent="0.25">
      <c r="A58" s="19" t="s">
        <v>52</v>
      </c>
      <c r="B58" s="8">
        <v>4302027.9041666659</v>
      </c>
      <c r="C58" s="8">
        <v>51527.666666666664</v>
      </c>
      <c r="D58" s="8">
        <v>881</v>
      </c>
      <c r="E58" s="9">
        <v>175792.28666288307</v>
      </c>
      <c r="F58" s="9">
        <v>2105.5573212258796</v>
      </c>
      <c r="G58" s="10">
        <v>1.390768842932721</v>
      </c>
      <c r="H58" s="8">
        <v>4949851.5333333332</v>
      </c>
      <c r="I58" s="8">
        <v>56649.416666666664</v>
      </c>
      <c r="J58" s="8">
        <v>938</v>
      </c>
      <c r="K58" s="9">
        <v>189972.97995735606</v>
      </c>
      <c r="L58" s="9">
        <v>2174.1780383795312</v>
      </c>
      <c r="M58" s="10">
        <v>1.3627127685637701</v>
      </c>
      <c r="N58" s="8">
        <f t="shared" si="12"/>
        <v>4848903.666666667</v>
      </c>
      <c r="O58" s="8">
        <f t="shared" si="13"/>
        <v>52956</v>
      </c>
      <c r="P58" s="8">
        <f t="shared" si="14"/>
        <v>212</v>
      </c>
      <c r="Q58" s="9">
        <f t="shared" si="15"/>
        <v>205849.68396226416</v>
      </c>
      <c r="R58" s="9">
        <f t="shared" si="16"/>
        <v>2248.132075471698</v>
      </c>
      <c r="S58" s="10">
        <f t="shared" si="17"/>
        <v>1.3299775444345425</v>
      </c>
      <c r="T58" s="11">
        <v>4555723</v>
      </c>
      <c r="U58" s="11">
        <v>52711</v>
      </c>
      <c r="V58" s="11">
        <v>78</v>
      </c>
      <c r="W58" s="12">
        <v>175220.1153846154</v>
      </c>
      <c r="X58" s="12">
        <v>2027.346153846154</v>
      </c>
      <c r="Y58" s="13">
        <v>1.368105498612896</v>
      </c>
      <c r="Z58" s="11">
        <v>5414050</v>
      </c>
      <c r="AA58" s="11">
        <v>58828</v>
      </c>
      <c r="AB58" s="11">
        <v>70</v>
      </c>
      <c r="AC58" s="12">
        <v>232030.71428571429</v>
      </c>
      <c r="AD58" s="12">
        <v>2521.1999999999998</v>
      </c>
      <c r="AE58" s="13">
        <v>1.327322597642081</v>
      </c>
      <c r="AF58" s="11">
        <v>4576938</v>
      </c>
      <c r="AG58" s="11">
        <v>47329</v>
      </c>
      <c r="AH58" s="11">
        <v>64</v>
      </c>
      <c r="AI58" s="12">
        <v>214543.96875</v>
      </c>
      <c r="AJ58" s="12">
        <v>2218.546875</v>
      </c>
      <c r="AK58" s="13">
        <v>1.294504537048651</v>
      </c>
      <c r="AL58" s="11"/>
      <c r="AM58" s="11"/>
      <c r="AN58" s="11"/>
      <c r="AO58" s="12"/>
      <c r="AP58" s="12"/>
      <c r="AQ58" s="13"/>
      <c r="AR58" s="11"/>
      <c r="AS58" s="11"/>
      <c r="AT58" s="11"/>
      <c r="AU58" s="12"/>
      <c r="AV58" s="12"/>
      <c r="AW58" s="13"/>
      <c r="AX58" s="11"/>
      <c r="AY58" s="11"/>
      <c r="AZ58" s="11"/>
      <c r="BA58" s="12"/>
      <c r="BB58" s="12"/>
      <c r="BC58" s="13"/>
      <c r="BD58" s="11"/>
      <c r="BE58" s="11"/>
      <c r="BF58" s="11"/>
      <c r="BG58" s="12"/>
      <c r="BH58" s="12"/>
      <c r="BI58" s="13"/>
      <c r="BJ58" s="11"/>
      <c r="BK58" s="11"/>
      <c r="BL58" s="11"/>
      <c r="BM58" s="12"/>
      <c r="BN58" s="12"/>
      <c r="BO58" s="13"/>
      <c r="BP58" s="11"/>
      <c r="BQ58" s="11"/>
      <c r="BR58" s="11"/>
      <c r="BS58" s="12"/>
      <c r="BT58" s="12"/>
      <c r="BU58" s="13"/>
      <c r="BV58" s="11"/>
      <c r="BW58" s="11"/>
      <c r="BX58" s="11"/>
      <c r="BY58" s="12"/>
      <c r="BZ58" s="12"/>
      <c r="CA58" s="13"/>
      <c r="CB58" s="11"/>
      <c r="CC58" s="11"/>
      <c r="CD58" s="11"/>
      <c r="CE58" s="12"/>
      <c r="CF58" s="12"/>
      <c r="CG58" s="13"/>
      <c r="CJ58" s="11"/>
      <c r="CK58" s="12"/>
      <c r="CL58" s="12"/>
      <c r="CM58" s="13"/>
      <c r="CN58" s="11"/>
      <c r="CO58" s="11"/>
      <c r="CP58" s="11"/>
    </row>
    <row r="59" spans="1:94" x14ac:dyDescent="0.25">
      <c r="A59" s="19" t="s">
        <v>53</v>
      </c>
      <c r="B59" s="8">
        <v>1704878</v>
      </c>
      <c r="C59" s="8">
        <v>4799</v>
      </c>
      <c r="D59" s="8">
        <v>37</v>
      </c>
      <c r="E59" s="9">
        <v>138233.35135135136</v>
      </c>
      <c r="F59" s="9">
        <v>389.10810810810813</v>
      </c>
      <c r="G59" s="10">
        <v>0.6738975088576703</v>
      </c>
      <c r="H59" s="8">
        <v>92863.666666666672</v>
      </c>
      <c r="I59" s="8">
        <v>651.5</v>
      </c>
      <c r="J59" s="8">
        <v>25</v>
      </c>
      <c r="K59" s="9">
        <v>66861.84</v>
      </c>
      <c r="L59" s="9">
        <v>469.08000000000004</v>
      </c>
      <c r="M59" s="10">
        <v>1.1047942337150796</v>
      </c>
      <c r="N59" s="8" t="str">
        <f t="shared" si="12"/>
        <v xml:space="preserve"> </v>
      </c>
      <c r="O59" s="8" t="str">
        <f t="shared" si="13"/>
        <v xml:space="preserve"> </v>
      </c>
      <c r="P59" s="8">
        <f t="shared" si="14"/>
        <v>0</v>
      </c>
      <c r="Q59" s="9" t="str">
        <f t="shared" si="15"/>
        <v xml:space="preserve"> </v>
      </c>
      <c r="R59" s="9" t="str">
        <f t="shared" si="16"/>
        <v xml:space="preserve"> </v>
      </c>
      <c r="S59" s="10" t="str">
        <f t="shared" si="17"/>
        <v xml:space="preserve"> </v>
      </c>
      <c r="T59" s="11"/>
      <c r="U59" s="11"/>
      <c r="V59" s="11"/>
      <c r="W59" s="12"/>
      <c r="X59" s="12"/>
      <c r="Y59" s="13"/>
      <c r="Z59" s="11"/>
      <c r="AA59" s="11"/>
      <c r="AB59" s="11"/>
      <c r="AC59" s="12"/>
      <c r="AD59" s="12"/>
      <c r="AE59" s="13"/>
      <c r="AF59" s="11"/>
      <c r="AG59" s="11"/>
      <c r="AH59" s="11"/>
      <c r="AI59" s="12"/>
      <c r="AJ59" s="12"/>
      <c r="AK59" s="13"/>
      <c r="AL59" s="11"/>
      <c r="AM59" s="11"/>
      <c r="AN59" s="11"/>
      <c r="AO59" s="12"/>
      <c r="AP59" s="12"/>
      <c r="AQ59" s="13"/>
      <c r="AR59" s="11"/>
      <c r="AS59" s="11"/>
      <c r="AT59" s="11"/>
      <c r="AU59" s="12"/>
      <c r="AV59" s="12"/>
      <c r="AW59" s="13"/>
      <c r="AX59" s="11"/>
      <c r="AY59" s="11"/>
      <c r="AZ59" s="11"/>
      <c r="BA59" s="12"/>
      <c r="BB59" s="12"/>
      <c r="BC59" s="13"/>
      <c r="BD59" s="11"/>
      <c r="BE59" s="11"/>
      <c r="BF59" s="11"/>
      <c r="BG59" s="12"/>
      <c r="BH59" s="12"/>
      <c r="BI59" s="13"/>
      <c r="BJ59" s="11"/>
      <c r="BK59" s="11"/>
      <c r="BL59" s="11"/>
      <c r="BM59" s="12"/>
      <c r="BN59" s="12"/>
      <c r="BO59" s="13"/>
      <c r="BP59" s="11"/>
      <c r="BQ59" s="11"/>
      <c r="BR59" s="11"/>
      <c r="BS59" s="12"/>
      <c r="BT59" s="12"/>
      <c r="BU59" s="13"/>
      <c r="BV59" s="11"/>
      <c r="BW59" s="11"/>
      <c r="BX59" s="11"/>
      <c r="BY59" s="12"/>
      <c r="BZ59" s="12"/>
      <c r="CA59" s="13"/>
      <c r="CB59" s="11"/>
      <c r="CC59" s="11"/>
      <c r="CD59" s="11"/>
      <c r="CE59" s="12"/>
      <c r="CF59" s="12"/>
      <c r="CG59" s="13"/>
      <c r="CJ59" s="11"/>
      <c r="CK59" s="12"/>
      <c r="CL59" s="12"/>
      <c r="CM59" s="13"/>
      <c r="CN59" s="11"/>
      <c r="CO59" s="11"/>
      <c r="CP59" s="11"/>
    </row>
    <row r="60" spans="1:94" x14ac:dyDescent="0.25">
      <c r="A60" s="19" t="s">
        <v>54</v>
      </c>
      <c r="B60" s="8">
        <v>2767314.25</v>
      </c>
      <c r="C60" s="8">
        <v>8861.6666666666661</v>
      </c>
      <c r="D60" s="8">
        <v>690</v>
      </c>
      <c r="E60" s="9">
        <v>144381.61304347828</v>
      </c>
      <c r="F60" s="9">
        <v>462.3478260869565</v>
      </c>
      <c r="G60" s="10">
        <v>0.71587595564444528</v>
      </c>
      <c r="H60" s="8">
        <v>2645083.7999999998</v>
      </c>
      <c r="I60" s="8">
        <v>8333.5</v>
      </c>
      <c r="J60" s="8">
        <v>463</v>
      </c>
      <c r="K60" s="9">
        <v>171387.71922246221</v>
      </c>
      <c r="L60" s="9">
        <v>539.96760259179268</v>
      </c>
      <c r="M60" s="10">
        <v>0.68938085469084565</v>
      </c>
      <c r="N60" s="8">
        <f t="shared" si="12"/>
        <v>3068492.6666666665</v>
      </c>
      <c r="O60" s="8">
        <f t="shared" si="13"/>
        <v>7324</v>
      </c>
      <c r="P60" s="8">
        <f t="shared" si="14"/>
        <v>141</v>
      </c>
      <c r="Q60" s="9">
        <f t="shared" si="15"/>
        <v>195861.2340425532</v>
      </c>
      <c r="R60" s="9">
        <f t="shared" si="16"/>
        <v>467.48936170212767</v>
      </c>
      <c r="S60" s="10">
        <f t="shared" si="17"/>
        <v>0.61716579315571662</v>
      </c>
      <c r="T60" s="11">
        <v>2164532</v>
      </c>
      <c r="U60" s="11">
        <v>5791</v>
      </c>
      <c r="V60" s="11">
        <v>39</v>
      </c>
      <c r="W60" s="12">
        <v>166502.46153846159</v>
      </c>
      <c r="X60" s="12">
        <v>445.46153846153851</v>
      </c>
      <c r="Y60" s="13">
        <v>0.65623882992630367</v>
      </c>
      <c r="Z60" s="11">
        <v>2302880</v>
      </c>
      <c r="AA60" s="11">
        <v>4433</v>
      </c>
      <c r="AB60" s="11">
        <v>41</v>
      </c>
      <c r="AC60" s="12">
        <v>168503.41463414629</v>
      </c>
      <c r="AD60" s="12">
        <v>324.36585365853659</v>
      </c>
      <c r="AE60" s="13">
        <v>0.56269902027415564</v>
      </c>
      <c r="AF60" s="11">
        <v>4738066</v>
      </c>
      <c r="AG60" s="11">
        <v>11748</v>
      </c>
      <c r="AH60" s="11">
        <v>61</v>
      </c>
      <c r="AI60" s="12">
        <v>233019.63934426231</v>
      </c>
      <c r="AJ60" s="12">
        <v>577.77049180327867</v>
      </c>
      <c r="AK60" s="13">
        <v>0.63255952926669046</v>
      </c>
      <c r="AL60" s="11"/>
      <c r="AM60" s="11"/>
      <c r="AN60" s="11"/>
      <c r="AO60" s="12"/>
      <c r="AP60" s="12"/>
      <c r="AQ60" s="13"/>
      <c r="AR60" s="11"/>
      <c r="AS60" s="11"/>
      <c r="AT60" s="11"/>
      <c r="AU60" s="12"/>
      <c r="AV60" s="12"/>
      <c r="AW60" s="13"/>
      <c r="AX60" s="11"/>
      <c r="AY60" s="11"/>
      <c r="AZ60" s="11"/>
      <c r="BA60" s="12"/>
      <c r="BB60" s="12"/>
      <c r="BC60" s="13"/>
      <c r="BD60" s="11"/>
      <c r="BE60" s="11"/>
      <c r="BF60" s="11"/>
      <c r="BG60" s="12"/>
      <c r="BH60" s="12"/>
      <c r="BI60" s="13"/>
      <c r="BJ60" s="11"/>
      <c r="BK60" s="11"/>
      <c r="BL60" s="11"/>
      <c r="BM60" s="12"/>
      <c r="BN60" s="12"/>
      <c r="BO60" s="13"/>
      <c r="BP60" s="11"/>
      <c r="BQ60" s="11"/>
      <c r="BR60" s="11"/>
      <c r="BS60" s="12"/>
      <c r="BT60" s="12"/>
      <c r="BU60" s="13"/>
      <c r="BV60" s="11"/>
      <c r="BW60" s="11"/>
      <c r="BX60" s="11"/>
      <c r="BY60" s="12"/>
      <c r="BZ60" s="12"/>
      <c r="CA60" s="13"/>
      <c r="CB60" s="11"/>
      <c r="CC60" s="11"/>
      <c r="CD60" s="11"/>
      <c r="CE60" s="12"/>
      <c r="CF60" s="12"/>
      <c r="CG60" s="13"/>
      <c r="CJ60" s="11"/>
      <c r="CK60" s="12"/>
      <c r="CL60" s="12"/>
      <c r="CM60" s="13"/>
      <c r="CN60" s="11"/>
      <c r="CO60" s="11"/>
      <c r="CP60" s="11"/>
    </row>
    <row r="61" spans="1:94" x14ac:dyDescent="0.25">
      <c r="A61" s="19" t="s">
        <v>55</v>
      </c>
      <c r="B61" s="8">
        <v>2866158.5400000005</v>
      </c>
      <c r="C61" s="8">
        <v>5175.583333333333</v>
      </c>
      <c r="D61" s="8">
        <v>640</v>
      </c>
      <c r="E61" s="9">
        <v>161221.41787500004</v>
      </c>
      <c r="F61" s="9">
        <v>291.12656249999998</v>
      </c>
      <c r="G61" s="10">
        <v>0.5359869025618802</v>
      </c>
      <c r="H61" s="8">
        <v>2816959</v>
      </c>
      <c r="I61" s="8">
        <v>6841.7</v>
      </c>
      <c r="J61" s="8">
        <v>528</v>
      </c>
      <c r="K61" s="9">
        <v>160054.48863636365</v>
      </c>
      <c r="L61" s="9">
        <v>388.7329545454545</v>
      </c>
      <c r="M61" s="10">
        <v>0.62147879307006204</v>
      </c>
      <c r="N61" s="8">
        <f t="shared" si="12"/>
        <v>2629818.5</v>
      </c>
      <c r="O61" s="8">
        <f t="shared" si="13"/>
        <v>6562</v>
      </c>
      <c r="P61" s="8">
        <f t="shared" si="14"/>
        <v>86</v>
      </c>
      <c r="Q61" s="9">
        <f t="shared" si="15"/>
        <v>183475.70930232559</v>
      </c>
      <c r="R61" s="9">
        <f t="shared" si="16"/>
        <v>457.81395348837214</v>
      </c>
      <c r="S61" s="10">
        <f t="shared" si="17"/>
        <v>0.63466276552407397</v>
      </c>
      <c r="T61" s="11"/>
      <c r="U61" s="11"/>
      <c r="V61" s="11"/>
      <c r="W61" s="12"/>
      <c r="X61" s="12"/>
      <c r="Y61" s="13"/>
      <c r="Z61" s="11">
        <v>2376432</v>
      </c>
      <c r="AA61" s="11">
        <v>5550</v>
      </c>
      <c r="AB61" s="11">
        <v>41</v>
      </c>
      <c r="AC61" s="12">
        <v>173885.26829268289</v>
      </c>
      <c r="AD61" s="12">
        <v>406.09756097560978</v>
      </c>
      <c r="AE61" s="13">
        <v>0.61758293880211812</v>
      </c>
      <c r="AF61" s="11">
        <v>2883205</v>
      </c>
      <c r="AG61" s="11">
        <v>7574</v>
      </c>
      <c r="AH61" s="11">
        <v>45</v>
      </c>
      <c r="AI61" s="12">
        <v>192213.66666666669</v>
      </c>
      <c r="AJ61" s="12">
        <v>504.93333333333328</v>
      </c>
      <c r="AK61" s="13">
        <v>0.65174259224602982</v>
      </c>
      <c r="AL61" s="11"/>
      <c r="AM61" s="11"/>
      <c r="AN61" s="11"/>
      <c r="AO61" s="12"/>
      <c r="AP61" s="12"/>
      <c r="AQ61" s="13"/>
      <c r="AR61" s="11"/>
      <c r="AS61" s="11"/>
      <c r="AT61" s="11"/>
      <c r="AU61" s="12"/>
      <c r="AV61" s="12"/>
      <c r="AW61" s="13"/>
      <c r="AX61" s="11"/>
      <c r="AY61" s="11"/>
      <c r="AZ61" s="11"/>
      <c r="BA61" s="12"/>
      <c r="BB61" s="12"/>
      <c r="BC61" s="13"/>
      <c r="BD61" s="11"/>
      <c r="BE61" s="11"/>
      <c r="BF61" s="11"/>
      <c r="BG61" s="12"/>
      <c r="BH61" s="12"/>
      <c r="BI61" s="13"/>
      <c r="BJ61" s="11"/>
      <c r="BK61" s="11"/>
      <c r="BL61" s="11"/>
      <c r="BM61" s="12"/>
      <c r="BN61" s="12"/>
      <c r="BO61" s="13"/>
      <c r="BP61" s="11"/>
      <c r="BQ61" s="11"/>
      <c r="BR61" s="11"/>
      <c r="BS61" s="12"/>
      <c r="BT61" s="12"/>
      <c r="BU61" s="13"/>
      <c r="BV61" s="11"/>
      <c r="BW61" s="11"/>
      <c r="BX61" s="11"/>
      <c r="BY61" s="12"/>
      <c r="BZ61" s="12"/>
      <c r="CA61" s="13"/>
      <c r="CB61" s="11"/>
      <c r="CC61" s="11"/>
      <c r="CD61" s="11"/>
      <c r="CE61" s="12"/>
      <c r="CF61" s="12"/>
      <c r="CG61" s="13"/>
      <c r="CJ61" s="11"/>
      <c r="CK61" s="12"/>
      <c r="CL61" s="12"/>
      <c r="CM61" s="13"/>
      <c r="CN61" s="11"/>
      <c r="CO61" s="11"/>
      <c r="CP61" s="11"/>
    </row>
    <row r="62" spans="1:94" x14ac:dyDescent="0.25">
      <c r="A62" s="19" t="s">
        <v>56</v>
      </c>
      <c r="B62" s="8">
        <v>2870554.1983333337</v>
      </c>
      <c r="C62" s="8">
        <v>5861.75</v>
      </c>
      <c r="D62" s="8">
        <v>634</v>
      </c>
      <c r="E62" s="9">
        <v>162996.76835962146</v>
      </c>
      <c r="F62" s="9">
        <v>332.84384858044166</v>
      </c>
      <c r="G62" s="10">
        <v>0.57109868855229762</v>
      </c>
      <c r="H62" s="8">
        <v>3496893.8578000003</v>
      </c>
      <c r="I62" s="8">
        <v>7151.5</v>
      </c>
      <c r="J62" s="8">
        <v>587</v>
      </c>
      <c r="K62" s="9">
        <v>178716.89222146507</v>
      </c>
      <c r="L62" s="9">
        <v>365.49403747870531</v>
      </c>
      <c r="M62" s="10">
        <v>0.57028148106289034</v>
      </c>
      <c r="N62" s="8">
        <f t="shared" si="12"/>
        <v>3035094.3333333335</v>
      </c>
      <c r="O62" s="8">
        <f t="shared" si="13"/>
        <v>6148.666666666667</v>
      </c>
      <c r="P62" s="8">
        <f t="shared" si="14"/>
        <v>127</v>
      </c>
      <c r="Q62" s="9">
        <f t="shared" si="15"/>
        <v>215085.42519685038</v>
      </c>
      <c r="R62" s="9">
        <f t="shared" si="16"/>
        <v>435.73228346456693</v>
      </c>
      <c r="S62" s="10">
        <f t="shared" si="17"/>
        <v>0.54527096193101821</v>
      </c>
      <c r="T62" s="11">
        <v>2675265</v>
      </c>
      <c r="U62" s="11">
        <v>2564</v>
      </c>
      <c r="V62" s="11">
        <v>35</v>
      </c>
      <c r="W62" s="12">
        <v>229308.42857142861</v>
      </c>
      <c r="X62" s="12">
        <v>219.77142857142849</v>
      </c>
      <c r="Y62" s="13">
        <v>0.39370269257198998</v>
      </c>
      <c r="Z62" s="11">
        <v>2478007</v>
      </c>
      <c r="AA62" s="11">
        <v>5324</v>
      </c>
      <c r="AB62" s="11">
        <v>41</v>
      </c>
      <c r="AC62" s="12">
        <v>181317.58536585371</v>
      </c>
      <c r="AD62" s="12">
        <v>389.56097560975599</v>
      </c>
      <c r="AE62" s="13">
        <v>0.58694001578243482</v>
      </c>
      <c r="AF62" s="11">
        <v>3952011</v>
      </c>
      <c r="AG62" s="11">
        <v>10558</v>
      </c>
      <c r="AH62" s="11">
        <v>51</v>
      </c>
      <c r="AI62" s="12">
        <v>232471.23529411771</v>
      </c>
      <c r="AJ62" s="12">
        <v>621.05882352941182</v>
      </c>
      <c r="AK62" s="13">
        <v>0.65517017743862982</v>
      </c>
      <c r="AL62" s="11"/>
      <c r="AM62" s="11"/>
      <c r="AN62" s="11"/>
      <c r="AO62" s="12"/>
      <c r="AP62" s="12"/>
      <c r="AQ62" s="13"/>
      <c r="AR62" s="11"/>
      <c r="AS62" s="11"/>
      <c r="AT62" s="11"/>
      <c r="AU62" s="12"/>
      <c r="AV62" s="12"/>
      <c r="AW62" s="13"/>
      <c r="AX62" s="11"/>
      <c r="AY62" s="11"/>
      <c r="AZ62" s="11"/>
      <c r="BA62" s="12"/>
      <c r="BB62" s="12"/>
      <c r="BC62" s="13"/>
      <c r="BD62" s="11"/>
      <c r="BE62" s="11"/>
      <c r="BF62" s="11"/>
      <c r="BG62" s="12"/>
      <c r="BH62" s="12"/>
      <c r="BI62" s="13"/>
      <c r="BJ62" s="11"/>
      <c r="BK62" s="11"/>
      <c r="BL62" s="11"/>
      <c r="BM62" s="12"/>
      <c r="BN62" s="12"/>
      <c r="BO62" s="13"/>
      <c r="BP62" s="11"/>
      <c r="BQ62" s="11"/>
      <c r="BR62" s="11"/>
      <c r="BS62" s="12"/>
      <c r="BT62" s="12"/>
      <c r="BU62" s="13"/>
      <c r="BV62" s="11"/>
      <c r="BW62" s="11"/>
      <c r="BX62" s="11"/>
      <c r="BY62" s="12"/>
      <c r="BZ62" s="12"/>
      <c r="CA62" s="13"/>
      <c r="CB62" s="11"/>
      <c r="CC62" s="11"/>
      <c r="CD62" s="11"/>
      <c r="CE62" s="12"/>
      <c r="CF62" s="12"/>
      <c r="CG62" s="13"/>
      <c r="CJ62" s="11"/>
      <c r="CK62" s="12"/>
      <c r="CL62" s="12"/>
      <c r="CM62" s="13"/>
      <c r="CN62" s="11"/>
      <c r="CO62" s="11"/>
      <c r="CP62" s="11"/>
    </row>
    <row r="63" spans="1:94" x14ac:dyDescent="0.25">
      <c r="A63" s="19" t="s">
        <v>57</v>
      </c>
      <c r="B63" s="8">
        <v>1671425.582727273</v>
      </c>
      <c r="C63" s="8">
        <v>2756.4545454545455</v>
      </c>
      <c r="D63" s="8">
        <v>401</v>
      </c>
      <c r="E63" s="9">
        <v>137548.7387281796</v>
      </c>
      <c r="F63" s="9">
        <v>226.84039900249377</v>
      </c>
      <c r="G63" s="10">
        <v>0.51128201927532113</v>
      </c>
      <c r="H63" s="8">
        <v>7834824.833333333</v>
      </c>
      <c r="I63" s="8">
        <v>13872.416666666666</v>
      </c>
      <c r="J63" s="8">
        <v>863</v>
      </c>
      <c r="K63" s="9">
        <v>326829.30938586325</v>
      </c>
      <c r="L63" s="9">
        <v>578.68713789107767</v>
      </c>
      <c r="M63" s="10">
        <v>0.5314966342522941</v>
      </c>
      <c r="N63" s="8">
        <f t="shared" si="12"/>
        <v>10105116.666666666</v>
      </c>
      <c r="O63" s="8">
        <f t="shared" si="13"/>
        <v>10947.666666666666</v>
      </c>
      <c r="P63" s="8">
        <f t="shared" si="14"/>
        <v>217</v>
      </c>
      <c r="Q63" s="9">
        <f t="shared" si="15"/>
        <v>419106.22119815665</v>
      </c>
      <c r="R63" s="9">
        <f t="shared" si="16"/>
        <v>454.0506912442396</v>
      </c>
      <c r="S63" s="10">
        <f t="shared" si="17"/>
        <v>0.41906627275692448</v>
      </c>
      <c r="T63" s="11">
        <v>9298604</v>
      </c>
      <c r="U63" s="11">
        <v>11728</v>
      </c>
      <c r="V63" s="11">
        <v>79</v>
      </c>
      <c r="W63" s="12">
        <v>353111.54430379742</v>
      </c>
      <c r="X63" s="12">
        <v>445.36708860759501</v>
      </c>
      <c r="Y63" s="13">
        <v>0.45327287608351141</v>
      </c>
      <c r="Z63" s="11">
        <v>10946042</v>
      </c>
      <c r="AA63" s="11">
        <v>11653</v>
      </c>
      <c r="AB63" s="11">
        <v>69</v>
      </c>
      <c r="AC63" s="12">
        <v>475914.86956521729</v>
      </c>
      <c r="AD63" s="12">
        <v>506.6521739130435</v>
      </c>
      <c r="AE63" s="13">
        <v>0.41447975257052588</v>
      </c>
      <c r="AF63" s="11">
        <v>10070704</v>
      </c>
      <c r="AG63" s="11">
        <v>9462</v>
      </c>
      <c r="AH63" s="11">
        <v>69</v>
      </c>
      <c r="AI63" s="12">
        <v>437856.69565217389</v>
      </c>
      <c r="AJ63" s="12">
        <v>411.39130434782612</v>
      </c>
      <c r="AK63" s="13">
        <v>0.38944618961673599</v>
      </c>
      <c r="AL63" s="11"/>
      <c r="AM63" s="11"/>
      <c r="AN63" s="11"/>
      <c r="AO63" s="12"/>
      <c r="AP63" s="12"/>
      <c r="AQ63" s="13"/>
      <c r="AR63" s="11"/>
      <c r="AS63" s="11"/>
      <c r="AT63" s="11"/>
      <c r="AU63" s="12"/>
      <c r="AV63" s="12"/>
      <c r="AW63" s="13"/>
      <c r="AX63" s="11"/>
      <c r="AY63" s="11"/>
      <c r="AZ63" s="11"/>
      <c r="BA63" s="12"/>
      <c r="BB63" s="12"/>
      <c r="BC63" s="13"/>
      <c r="BD63" s="11"/>
      <c r="BE63" s="11"/>
      <c r="BF63" s="11"/>
      <c r="BG63" s="12"/>
      <c r="BH63" s="12"/>
      <c r="BI63" s="13"/>
      <c r="BJ63" s="11"/>
      <c r="BK63" s="11"/>
      <c r="BL63" s="11"/>
      <c r="BM63" s="12"/>
      <c r="BN63" s="12"/>
      <c r="BO63" s="13"/>
      <c r="BP63" s="11"/>
      <c r="BQ63" s="11"/>
      <c r="BR63" s="11"/>
      <c r="BS63" s="12"/>
      <c r="BT63" s="12"/>
      <c r="BU63" s="13"/>
      <c r="BV63" s="11"/>
      <c r="BW63" s="11"/>
      <c r="BX63" s="11"/>
      <c r="BY63" s="12"/>
      <c r="BZ63" s="12"/>
      <c r="CA63" s="13"/>
      <c r="CB63" s="11"/>
      <c r="CC63" s="11"/>
      <c r="CD63" s="11"/>
      <c r="CE63" s="12"/>
      <c r="CF63" s="12"/>
      <c r="CG63" s="13"/>
      <c r="CJ63" s="11"/>
      <c r="CK63" s="12"/>
      <c r="CL63" s="12"/>
      <c r="CM63" s="13"/>
      <c r="CN63" s="11"/>
      <c r="CO63" s="11"/>
      <c r="CP63" s="11"/>
    </row>
    <row r="64" spans="1:94" x14ac:dyDescent="0.25">
      <c r="A64" s="19" t="s">
        <v>58</v>
      </c>
      <c r="B64" s="8">
        <v>1669999.4790909095</v>
      </c>
      <c r="C64" s="8">
        <v>2304.3636363636365</v>
      </c>
      <c r="D64" s="8">
        <v>380</v>
      </c>
      <c r="E64" s="9">
        <v>145026.27055263161</v>
      </c>
      <c r="F64" s="9">
        <v>200.1157894736842</v>
      </c>
      <c r="G64" s="10">
        <v>0.46771113464546871</v>
      </c>
      <c r="H64" s="8">
        <v>9040118.4433333334</v>
      </c>
      <c r="I64" s="8">
        <v>11808.166666666666</v>
      </c>
      <c r="J64" s="8">
        <v>882</v>
      </c>
      <c r="K64" s="9">
        <v>368984.4262585034</v>
      </c>
      <c r="L64" s="9">
        <v>481.96598639455783</v>
      </c>
      <c r="M64" s="10">
        <v>0.46072533202659299</v>
      </c>
      <c r="N64" s="8">
        <f t="shared" si="12"/>
        <v>8200308.666666667</v>
      </c>
      <c r="O64" s="8">
        <f t="shared" si="13"/>
        <v>11671</v>
      </c>
      <c r="P64" s="8">
        <f t="shared" si="14"/>
        <v>215</v>
      </c>
      <c r="Q64" s="9">
        <f t="shared" si="15"/>
        <v>343268.73488372093</v>
      </c>
      <c r="R64" s="9">
        <f t="shared" si="16"/>
        <v>488.55348837209306</v>
      </c>
      <c r="S64" s="10">
        <f t="shared" si="17"/>
        <v>0.49054923869812894</v>
      </c>
      <c r="T64" s="11">
        <v>10280587</v>
      </c>
      <c r="U64" s="11">
        <v>10448</v>
      </c>
      <c r="V64" s="11">
        <v>75</v>
      </c>
      <c r="W64" s="12">
        <v>411223.48</v>
      </c>
      <c r="X64" s="12">
        <v>417.92</v>
      </c>
      <c r="Y64" s="13">
        <v>0.40359638648689272</v>
      </c>
      <c r="Z64" s="11">
        <v>5607806</v>
      </c>
      <c r="AA64" s="11">
        <v>12008</v>
      </c>
      <c r="AB64" s="11">
        <v>71</v>
      </c>
      <c r="AC64" s="12">
        <v>236949.5492957746</v>
      </c>
      <c r="AD64" s="12">
        <v>507.38028169014092</v>
      </c>
      <c r="AE64" s="13">
        <v>0.58669272877070222</v>
      </c>
      <c r="AF64" s="11">
        <v>8712533</v>
      </c>
      <c r="AG64" s="11">
        <v>12557</v>
      </c>
      <c r="AH64" s="11">
        <v>69</v>
      </c>
      <c r="AI64" s="12">
        <v>378805.78260869562</v>
      </c>
      <c r="AJ64" s="12">
        <v>545.95652173913049</v>
      </c>
      <c r="AK64" s="13">
        <v>0.48135860083679188</v>
      </c>
      <c r="AL64" s="11"/>
      <c r="AM64" s="11"/>
      <c r="AN64" s="11"/>
      <c r="AO64" s="12"/>
      <c r="AP64" s="12"/>
      <c r="AQ64" s="13"/>
      <c r="AR64" s="11"/>
      <c r="AS64" s="11"/>
      <c r="AT64" s="11"/>
      <c r="AU64" s="12"/>
      <c r="AV64" s="12"/>
      <c r="AW64" s="13"/>
      <c r="AX64" s="11"/>
      <c r="AY64" s="11"/>
      <c r="AZ64" s="11"/>
      <c r="BA64" s="12"/>
      <c r="BB64" s="12"/>
      <c r="BC64" s="13"/>
      <c r="BD64" s="11"/>
      <c r="BE64" s="11"/>
      <c r="BF64" s="11"/>
      <c r="BG64" s="12"/>
      <c r="BH64" s="12"/>
      <c r="BI64" s="13"/>
      <c r="BJ64" s="11"/>
      <c r="BK64" s="11"/>
      <c r="BL64" s="11"/>
      <c r="BM64" s="12"/>
      <c r="BN64" s="12"/>
      <c r="BO64" s="13"/>
      <c r="BP64" s="11"/>
      <c r="BQ64" s="11"/>
      <c r="BR64" s="11"/>
      <c r="BS64" s="12"/>
      <c r="BT64" s="12"/>
      <c r="BU64" s="13"/>
      <c r="BV64" s="11"/>
      <c r="BW64" s="11"/>
      <c r="BX64" s="11"/>
      <c r="BY64" s="12"/>
      <c r="BZ64" s="12"/>
      <c r="CA64" s="13"/>
      <c r="CB64" s="11"/>
      <c r="CC64" s="11"/>
      <c r="CD64" s="11"/>
      <c r="CE64" s="12"/>
      <c r="CF64" s="12"/>
      <c r="CG64" s="13"/>
      <c r="CJ64" s="11"/>
      <c r="CK64" s="12"/>
      <c r="CL64" s="12"/>
      <c r="CM64" s="13"/>
      <c r="CN64" s="11"/>
      <c r="CO64" s="11"/>
      <c r="CP64" s="11"/>
    </row>
    <row r="65" spans="1:94" x14ac:dyDescent="0.25">
      <c r="A65" s="19" t="s">
        <v>59</v>
      </c>
      <c r="B65" s="8">
        <v>1713672.0439999998</v>
      </c>
      <c r="C65" s="8">
        <v>2333.6999999999998</v>
      </c>
      <c r="D65" s="8">
        <v>304</v>
      </c>
      <c r="E65" s="9">
        <v>169112.37276315788</v>
      </c>
      <c r="F65" s="9">
        <v>230.29934210526318</v>
      </c>
      <c r="G65" s="10">
        <v>0.46456628468980682</v>
      </c>
      <c r="H65" s="8">
        <v>6899940.4699999988</v>
      </c>
      <c r="I65" s="8">
        <v>11531.166666666666</v>
      </c>
      <c r="J65" s="8">
        <v>804</v>
      </c>
      <c r="K65" s="9">
        <v>308952.55835820886</v>
      </c>
      <c r="L65" s="9">
        <v>516.32089552238813</v>
      </c>
      <c r="M65" s="10">
        <v>0.5095252851308506</v>
      </c>
      <c r="N65" s="8">
        <f t="shared" si="12"/>
        <v>10106870.333333334</v>
      </c>
      <c r="O65" s="8">
        <f t="shared" si="13"/>
        <v>10573.333333333334</v>
      </c>
      <c r="P65" s="8">
        <f t="shared" si="14"/>
        <v>216</v>
      </c>
      <c r="Q65" s="9">
        <f t="shared" si="15"/>
        <v>421119.59722222225</v>
      </c>
      <c r="R65" s="9">
        <f t="shared" si="16"/>
        <v>440.55555555555554</v>
      </c>
      <c r="S65" s="10">
        <f t="shared" si="17"/>
        <v>0.41033918154621984</v>
      </c>
      <c r="T65" s="11">
        <v>9995292</v>
      </c>
      <c r="U65" s="11">
        <v>11165</v>
      </c>
      <c r="V65" s="11">
        <v>80</v>
      </c>
      <c r="W65" s="12">
        <v>374823.45</v>
      </c>
      <c r="X65" s="12">
        <v>418.6875</v>
      </c>
      <c r="Y65" s="13">
        <v>0.42431800606224862</v>
      </c>
      <c r="Z65" s="11">
        <v>9907050</v>
      </c>
      <c r="AA65" s="11">
        <v>9904</v>
      </c>
      <c r="AB65" s="11">
        <v>68</v>
      </c>
      <c r="AC65" s="12">
        <v>437075.73529411759</v>
      </c>
      <c r="AD65" s="12">
        <v>436.94117647058829</v>
      </c>
      <c r="AE65" s="13">
        <v>0.4006887026125775</v>
      </c>
      <c r="AF65" s="11">
        <v>10418269</v>
      </c>
      <c r="AG65" s="11">
        <v>10651</v>
      </c>
      <c r="AH65" s="11">
        <v>68</v>
      </c>
      <c r="AI65" s="12">
        <v>459629.51470588241</v>
      </c>
      <c r="AJ65" s="12">
        <v>469.89705882352939</v>
      </c>
      <c r="AK65" s="13">
        <v>0.40601083596383353</v>
      </c>
      <c r="AL65" s="11"/>
      <c r="AM65" s="11"/>
      <c r="AN65" s="11"/>
      <c r="AO65" s="12"/>
      <c r="AP65" s="12"/>
      <c r="AQ65" s="13"/>
      <c r="AR65" s="11"/>
      <c r="AS65" s="11"/>
      <c r="AT65" s="11"/>
      <c r="AU65" s="12"/>
      <c r="AV65" s="12"/>
      <c r="AW65" s="13"/>
      <c r="AX65" s="11"/>
      <c r="AY65" s="11"/>
      <c r="AZ65" s="11"/>
      <c r="BA65" s="12"/>
      <c r="BB65" s="12"/>
      <c r="BC65" s="13"/>
      <c r="BD65" s="11"/>
      <c r="BE65" s="11"/>
      <c r="BF65" s="11"/>
      <c r="BG65" s="12"/>
      <c r="BH65" s="12"/>
      <c r="BI65" s="13"/>
      <c r="BJ65" s="11"/>
      <c r="BK65" s="11"/>
      <c r="BL65" s="11"/>
      <c r="BM65" s="12"/>
      <c r="BN65" s="12"/>
      <c r="BO65" s="13"/>
      <c r="BP65" s="11"/>
      <c r="BQ65" s="11"/>
      <c r="BR65" s="11"/>
      <c r="BS65" s="12"/>
      <c r="BT65" s="12"/>
      <c r="BU65" s="13"/>
      <c r="BV65" s="11"/>
      <c r="BW65" s="11"/>
      <c r="BX65" s="11"/>
      <c r="BY65" s="12"/>
      <c r="BZ65" s="12"/>
      <c r="CA65" s="13"/>
      <c r="CB65" s="11"/>
      <c r="CC65" s="11"/>
      <c r="CD65" s="11"/>
      <c r="CE65" s="12"/>
      <c r="CF65" s="12"/>
      <c r="CG65" s="13"/>
      <c r="CJ65" s="11"/>
      <c r="CK65" s="12"/>
      <c r="CL65" s="12"/>
      <c r="CM65" s="13"/>
      <c r="CN65" s="11"/>
      <c r="CO65" s="11"/>
      <c r="CP65" s="11"/>
    </row>
    <row r="66" spans="1:94" x14ac:dyDescent="0.25">
      <c r="A66" s="19" t="s">
        <v>60</v>
      </c>
      <c r="B66" s="8">
        <v>2849247.3963636365</v>
      </c>
      <c r="C66" s="8">
        <v>3266.4545454545455</v>
      </c>
      <c r="D66" s="8">
        <v>489</v>
      </c>
      <c r="E66" s="9">
        <v>192280.49914110429</v>
      </c>
      <c r="F66" s="9">
        <v>220.43558282208591</v>
      </c>
      <c r="G66" s="10">
        <v>0.42751857982164831</v>
      </c>
      <c r="H66" s="8">
        <v>6979049.6599999992</v>
      </c>
      <c r="I66" s="8">
        <v>11615.416666666666</v>
      </c>
      <c r="J66" s="8">
        <v>812</v>
      </c>
      <c r="K66" s="9">
        <v>309415.99477832508</v>
      </c>
      <c r="L66" s="9">
        <v>514.9692118226601</v>
      </c>
      <c r="M66" s="10">
        <v>0.51628676488436975</v>
      </c>
      <c r="N66" s="8">
        <f t="shared" si="12"/>
        <v>9682343.666666666</v>
      </c>
      <c r="O66" s="8">
        <f t="shared" si="13"/>
        <v>17809</v>
      </c>
      <c r="P66" s="8">
        <f t="shared" si="14"/>
        <v>216</v>
      </c>
      <c r="Q66" s="9">
        <f t="shared" si="15"/>
        <v>403430.98611111112</v>
      </c>
      <c r="R66" s="9">
        <f t="shared" si="16"/>
        <v>742.04166666666674</v>
      </c>
      <c r="S66" s="10">
        <f t="shared" si="17"/>
        <v>0.54520654345610231</v>
      </c>
      <c r="T66" s="11">
        <v>8918165</v>
      </c>
      <c r="U66" s="11">
        <v>23922</v>
      </c>
      <c r="V66" s="11">
        <v>78</v>
      </c>
      <c r="W66" s="12">
        <v>343006.34615384613</v>
      </c>
      <c r="X66" s="12">
        <v>920.07692307692309</v>
      </c>
      <c r="Y66" s="13">
        <v>0.6565994492967282</v>
      </c>
      <c r="Z66" s="11">
        <v>8799552</v>
      </c>
      <c r="AA66" s="11">
        <v>17144</v>
      </c>
      <c r="AB66" s="11">
        <v>69</v>
      </c>
      <c r="AC66" s="12">
        <v>382589.21739130432</v>
      </c>
      <c r="AD66" s="12">
        <v>745.39130434782612</v>
      </c>
      <c r="AE66" s="13">
        <v>0.5597006790416128</v>
      </c>
      <c r="AF66" s="11">
        <v>11329314</v>
      </c>
      <c r="AG66" s="11">
        <v>12361</v>
      </c>
      <c r="AH66" s="11">
        <v>69</v>
      </c>
      <c r="AI66" s="12">
        <v>492578.86956521741</v>
      </c>
      <c r="AJ66" s="12">
        <v>537.43478260869563</v>
      </c>
      <c r="AK66" s="13">
        <v>0.41931950202996582</v>
      </c>
      <c r="AL66" s="11"/>
      <c r="AM66" s="11"/>
      <c r="AN66" s="11"/>
      <c r="AO66" s="12"/>
      <c r="AP66" s="12"/>
      <c r="AQ66" s="13"/>
      <c r="AR66" s="11"/>
      <c r="AS66" s="11"/>
      <c r="AT66" s="11"/>
      <c r="AU66" s="12"/>
      <c r="AV66" s="12"/>
      <c r="AW66" s="13"/>
      <c r="AX66" s="11"/>
      <c r="AY66" s="11"/>
      <c r="AZ66" s="11"/>
      <c r="BA66" s="12"/>
      <c r="BB66" s="12"/>
      <c r="BC66" s="13"/>
      <c r="BD66" s="11"/>
      <c r="BE66" s="11"/>
      <c r="BF66" s="11"/>
      <c r="BG66" s="12"/>
      <c r="BH66" s="12"/>
      <c r="BI66" s="13"/>
      <c r="BJ66" s="11"/>
      <c r="BK66" s="11"/>
      <c r="BL66" s="11"/>
      <c r="BM66" s="12"/>
      <c r="BN66" s="12"/>
      <c r="BO66" s="13"/>
      <c r="BP66" s="11"/>
      <c r="BQ66" s="11"/>
      <c r="BR66" s="11"/>
      <c r="BS66" s="12"/>
      <c r="BT66" s="12"/>
      <c r="BU66" s="13"/>
      <c r="BV66" s="11"/>
      <c r="BW66" s="11"/>
      <c r="BX66" s="11"/>
      <c r="BY66" s="12"/>
      <c r="BZ66" s="12"/>
      <c r="CA66" s="13"/>
      <c r="CB66" s="11"/>
      <c r="CC66" s="11"/>
      <c r="CD66" s="11"/>
      <c r="CE66" s="12"/>
      <c r="CF66" s="12"/>
      <c r="CG66" s="13"/>
      <c r="CJ66" s="11"/>
      <c r="CK66" s="12"/>
      <c r="CL66" s="12"/>
      <c r="CM66" s="13"/>
      <c r="CN66" s="11"/>
      <c r="CO66" s="11"/>
      <c r="CP66" s="11"/>
    </row>
    <row r="67" spans="1:94" x14ac:dyDescent="0.25">
      <c r="A67" s="19" t="s">
        <v>61</v>
      </c>
      <c r="B67" s="8">
        <v>3328188.8333333335</v>
      </c>
      <c r="C67" s="8">
        <v>8862.5833333333339</v>
      </c>
      <c r="D67" s="8">
        <v>733</v>
      </c>
      <c r="E67" s="9">
        <v>163458.11459754434</v>
      </c>
      <c r="F67" s="9">
        <v>435.27012278308325</v>
      </c>
      <c r="G67" s="10">
        <v>0.65322637637873149</v>
      </c>
      <c r="H67" s="8">
        <v>4111189.8670000001</v>
      </c>
      <c r="I67" s="8">
        <v>9623.75</v>
      </c>
      <c r="J67" s="8">
        <v>861</v>
      </c>
      <c r="K67" s="9">
        <v>171896.44043205574</v>
      </c>
      <c r="L67" s="9">
        <v>402.38675958188151</v>
      </c>
      <c r="M67" s="10">
        <v>0.6115444850894346</v>
      </c>
      <c r="N67" s="8">
        <f t="shared" si="12"/>
        <v>5339562</v>
      </c>
      <c r="O67" s="8">
        <f t="shared" si="13"/>
        <v>12170</v>
      </c>
      <c r="P67" s="8">
        <f t="shared" si="14"/>
        <v>222</v>
      </c>
      <c r="Q67" s="9">
        <f t="shared" si="15"/>
        <v>216468.7297297297</v>
      </c>
      <c r="R67" s="9">
        <f t="shared" si="16"/>
        <v>493.37837837837833</v>
      </c>
      <c r="S67" s="10">
        <f t="shared" si="17"/>
        <v>0.60333889732868429</v>
      </c>
      <c r="T67" s="11">
        <v>5935742</v>
      </c>
      <c r="U67" s="11">
        <v>15506</v>
      </c>
      <c r="V67" s="11">
        <v>81</v>
      </c>
      <c r="W67" s="12">
        <v>219842.29629629629</v>
      </c>
      <c r="X67" s="12">
        <v>574.2962962962963</v>
      </c>
      <c r="Y67" s="13">
        <v>0.65063865438234447</v>
      </c>
      <c r="Z67" s="11">
        <v>4757561</v>
      </c>
      <c r="AA67" s="11">
        <v>8768</v>
      </c>
      <c r="AB67" s="11">
        <v>72</v>
      </c>
      <c r="AC67" s="12">
        <v>198231.70833333331</v>
      </c>
      <c r="AD67" s="12">
        <v>365.33333333333331</v>
      </c>
      <c r="AE67" s="13">
        <v>0.54854753703301518</v>
      </c>
      <c r="AF67" s="11">
        <v>5325383</v>
      </c>
      <c r="AG67" s="11">
        <v>12236</v>
      </c>
      <c r="AH67" s="11">
        <v>69</v>
      </c>
      <c r="AI67" s="12">
        <v>231538.39130434781</v>
      </c>
      <c r="AJ67" s="12">
        <v>532</v>
      </c>
      <c r="AK67" s="13">
        <v>0.6108305005706931</v>
      </c>
      <c r="AL67" s="11"/>
      <c r="AM67" s="11"/>
      <c r="AN67" s="11"/>
      <c r="AO67" s="12"/>
      <c r="AP67" s="12"/>
      <c r="AQ67" s="13"/>
      <c r="AR67" s="11"/>
      <c r="AS67" s="11"/>
      <c r="AT67" s="11"/>
      <c r="AU67" s="12"/>
      <c r="AV67" s="12"/>
      <c r="AW67" s="13"/>
      <c r="AX67" s="11"/>
      <c r="AY67" s="11"/>
      <c r="AZ67" s="11"/>
      <c r="BA67" s="12"/>
      <c r="BB67" s="12"/>
      <c r="BC67" s="13"/>
      <c r="BD67" s="11"/>
      <c r="BE67" s="11"/>
      <c r="BF67" s="11"/>
      <c r="BG67" s="12"/>
      <c r="BH67" s="12"/>
      <c r="BI67" s="13"/>
      <c r="BJ67" s="11"/>
      <c r="BK67" s="11"/>
      <c r="BL67" s="11"/>
      <c r="BM67" s="12"/>
      <c r="BN67" s="12"/>
      <c r="BO67" s="13"/>
      <c r="BP67" s="11"/>
      <c r="BQ67" s="11"/>
      <c r="BR67" s="11"/>
      <c r="BS67" s="12"/>
      <c r="BT67" s="12"/>
      <c r="BU67" s="13"/>
      <c r="BV67" s="11"/>
      <c r="BW67" s="11"/>
      <c r="BX67" s="11"/>
      <c r="BY67" s="12"/>
      <c r="BZ67" s="12"/>
      <c r="CA67" s="13"/>
      <c r="CB67" s="11"/>
      <c r="CC67" s="11"/>
      <c r="CD67" s="11"/>
      <c r="CE67" s="12"/>
      <c r="CF67" s="12"/>
      <c r="CG67" s="13"/>
      <c r="CJ67" s="11"/>
      <c r="CK67" s="12"/>
      <c r="CL67" s="12"/>
      <c r="CM67" s="13"/>
      <c r="CN67" s="11"/>
      <c r="CO67" s="11"/>
      <c r="CP67" s="11"/>
    </row>
    <row r="68" spans="1:94" x14ac:dyDescent="0.25">
      <c r="A68" s="20" t="s">
        <v>62</v>
      </c>
      <c r="B68" s="8">
        <v>3824829.5</v>
      </c>
      <c r="C68" s="8">
        <v>10479.666666666666</v>
      </c>
      <c r="D68" s="8">
        <v>747</v>
      </c>
      <c r="E68" s="9">
        <v>184329.13253012049</v>
      </c>
      <c r="F68" s="9">
        <v>505.04417670682733</v>
      </c>
      <c r="G68" s="10">
        <v>0.66293595305784758</v>
      </c>
      <c r="H68" s="8">
        <v>4730097.7641666671</v>
      </c>
      <c r="I68" s="8">
        <v>12089</v>
      </c>
      <c r="J68" s="8">
        <v>855</v>
      </c>
      <c r="K68" s="9">
        <v>199162.01112280702</v>
      </c>
      <c r="L68" s="9">
        <v>509.01052631578943</v>
      </c>
      <c r="M68" s="10">
        <v>0.64410768495977966</v>
      </c>
      <c r="N68" s="8">
        <f t="shared" si="12"/>
        <v>6565933.333333333</v>
      </c>
      <c r="O68" s="8">
        <f t="shared" si="13"/>
        <v>17627.333333333332</v>
      </c>
      <c r="P68" s="8">
        <f t="shared" si="14"/>
        <v>223</v>
      </c>
      <c r="Q68" s="9">
        <f t="shared" si="15"/>
        <v>264992.82511210762</v>
      </c>
      <c r="R68" s="9">
        <f t="shared" si="16"/>
        <v>711.41704035874443</v>
      </c>
      <c r="S68" s="10">
        <f t="shared" si="17"/>
        <v>0.65752433780476938</v>
      </c>
      <c r="T68" s="11">
        <v>6055582</v>
      </c>
      <c r="U68" s="11">
        <v>16030</v>
      </c>
      <c r="V68" s="11">
        <v>81</v>
      </c>
      <c r="W68" s="12">
        <v>224280.8148148148</v>
      </c>
      <c r="X68" s="12">
        <v>593.7037037037037</v>
      </c>
      <c r="Y68" s="13">
        <v>0.65437553251983505</v>
      </c>
      <c r="Z68" s="11">
        <v>7129940</v>
      </c>
      <c r="AA68" s="11">
        <v>19324</v>
      </c>
      <c r="AB68" s="11">
        <v>73</v>
      </c>
      <c r="AC68" s="12">
        <v>293011.23287671228</v>
      </c>
      <c r="AD68" s="12">
        <v>794.1369863013698</v>
      </c>
      <c r="AE68" s="13">
        <v>0.66</v>
      </c>
      <c r="AF68" s="11">
        <v>6512278</v>
      </c>
      <c r="AG68" s="11">
        <v>17528</v>
      </c>
      <c r="AH68" s="11">
        <v>69</v>
      </c>
      <c r="AI68" s="12">
        <v>283142.52173913037</v>
      </c>
      <c r="AJ68" s="12">
        <v>762.08695652173913</v>
      </c>
      <c r="AK68" s="13">
        <v>0.65819748089447327</v>
      </c>
      <c r="AL68" s="11"/>
      <c r="AM68" s="11"/>
      <c r="AN68" s="11"/>
      <c r="AO68" s="12"/>
      <c r="AP68" s="12"/>
      <c r="AQ68" s="13"/>
      <c r="AR68" s="11"/>
      <c r="AS68" s="11"/>
      <c r="AT68" s="11"/>
      <c r="AU68" s="12"/>
      <c r="AV68" s="12"/>
      <c r="AW68" s="13"/>
      <c r="AX68" s="11"/>
      <c r="AY68" s="11"/>
      <c r="AZ68" s="11"/>
      <c r="BA68" s="12"/>
      <c r="BB68" s="12"/>
      <c r="BC68" s="13"/>
      <c r="BD68" s="11"/>
      <c r="BE68" s="11"/>
      <c r="BF68" s="11"/>
      <c r="BG68" s="12"/>
      <c r="BH68" s="12"/>
      <c r="BI68" s="13"/>
      <c r="BJ68" s="11"/>
      <c r="BK68" s="11"/>
      <c r="BL68" s="11"/>
      <c r="BM68" s="12"/>
      <c r="BN68" s="12"/>
      <c r="BO68" s="13"/>
      <c r="BP68" s="11"/>
      <c r="BQ68" s="11"/>
      <c r="BR68" s="11"/>
      <c r="BS68" s="12"/>
      <c r="BT68" s="12"/>
      <c r="BU68" s="13"/>
      <c r="BV68" s="11"/>
      <c r="BW68" s="11"/>
      <c r="BX68" s="11"/>
      <c r="BY68" s="12"/>
      <c r="BZ68" s="12"/>
      <c r="CA68" s="13"/>
      <c r="CB68" s="11"/>
      <c r="CC68" s="11"/>
      <c r="CD68" s="11"/>
      <c r="CE68" s="12"/>
      <c r="CF68" s="12"/>
      <c r="CG68" s="13"/>
      <c r="CJ68" s="11"/>
      <c r="CK68" s="12"/>
      <c r="CL68" s="12"/>
      <c r="CM68" s="13"/>
      <c r="CN68" s="11"/>
      <c r="CO68" s="11"/>
      <c r="CP68" s="11"/>
    </row>
    <row r="69" spans="1:94" x14ac:dyDescent="0.25">
      <c r="A69" s="20" t="s">
        <v>63</v>
      </c>
      <c r="B69" s="8">
        <v>3613505.9166666665</v>
      </c>
      <c r="C69" s="8">
        <v>9675.5833333333339</v>
      </c>
      <c r="D69" s="8">
        <v>767</v>
      </c>
      <c r="E69" s="9">
        <v>169603.92829204694</v>
      </c>
      <c r="F69" s="9">
        <v>454.13428943937419</v>
      </c>
      <c r="G69" s="10">
        <v>0.65506674611564086</v>
      </c>
      <c r="H69" s="8">
        <v>3776781.3280000002</v>
      </c>
      <c r="I69" s="8">
        <v>9741.8333333333339</v>
      </c>
      <c r="J69" s="8">
        <v>857</v>
      </c>
      <c r="K69" s="9">
        <v>158651.25765227538</v>
      </c>
      <c r="L69" s="9">
        <v>409.22520420070009</v>
      </c>
      <c r="M69" s="10">
        <v>0.64215335184877353</v>
      </c>
      <c r="N69" s="8">
        <f t="shared" si="12"/>
        <v>5687870</v>
      </c>
      <c r="O69" s="8">
        <f t="shared" si="13"/>
        <v>14349.666666666666</v>
      </c>
      <c r="P69" s="8">
        <f t="shared" si="14"/>
        <v>224</v>
      </c>
      <c r="Q69" s="9">
        <f t="shared" si="15"/>
        <v>228530.49107142858</v>
      </c>
      <c r="R69" s="9">
        <f t="shared" si="16"/>
        <v>576.54910714285711</v>
      </c>
      <c r="S69" s="10">
        <f t="shared" si="17"/>
        <v>0.63485591628311056</v>
      </c>
      <c r="T69" s="11">
        <v>4627717</v>
      </c>
      <c r="U69" s="11">
        <v>10379</v>
      </c>
      <c r="V69" s="11">
        <v>81</v>
      </c>
      <c r="W69" s="12">
        <v>171396.9259259259</v>
      </c>
      <c r="X69" s="12">
        <v>384.40740740740739</v>
      </c>
      <c r="Y69" s="13">
        <v>0.60247032193935024</v>
      </c>
      <c r="Z69" s="11">
        <v>5788760</v>
      </c>
      <c r="AA69" s="11">
        <v>15243</v>
      </c>
      <c r="AB69" s="11">
        <v>74</v>
      </c>
      <c r="AC69" s="12">
        <v>234679.45945945941</v>
      </c>
      <c r="AD69" s="12">
        <v>617.95945945945948</v>
      </c>
      <c r="AE69" s="13">
        <v>0.65198442098768705</v>
      </c>
      <c r="AF69" s="11">
        <v>6647133</v>
      </c>
      <c r="AG69" s="11">
        <v>17427</v>
      </c>
      <c r="AH69" s="11">
        <v>69</v>
      </c>
      <c r="AI69" s="12">
        <v>289005.78260869568</v>
      </c>
      <c r="AJ69" s="12">
        <v>757.695652173913</v>
      </c>
      <c r="AK69" s="13">
        <v>0.65011300592229437</v>
      </c>
      <c r="AL69" s="11"/>
      <c r="AM69" s="11"/>
      <c r="AN69" s="11"/>
      <c r="AO69" s="12"/>
      <c r="AP69" s="12"/>
      <c r="AQ69" s="13"/>
      <c r="AR69" s="11"/>
      <c r="AS69" s="11"/>
      <c r="AT69" s="11"/>
      <c r="AU69" s="12"/>
      <c r="AV69" s="12"/>
      <c r="AW69" s="13"/>
      <c r="AX69" s="11"/>
      <c r="AY69" s="11"/>
      <c r="AZ69" s="11"/>
      <c r="BA69" s="12"/>
      <c r="BB69" s="12"/>
      <c r="BC69" s="13"/>
      <c r="BD69" s="11"/>
      <c r="BE69" s="11"/>
      <c r="BF69" s="11"/>
      <c r="BG69" s="12"/>
      <c r="BH69" s="12"/>
      <c r="BI69" s="13"/>
      <c r="BJ69" s="11"/>
      <c r="BK69" s="11"/>
      <c r="BL69" s="11"/>
      <c r="BM69" s="12"/>
      <c r="BN69" s="12"/>
      <c r="BO69" s="13"/>
      <c r="BP69" s="11"/>
      <c r="BQ69" s="11"/>
      <c r="BR69" s="11"/>
      <c r="BS69" s="12"/>
      <c r="BT69" s="12"/>
      <c r="BU69" s="13"/>
      <c r="BV69" s="11"/>
      <c r="BW69" s="11"/>
      <c r="BX69" s="11"/>
      <c r="BY69" s="12"/>
      <c r="BZ69" s="12"/>
      <c r="CA69" s="13"/>
      <c r="CB69" s="11"/>
      <c r="CC69" s="11"/>
      <c r="CD69" s="11"/>
      <c r="CE69" s="12"/>
      <c r="CF69" s="12"/>
      <c r="CG69" s="13"/>
      <c r="CJ69" s="11"/>
      <c r="CK69" s="12"/>
      <c r="CL69" s="12"/>
      <c r="CM69" s="13"/>
      <c r="CN69" s="11"/>
      <c r="CO69" s="11"/>
      <c r="CP69" s="11"/>
    </row>
    <row r="70" spans="1:94" x14ac:dyDescent="0.25">
      <c r="A70" s="20" t="s">
        <v>64</v>
      </c>
      <c r="B70" s="8">
        <v>2988880.1666666665</v>
      </c>
      <c r="C70" s="8">
        <v>7278.666666666667</v>
      </c>
      <c r="D70" s="8">
        <v>686</v>
      </c>
      <c r="E70" s="9">
        <v>156850.85422740525</v>
      </c>
      <c r="F70" s="9">
        <v>381.97084548104959</v>
      </c>
      <c r="G70" s="10">
        <v>0.62392209474257676</v>
      </c>
      <c r="H70" s="8">
        <v>3313148.005272727</v>
      </c>
      <c r="I70" s="8">
        <v>8302.454545454546</v>
      </c>
      <c r="J70" s="8">
        <v>563</v>
      </c>
      <c r="K70" s="9">
        <v>194198.72855062166</v>
      </c>
      <c r="L70" s="9">
        <v>486.64476021314391</v>
      </c>
      <c r="M70" s="10">
        <v>0.63040483369146039</v>
      </c>
      <c r="N70" s="8">
        <f t="shared" si="12"/>
        <v>2541847.6666666665</v>
      </c>
      <c r="O70" s="8">
        <f t="shared" si="13"/>
        <v>6161.333333333333</v>
      </c>
      <c r="P70" s="8">
        <f t="shared" si="14"/>
        <v>103</v>
      </c>
      <c r="Q70" s="9">
        <f t="shared" si="15"/>
        <v>222103.19417475729</v>
      </c>
      <c r="R70" s="9">
        <f t="shared" si="16"/>
        <v>538.36893203883494</v>
      </c>
      <c r="S70" s="10">
        <f t="shared" si="17"/>
        <v>0.63519715843209856</v>
      </c>
      <c r="T70" s="11">
        <v>640528</v>
      </c>
      <c r="U70" s="11">
        <v>1736</v>
      </c>
      <c r="V70" s="11">
        <v>8</v>
      </c>
      <c r="W70" s="12">
        <v>240198</v>
      </c>
      <c r="X70" s="12">
        <v>651</v>
      </c>
      <c r="Y70" s="13">
        <v>0.66</v>
      </c>
      <c r="Z70" s="11">
        <v>3090560</v>
      </c>
      <c r="AA70" s="11">
        <v>7828</v>
      </c>
      <c r="AB70" s="11">
        <v>42</v>
      </c>
      <c r="AC70" s="12">
        <v>220754.28571428571</v>
      </c>
      <c r="AD70" s="12">
        <v>559.14285714285711</v>
      </c>
      <c r="AE70" s="13">
        <v>0.63733133389340946</v>
      </c>
      <c r="AF70" s="11">
        <v>3894455</v>
      </c>
      <c r="AG70" s="11">
        <v>8920</v>
      </c>
      <c r="AH70" s="11">
        <v>53</v>
      </c>
      <c r="AI70" s="12">
        <v>220440.84905660379</v>
      </c>
      <c r="AJ70" s="12">
        <v>504.90566037735852</v>
      </c>
      <c r="AK70" s="13">
        <v>0.60826014140288609</v>
      </c>
      <c r="AL70" s="11"/>
      <c r="AM70" s="11"/>
      <c r="AN70" s="11"/>
      <c r="AO70" s="12"/>
      <c r="AP70" s="12"/>
      <c r="AQ70" s="13"/>
      <c r="AR70" s="11"/>
      <c r="AS70" s="11"/>
      <c r="AT70" s="11"/>
      <c r="AU70" s="12"/>
      <c r="AV70" s="12"/>
      <c r="AW70" s="13"/>
      <c r="AX70" s="11"/>
      <c r="AY70" s="11"/>
      <c r="AZ70" s="11"/>
      <c r="BA70" s="12"/>
      <c r="BB70" s="12"/>
      <c r="BC70" s="13"/>
      <c r="BD70" s="11"/>
      <c r="BE70" s="11"/>
      <c r="BF70" s="11"/>
      <c r="BG70" s="12"/>
      <c r="BH70" s="12"/>
      <c r="BI70" s="13"/>
      <c r="BJ70" s="11"/>
      <c r="BK70" s="11"/>
      <c r="BL70" s="11"/>
      <c r="BM70" s="12"/>
      <c r="BN70" s="12"/>
      <c r="BO70" s="13"/>
      <c r="BP70" s="11"/>
      <c r="BQ70" s="11"/>
      <c r="BR70" s="11"/>
      <c r="BS70" s="12"/>
      <c r="BT70" s="12"/>
      <c r="BU70" s="13"/>
      <c r="BV70" s="11"/>
      <c r="BW70" s="11"/>
      <c r="BX70" s="11"/>
      <c r="BY70" s="12"/>
      <c r="BZ70" s="12"/>
      <c r="CA70" s="13"/>
      <c r="CB70" s="11"/>
      <c r="CC70" s="11"/>
      <c r="CD70" s="11"/>
      <c r="CE70" s="12"/>
      <c r="CF70" s="12"/>
      <c r="CG70" s="13"/>
      <c r="CJ70" s="11"/>
      <c r="CK70" s="12"/>
      <c r="CL70" s="12"/>
      <c r="CM70" s="13"/>
      <c r="CN70" s="11"/>
      <c r="CO70" s="11"/>
      <c r="CP70" s="11"/>
    </row>
    <row r="71" spans="1:94" x14ac:dyDescent="0.25">
      <c r="A71" s="20" t="s">
        <v>65</v>
      </c>
      <c r="B71" s="8">
        <v>3649223.0366666671</v>
      </c>
      <c r="C71" s="8">
        <v>3701.8333333333335</v>
      </c>
      <c r="D71" s="8">
        <v>609</v>
      </c>
      <c r="E71" s="9">
        <v>215717.61793103453</v>
      </c>
      <c r="F71" s="9">
        <v>218.82758620689654</v>
      </c>
      <c r="G71" s="10">
        <v>0.40230894131422618</v>
      </c>
      <c r="H71" s="8">
        <v>4612340.852</v>
      </c>
      <c r="I71" s="8">
        <v>5398</v>
      </c>
      <c r="J71" s="8">
        <v>585</v>
      </c>
      <c r="K71" s="9">
        <v>236530.30010256407</v>
      </c>
      <c r="L71" s="9">
        <v>276.82051282051282</v>
      </c>
      <c r="M71" s="10">
        <v>0.44556120208282746</v>
      </c>
      <c r="N71" s="8">
        <f t="shared" si="12"/>
        <v>1239988.6666666667</v>
      </c>
      <c r="O71" s="8">
        <f t="shared" si="13"/>
        <v>2640</v>
      </c>
      <c r="P71" s="8">
        <f t="shared" si="14"/>
        <v>69</v>
      </c>
      <c r="Q71" s="9">
        <f t="shared" si="15"/>
        <v>161737.65217391303</v>
      </c>
      <c r="R71" s="9">
        <f t="shared" si="16"/>
        <v>344.3478260869565</v>
      </c>
      <c r="S71" s="10">
        <f t="shared" si="17"/>
        <v>0.61415324690474871</v>
      </c>
      <c r="T71" s="11">
        <v>2092734</v>
      </c>
      <c r="U71" s="11">
        <v>3526</v>
      </c>
      <c r="V71" s="11">
        <v>40</v>
      </c>
      <c r="W71" s="12">
        <v>156955.04999999999</v>
      </c>
      <c r="X71" s="12">
        <v>264.45</v>
      </c>
      <c r="Y71" s="13">
        <v>0.52323838339297057</v>
      </c>
      <c r="Z71" s="11">
        <v>26838</v>
      </c>
      <c r="AA71" s="11">
        <v>72</v>
      </c>
      <c r="AB71" s="11">
        <v>1</v>
      </c>
      <c r="AC71" s="12">
        <v>80514</v>
      </c>
      <c r="AD71" s="12">
        <v>216</v>
      </c>
      <c r="AE71" s="13">
        <v>0.66</v>
      </c>
      <c r="AF71" s="11">
        <v>1600394</v>
      </c>
      <c r="AG71" s="11">
        <v>4322</v>
      </c>
      <c r="AH71" s="11">
        <v>28</v>
      </c>
      <c r="AI71" s="12">
        <v>171470.78571428571</v>
      </c>
      <c r="AJ71" s="12">
        <v>463.07142857142861</v>
      </c>
      <c r="AK71" s="13">
        <v>0.65922135732127585</v>
      </c>
      <c r="AL71" s="11"/>
      <c r="AM71" s="11"/>
      <c r="AN71" s="11"/>
      <c r="AO71" s="12"/>
      <c r="AP71" s="12"/>
      <c r="AQ71" s="13"/>
      <c r="AR71" s="11"/>
      <c r="AS71" s="11"/>
      <c r="AT71" s="11"/>
      <c r="AU71" s="12"/>
      <c r="AV71" s="12"/>
      <c r="AW71" s="13"/>
      <c r="AX71" s="11"/>
      <c r="AY71" s="11"/>
      <c r="AZ71" s="11"/>
      <c r="BA71" s="12"/>
      <c r="BB71" s="12"/>
      <c r="BC71" s="13"/>
      <c r="BD71" s="11"/>
      <c r="BE71" s="11"/>
      <c r="BF71" s="11"/>
      <c r="BG71" s="12"/>
      <c r="BH71" s="12"/>
      <c r="BI71" s="13"/>
      <c r="BJ71" s="11"/>
      <c r="BK71" s="11"/>
      <c r="BL71" s="11"/>
      <c r="BM71" s="12"/>
      <c r="BN71" s="12"/>
      <c r="BO71" s="13"/>
      <c r="BP71" s="11"/>
      <c r="BQ71" s="11"/>
      <c r="BR71" s="11"/>
      <c r="BS71" s="12"/>
      <c r="BT71" s="12"/>
      <c r="BU71" s="13"/>
      <c r="BV71" s="11"/>
      <c r="BW71" s="11"/>
      <c r="BX71" s="11"/>
      <c r="BY71" s="12"/>
      <c r="BZ71" s="12"/>
      <c r="CA71" s="13"/>
      <c r="CB71" s="11"/>
      <c r="CC71" s="11"/>
      <c r="CD71" s="11"/>
      <c r="CE71" s="12"/>
      <c r="CF71" s="12"/>
      <c r="CG71" s="13"/>
      <c r="CJ71" s="11"/>
      <c r="CK71" s="12"/>
      <c r="CL71" s="12"/>
      <c r="CM71" s="13"/>
      <c r="CN71" s="11"/>
      <c r="CO71" s="11"/>
      <c r="CP71" s="11"/>
    </row>
    <row r="72" spans="1:94" x14ac:dyDescent="0.25">
      <c r="A72" s="20" t="s">
        <v>66</v>
      </c>
      <c r="B72" s="8">
        <v>3193589.2583333333</v>
      </c>
      <c r="C72" s="8">
        <v>10061.5</v>
      </c>
      <c r="D72" s="8">
        <v>620</v>
      </c>
      <c r="E72" s="9">
        <v>185434.215</v>
      </c>
      <c r="F72" s="9">
        <v>584.2161290322581</v>
      </c>
      <c r="G72" s="10">
        <v>0.71103914592190176</v>
      </c>
      <c r="H72" s="8">
        <v>3989135.368888889</v>
      </c>
      <c r="I72" s="8">
        <v>10782.666666666666</v>
      </c>
      <c r="J72" s="8">
        <v>460</v>
      </c>
      <c r="K72" s="9">
        <v>234144.90208695651</v>
      </c>
      <c r="L72" s="9">
        <v>632.89565217391305</v>
      </c>
      <c r="M72" s="10">
        <v>0.65624341450862111</v>
      </c>
      <c r="N72" s="8">
        <f t="shared" si="12"/>
        <v>2093154</v>
      </c>
      <c r="O72" s="8">
        <f t="shared" si="13"/>
        <v>5673</v>
      </c>
      <c r="P72" s="8">
        <f t="shared" si="14"/>
        <v>26</v>
      </c>
      <c r="Q72" s="9">
        <f t="shared" si="15"/>
        <v>241517.76923076925</v>
      </c>
      <c r="R72" s="9">
        <f t="shared" si="16"/>
        <v>654.57692307692309</v>
      </c>
      <c r="S72" s="10">
        <f t="shared" si="17"/>
        <v>0.66</v>
      </c>
      <c r="T72" s="11">
        <v>2093154</v>
      </c>
      <c r="U72" s="11">
        <v>5673</v>
      </c>
      <c r="V72" s="11">
        <v>26</v>
      </c>
      <c r="W72" s="12">
        <v>241517.76923076919</v>
      </c>
      <c r="X72" s="12">
        <v>654.57692307692309</v>
      </c>
      <c r="Y72" s="13">
        <v>0.66</v>
      </c>
      <c r="Z72" s="11"/>
      <c r="AA72" s="11"/>
      <c r="AB72" s="11"/>
      <c r="AC72" s="12"/>
      <c r="AD72" s="12"/>
      <c r="AE72" s="13"/>
      <c r="AF72" s="11"/>
      <c r="AG72" s="11"/>
      <c r="AH72" s="11"/>
      <c r="AI72" s="12"/>
      <c r="AJ72" s="12"/>
      <c r="AK72" s="13"/>
      <c r="AL72" s="11"/>
      <c r="AM72" s="11"/>
      <c r="AN72" s="11"/>
      <c r="AO72" s="12"/>
      <c r="AP72" s="12"/>
      <c r="AQ72" s="13"/>
      <c r="AR72" s="11"/>
      <c r="AS72" s="11"/>
      <c r="AT72" s="11"/>
      <c r="AU72" s="12"/>
      <c r="AV72" s="12"/>
      <c r="AW72" s="13"/>
      <c r="AX72" s="11"/>
      <c r="AY72" s="11"/>
      <c r="AZ72" s="11"/>
      <c r="BA72" s="12"/>
      <c r="BB72" s="12"/>
      <c r="BC72" s="13"/>
      <c r="BD72" s="11"/>
      <c r="BE72" s="11"/>
      <c r="BF72" s="11"/>
      <c r="BG72" s="12"/>
      <c r="BH72" s="12"/>
      <c r="BI72" s="13"/>
      <c r="BJ72" s="11"/>
      <c r="BK72" s="11"/>
      <c r="BL72" s="11"/>
      <c r="BM72" s="12"/>
      <c r="BN72" s="12"/>
      <c r="BO72" s="13"/>
      <c r="BP72" s="11"/>
      <c r="BQ72" s="11"/>
      <c r="BR72" s="11"/>
      <c r="BS72" s="12"/>
      <c r="BT72" s="12"/>
      <c r="BU72" s="13"/>
      <c r="BV72" s="11"/>
      <c r="BW72" s="11"/>
      <c r="BX72" s="11"/>
      <c r="BY72" s="12"/>
      <c r="BZ72" s="12"/>
      <c r="CA72" s="13"/>
      <c r="CB72" s="11"/>
      <c r="CC72" s="11"/>
      <c r="CD72" s="11"/>
      <c r="CE72" s="12"/>
      <c r="CF72" s="12"/>
      <c r="CG72" s="13"/>
      <c r="CJ72" s="11"/>
      <c r="CK72" s="12"/>
      <c r="CL72" s="12"/>
      <c r="CM72" s="13"/>
      <c r="CN72" s="11"/>
      <c r="CO72" s="11"/>
      <c r="CP72" s="11"/>
    </row>
    <row r="73" spans="1:94" x14ac:dyDescent="0.25">
      <c r="A73" s="20" t="s">
        <v>67</v>
      </c>
      <c r="B73" s="8">
        <v>3803898.9490909087</v>
      </c>
      <c r="C73" s="8">
        <v>6240.272727272727</v>
      </c>
      <c r="D73" s="8">
        <v>509</v>
      </c>
      <c r="E73" s="9">
        <v>246618.20298624755</v>
      </c>
      <c r="F73" s="9">
        <v>404.57563850687626</v>
      </c>
      <c r="G73" s="10">
        <v>0.51267456076467433</v>
      </c>
      <c r="H73" s="8">
        <v>8981430</v>
      </c>
      <c r="I73" s="8">
        <v>13848.666666666666</v>
      </c>
      <c r="J73" s="8">
        <v>871</v>
      </c>
      <c r="K73" s="9">
        <v>371218.69115958665</v>
      </c>
      <c r="L73" s="9">
        <v>572.39035591274398</v>
      </c>
      <c r="M73" s="10">
        <v>0.50363780200739128</v>
      </c>
      <c r="N73" s="8">
        <f t="shared" si="12"/>
        <v>5130781.333333333</v>
      </c>
      <c r="O73" s="8">
        <f t="shared" si="13"/>
        <v>8492.3333333333339</v>
      </c>
      <c r="P73" s="8">
        <f t="shared" si="14"/>
        <v>211</v>
      </c>
      <c r="Q73" s="9">
        <f t="shared" si="15"/>
        <v>218848.49289099526</v>
      </c>
      <c r="R73" s="9">
        <f t="shared" si="16"/>
        <v>362.23222748815169</v>
      </c>
      <c r="S73" s="10">
        <f t="shared" si="17"/>
        <v>0.5129483371727479</v>
      </c>
      <c r="T73" s="11">
        <v>6999813</v>
      </c>
      <c r="U73" s="11">
        <v>12405</v>
      </c>
      <c r="V73" s="11">
        <v>73</v>
      </c>
      <c r="W73" s="12">
        <v>287663.54794520547</v>
      </c>
      <c r="X73" s="12">
        <v>509.79452054794518</v>
      </c>
      <c r="Y73" s="13">
        <v>0.53408735663478779</v>
      </c>
      <c r="Z73" s="11">
        <v>4532499</v>
      </c>
      <c r="AA73" s="11">
        <v>6210</v>
      </c>
      <c r="AB73" s="11">
        <v>72</v>
      </c>
      <c r="AC73" s="12">
        <v>188854.125</v>
      </c>
      <c r="AD73" s="12">
        <v>258.75</v>
      </c>
      <c r="AE73" s="13">
        <v>0.47262646343427978</v>
      </c>
      <c r="AF73" s="11">
        <v>3860032</v>
      </c>
      <c r="AG73" s="11">
        <v>6862</v>
      </c>
      <c r="AH73" s="11">
        <v>66</v>
      </c>
      <c r="AI73" s="12">
        <v>175456</v>
      </c>
      <c r="AJ73" s="12">
        <v>311.90909090909088</v>
      </c>
      <c r="AK73" s="13">
        <v>0.5321311914491762</v>
      </c>
      <c r="AL73" s="11"/>
      <c r="AM73" s="11"/>
      <c r="AN73" s="11"/>
      <c r="AO73" s="12"/>
      <c r="AP73" s="12"/>
      <c r="AQ73" s="13"/>
      <c r="AR73" s="11"/>
      <c r="AS73" s="11"/>
      <c r="AT73" s="11"/>
      <c r="AU73" s="12"/>
      <c r="AV73" s="12"/>
      <c r="AW73" s="13"/>
      <c r="AX73" s="11"/>
      <c r="AY73" s="11"/>
      <c r="AZ73" s="11"/>
      <c r="BA73" s="12"/>
      <c r="BB73" s="12"/>
      <c r="BC73" s="13"/>
      <c r="BD73" s="11"/>
      <c r="BE73" s="11"/>
      <c r="BF73" s="11"/>
      <c r="BG73" s="12"/>
      <c r="BH73" s="12"/>
      <c r="BI73" s="13"/>
      <c r="BJ73" s="11"/>
      <c r="BK73" s="11"/>
      <c r="BL73" s="11"/>
      <c r="BM73" s="12"/>
      <c r="BN73" s="12"/>
      <c r="BO73" s="13"/>
      <c r="BP73" s="11"/>
      <c r="BQ73" s="11"/>
      <c r="BR73" s="11"/>
      <c r="BS73" s="12"/>
      <c r="BT73" s="12"/>
      <c r="BU73" s="13"/>
      <c r="BV73" s="11"/>
      <c r="BW73" s="11"/>
      <c r="BX73" s="11"/>
      <c r="BY73" s="12"/>
      <c r="BZ73" s="12"/>
      <c r="CA73" s="13"/>
      <c r="CB73" s="11"/>
      <c r="CC73" s="11"/>
      <c r="CD73" s="11"/>
      <c r="CE73" s="12"/>
      <c r="CF73" s="12"/>
      <c r="CG73" s="13"/>
      <c r="CJ73" s="11"/>
      <c r="CK73" s="12"/>
      <c r="CL73" s="12"/>
      <c r="CM73" s="13"/>
      <c r="CN73" s="11"/>
      <c r="CO73" s="11"/>
      <c r="CP73" s="11"/>
    </row>
    <row r="74" spans="1:94" x14ac:dyDescent="0.25">
      <c r="A74" s="20" t="s">
        <v>68</v>
      </c>
      <c r="B74" s="8">
        <v>3800719.5072727264</v>
      </c>
      <c r="C74" s="8">
        <v>4214.090909090909</v>
      </c>
      <c r="D74" s="8">
        <v>477</v>
      </c>
      <c r="E74" s="9">
        <v>262942.85899371066</v>
      </c>
      <c r="F74" s="9">
        <v>291.54088050314465</v>
      </c>
      <c r="G74" s="10">
        <v>0.42120874231268918</v>
      </c>
      <c r="H74" s="8">
        <v>5968519.600833334</v>
      </c>
      <c r="I74" s="8">
        <v>10015.75</v>
      </c>
      <c r="J74" s="8">
        <v>824</v>
      </c>
      <c r="K74" s="9">
        <v>260760.56508495146</v>
      </c>
      <c r="L74" s="9">
        <v>437.58131067961165</v>
      </c>
      <c r="M74" s="10">
        <v>0.49854490012754377</v>
      </c>
      <c r="N74" s="8">
        <f t="shared" si="12"/>
        <v>4423840.333333333</v>
      </c>
      <c r="O74" s="8">
        <f t="shared" si="13"/>
        <v>7842.666666666667</v>
      </c>
      <c r="P74" s="8">
        <f t="shared" si="14"/>
        <v>192</v>
      </c>
      <c r="Q74" s="9">
        <f t="shared" si="15"/>
        <v>207367.515625</v>
      </c>
      <c r="R74" s="9">
        <f t="shared" si="16"/>
        <v>367.625</v>
      </c>
      <c r="S74" s="10">
        <f t="shared" si="17"/>
        <v>0.50463984489749758</v>
      </c>
      <c r="T74" s="11">
        <v>6713836</v>
      </c>
      <c r="U74" s="11">
        <v>14732</v>
      </c>
      <c r="V74" s="11">
        <v>78</v>
      </c>
      <c r="W74" s="12">
        <v>258224.46153846159</v>
      </c>
      <c r="X74" s="12">
        <v>566.61538461538453</v>
      </c>
      <c r="Y74" s="13">
        <v>0.59416935775360336</v>
      </c>
      <c r="Z74" s="11">
        <v>3328822</v>
      </c>
      <c r="AA74" s="11">
        <v>5662</v>
      </c>
      <c r="AB74" s="11">
        <v>60</v>
      </c>
      <c r="AC74" s="12">
        <v>166441.1</v>
      </c>
      <c r="AD74" s="12">
        <v>283.10000000000002</v>
      </c>
      <c r="AE74" s="13">
        <v>0.52520131192542396</v>
      </c>
      <c r="AF74" s="11">
        <v>3228863</v>
      </c>
      <c r="AG74" s="11">
        <v>3134</v>
      </c>
      <c r="AH74" s="11">
        <v>54</v>
      </c>
      <c r="AI74" s="12">
        <v>179381.27777777781</v>
      </c>
      <c r="AJ74" s="12">
        <v>174.11111111111109</v>
      </c>
      <c r="AK74" s="13">
        <v>0.39454886501346542</v>
      </c>
      <c r="AL74" s="11"/>
      <c r="AM74" s="11"/>
      <c r="AN74" s="11"/>
      <c r="AO74" s="12"/>
      <c r="AP74" s="12"/>
      <c r="AQ74" s="13"/>
      <c r="AR74" s="11"/>
      <c r="AS74" s="11"/>
      <c r="AT74" s="11"/>
      <c r="AU74" s="12"/>
      <c r="AV74" s="12"/>
      <c r="AW74" s="13"/>
      <c r="AX74" s="11"/>
      <c r="AY74" s="11"/>
      <c r="AZ74" s="11"/>
      <c r="BA74" s="12"/>
      <c r="BB74" s="12"/>
      <c r="BC74" s="13"/>
      <c r="BD74" s="11"/>
      <c r="BE74" s="11"/>
      <c r="BF74" s="11"/>
      <c r="BG74" s="12"/>
      <c r="BH74" s="12"/>
      <c r="BI74" s="13"/>
      <c r="BJ74" s="11"/>
      <c r="BK74" s="11"/>
      <c r="BL74" s="11"/>
      <c r="BM74" s="12"/>
      <c r="BN74" s="12"/>
      <c r="BO74" s="13"/>
      <c r="BP74" s="11"/>
      <c r="BQ74" s="11"/>
      <c r="BR74" s="11"/>
      <c r="BS74" s="12"/>
      <c r="BT74" s="12"/>
      <c r="BU74" s="13"/>
      <c r="BV74" s="11"/>
      <c r="BW74" s="11"/>
      <c r="BX74" s="11"/>
      <c r="BY74" s="12"/>
      <c r="BZ74" s="12"/>
      <c r="CA74" s="13"/>
      <c r="CB74" s="11"/>
      <c r="CC74" s="11"/>
      <c r="CD74" s="11"/>
      <c r="CE74" s="12"/>
      <c r="CF74" s="12"/>
      <c r="CG74" s="13"/>
      <c r="CJ74" s="11"/>
      <c r="CK74" s="12"/>
      <c r="CL74" s="12"/>
      <c r="CM74" s="13"/>
      <c r="CN74" s="11"/>
      <c r="CO74" s="11"/>
      <c r="CP74" s="11"/>
    </row>
    <row r="75" spans="1:94" x14ac:dyDescent="0.25">
      <c r="A75" s="20" t="s">
        <v>69</v>
      </c>
      <c r="B75" s="8">
        <v>1058937.9745833329</v>
      </c>
      <c r="C75" s="8">
        <v>156535.16666666666</v>
      </c>
      <c r="D75" s="8">
        <v>787</v>
      </c>
      <c r="E75" s="9">
        <v>48439.348265565415</v>
      </c>
      <c r="F75" s="9">
        <v>7160.4396442185516</v>
      </c>
      <c r="G75" s="10">
        <v>4.90495064574446</v>
      </c>
      <c r="H75" s="8">
        <v>1247045.4158333333</v>
      </c>
      <c r="I75" s="8">
        <v>170617.75</v>
      </c>
      <c r="J75" s="8">
        <v>881</v>
      </c>
      <c r="K75" s="9">
        <v>50957.58793416572</v>
      </c>
      <c r="L75" s="9">
        <v>6971.894438138479</v>
      </c>
      <c r="M75" s="10">
        <v>4.7641286374107583</v>
      </c>
      <c r="N75" s="8">
        <f t="shared" si="12"/>
        <v>1180582.78</v>
      </c>
      <c r="O75" s="8">
        <f t="shared" si="13"/>
        <v>170299.66666666666</v>
      </c>
      <c r="P75" s="8">
        <f t="shared" si="14"/>
        <v>228</v>
      </c>
      <c r="Q75" s="9">
        <f t="shared" si="15"/>
        <v>46601.951842105263</v>
      </c>
      <c r="R75" s="9">
        <f t="shared" si="16"/>
        <v>6722.355263157895</v>
      </c>
      <c r="S75" s="10">
        <f t="shared" si="17"/>
        <v>4.8381369491722772</v>
      </c>
      <c r="T75" s="11">
        <v>1253986.8999999999</v>
      </c>
      <c r="U75" s="11">
        <v>188562</v>
      </c>
      <c r="V75" s="11">
        <v>82</v>
      </c>
      <c r="W75" s="12">
        <v>45877.569512195121</v>
      </c>
      <c r="X75" s="12">
        <v>6898.6097560975613</v>
      </c>
      <c r="Y75" s="13">
        <v>4.9378875933157493</v>
      </c>
      <c r="Z75" s="11">
        <v>1261069.44</v>
      </c>
      <c r="AA75" s="11">
        <v>171763</v>
      </c>
      <c r="AB75" s="11">
        <v>78</v>
      </c>
      <c r="AC75" s="12">
        <v>48502.670769230768</v>
      </c>
      <c r="AD75" s="12">
        <v>6606.2692307692296</v>
      </c>
      <c r="AE75" s="13">
        <v>4.7001055675028516</v>
      </c>
      <c r="AF75" s="11">
        <v>1026692</v>
      </c>
      <c r="AG75" s="11">
        <v>150574</v>
      </c>
      <c r="AH75" s="11">
        <v>68</v>
      </c>
      <c r="AI75" s="12">
        <v>45295.23529411765</v>
      </c>
      <c r="AJ75" s="12">
        <v>6642.9705882352946</v>
      </c>
      <c r="AK75" s="13">
        <v>4.8764176866982298</v>
      </c>
      <c r="AL75" s="11"/>
      <c r="AM75" s="11"/>
      <c r="AN75" s="11"/>
      <c r="AO75" s="12"/>
      <c r="AP75" s="12"/>
      <c r="AQ75" s="13"/>
      <c r="AR75" s="11"/>
      <c r="AS75" s="11"/>
      <c r="AT75" s="11"/>
      <c r="AU75" s="12"/>
      <c r="AV75" s="12"/>
      <c r="AW75" s="13"/>
      <c r="AX75" s="11"/>
      <c r="AY75" s="11"/>
      <c r="AZ75" s="11"/>
      <c r="BA75" s="12"/>
      <c r="BB75" s="12"/>
      <c r="BC75" s="13"/>
      <c r="BD75" s="11"/>
      <c r="BE75" s="11"/>
      <c r="BF75" s="11"/>
      <c r="BG75" s="12"/>
      <c r="BH75" s="12"/>
      <c r="BI75" s="13"/>
      <c r="BJ75" s="11"/>
      <c r="BK75" s="11"/>
      <c r="BL75" s="11"/>
      <c r="BM75" s="12"/>
      <c r="BN75" s="12"/>
      <c r="BO75" s="13"/>
      <c r="BP75" s="11"/>
      <c r="BQ75" s="11"/>
      <c r="BR75" s="11"/>
      <c r="BS75" s="12"/>
      <c r="BT75" s="12"/>
      <c r="BU75" s="13"/>
      <c r="BV75" s="11"/>
      <c r="BW75" s="11"/>
      <c r="BX75" s="11"/>
      <c r="BY75" s="12"/>
      <c r="BZ75" s="12"/>
      <c r="CA75" s="13"/>
      <c r="CB75" s="11"/>
      <c r="CC75" s="11"/>
      <c r="CD75" s="11"/>
      <c r="CE75" s="12"/>
      <c r="CF75" s="12"/>
      <c r="CG75" s="13"/>
      <c r="CJ75" s="11"/>
      <c r="CK75" s="12"/>
      <c r="CL75" s="12"/>
      <c r="CM75" s="13"/>
      <c r="CN75" s="11"/>
      <c r="CO75" s="11"/>
      <c r="CP75" s="11"/>
    </row>
    <row r="76" spans="1:94" x14ac:dyDescent="0.25">
      <c r="A76" s="20" t="s">
        <v>70</v>
      </c>
      <c r="B76" s="8">
        <v>2931812.9741666666</v>
      </c>
      <c r="C76" s="8">
        <v>49616</v>
      </c>
      <c r="D76" s="8">
        <v>850</v>
      </c>
      <c r="E76" s="9">
        <v>124170.90243529412</v>
      </c>
      <c r="F76" s="9">
        <v>2101.3835294117648</v>
      </c>
      <c r="G76" s="10">
        <v>1.6557346495190179</v>
      </c>
      <c r="H76" s="8">
        <v>3203861.0333333332</v>
      </c>
      <c r="I76" s="8">
        <v>53814.25</v>
      </c>
      <c r="J76" s="8">
        <v>909</v>
      </c>
      <c r="K76" s="9">
        <v>126885.58547854784</v>
      </c>
      <c r="L76" s="9">
        <v>2131.257425742574</v>
      </c>
      <c r="M76" s="10">
        <v>1.6531993240246292</v>
      </c>
      <c r="N76" s="8">
        <f t="shared" si="12"/>
        <v>3421400.4</v>
      </c>
      <c r="O76" s="8">
        <f t="shared" si="13"/>
        <v>59629.666666666664</v>
      </c>
      <c r="P76" s="8">
        <f t="shared" si="14"/>
        <v>223</v>
      </c>
      <c r="Q76" s="9">
        <f t="shared" si="15"/>
        <v>138083.42421524663</v>
      </c>
      <c r="R76" s="9">
        <f t="shared" si="16"/>
        <v>2406.5784753363228</v>
      </c>
      <c r="S76" s="10">
        <f t="shared" si="17"/>
        <v>1.6749584472357653</v>
      </c>
      <c r="T76" s="11">
        <v>3600483.2</v>
      </c>
      <c r="U76" s="11">
        <v>63662</v>
      </c>
      <c r="V76" s="11">
        <v>79</v>
      </c>
      <c r="W76" s="12">
        <v>136727.2101265823</v>
      </c>
      <c r="X76" s="12">
        <v>2417.5443037974678</v>
      </c>
      <c r="Y76" s="13">
        <v>1.6924784673535289</v>
      </c>
      <c r="Z76" s="11">
        <v>3948687</v>
      </c>
      <c r="AA76" s="11">
        <v>70555</v>
      </c>
      <c r="AB76" s="11">
        <v>75</v>
      </c>
      <c r="AC76" s="12">
        <v>157947.48000000001</v>
      </c>
      <c r="AD76" s="12">
        <v>2822.2</v>
      </c>
      <c r="AE76" s="13">
        <v>1.700450211904216</v>
      </c>
      <c r="AF76" s="11">
        <v>2715031</v>
      </c>
      <c r="AG76" s="11">
        <v>44672</v>
      </c>
      <c r="AH76" s="11">
        <v>69</v>
      </c>
      <c r="AI76" s="12">
        <v>118044.8260869565</v>
      </c>
      <c r="AJ76" s="12">
        <v>1942.260869565217</v>
      </c>
      <c r="AK76" s="13">
        <v>1.6319466624495511</v>
      </c>
      <c r="AL76" s="11"/>
      <c r="AM76" s="11"/>
      <c r="AN76" s="11"/>
      <c r="AO76" s="12"/>
      <c r="AP76" s="12"/>
      <c r="AQ76" s="13"/>
      <c r="AR76" s="11"/>
      <c r="AS76" s="11"/>
      <c r="AT76" s="11"/>
      <c r="AU76" s="12"/>
      <c r="AV76" s="12"/>
      <c r="AW76" s="13"/>
      <c r="AX76" s="11"/>
      <c r="AY76" s="11"/>
      <c r="AZ76" s="11"/>
      <c r="BA76" s="12"/>
      <c r="BB76" s="12"/>
      <c r="BC76" s="13"/>
      <c r="BD76" s="11"/>
      <c r="BE76" s="11"/>
      <c r="BF76" s="11"/>
      <c r="BG76" s="12"/>
      <c r="BH76" s="12"/>
      <c r="BI76" s="13"/>
      <c r="BJ76" s="11"/>
      <c r="BK76" s="11"/>
      <c r="BL76" s="11"/>
      <c r="BM76" s="12"/>
      <c r="BN76" s="12"/>
      <c r="BO76" s="13"/>
      <c r="BP76" s="11"/>
      <c r="BQ76" s="11"/>
      <c r="BR76" s="11"/>
      <c r="BS76" s="12"/>
      <c r="BT76" s="12"/>
      <c r="BU76" s="13"/>
      <c r="BV76" s="11"/>
      <c r="BW76" s="11"/>
      <c r="BX76" s="11"/>
      <c r="BY76" s="12"/>
      <c r="BZ76" s="12"/>
      <c r="CA76" s="13"/>
      <c r="CB76" s="11"/>
      <c r="CC76" s="11"/>
      <c r="CD76" s="11"/>
      <c r="CE76" s="12"/>
      <c r="CF76" s="12"/>
      <c r="CG76" s="13"/>
      <c r="CJ76" s="11"/>
      <c r="CK76" s="12"/>
      <c r="CL76" s="12"/>
      <c r="CM76" s="13"/>
      <c r="CN76" s="11"/>
      <c r="CO76" s="11"/>
      <c r="CP76" s="11"/>
    </row>
    <row r="77" spans="1:94" x14ac:dyDescent="0.25">
      <c r="A77" s="20" t="s">
        <v>71</v>
      </c>
      <c r="B77" s="8">
        <v>3431882.3333333335</v>
      </c>
      <c r="C77" s="8">
        <v>19954.666666666668</v>
      </c>
      <c r="D77" s="8">
        <v>751</v>
      </c>
      <c r="E77" s="9">
        <v>164511.00399467375</v>
      </c>
      <c r="F77" s="9">
        <v>956.54860186418102</v>
      </c>
      <c r="G77" s="10">
        <v>0.96788889160744351</v>
      </c>
      <c r="H77" s="8">
        <v>4738325.25</v>
      </c>
      <c r="I77" s="8">
        <v>22899.083333333332</v>
      </c>
      <c r="J77" s="8">
        <v>938</v>
      </c>
      <c r="K77" s="9">
        <v>181854.70042643923</v>
      </c>
      <c r="L77" s="9">
        <v>878.85607675906181</v>
      </c>
      <c r="M77" s="10">
        <v>0.88337166377778142</v>
      </c>
      <c r="N77" s="8">
        <f t="shared" si="12"/>
        <v>4636903</v>
      </c>
      <c r="O77" s="8">
        <f t="shared" si="13"/>
        <v>20520.333333333332</v>
      </c>
      <c r="P77" s="8">
        <f t="shared" si="14"/>
        <v>227</v>
      </c>
      <c r="Q77" s="9">
        <f t="shared" si="15"/>
        <v>183841.96916299561</v>
      </c>
      <c r="R77" s="9">
        <f t="shared" si="16"/>
        <v>813.58149779735686</v>
      </c>
      <c r="S77" s="10">
        <f t="shared" si="17"/>
        <v>0.84441747638896869</v>
      </c>
      <c r="T77" s="11">
        <v>4959341</v>
      </c>
      <c r="U77" s="11">
        <v>23528</v>
      </c>
      <c r="V77" s="11">
        <v>82</v>
      </c>
      <c r="W77" s="12">
        <v>181439.3048780488</v>
      </c>
      <c r="X77" s="12">
        <v>860.78048780487802</v>
      </c>
      <c r="Y77" s="13">
        <v>0.87556695376737903</v>
      </c>
      <c r="Z77" s="11">
        <v>4386354</v>
      </c>
      <c r="AA77" s="11">
        <v>17939</v>
      </c>
      <c r="AB77" s="11">
        <v>77</v>
      </c>
      <c r="AC77" s="12">
        <v>170896.90909090909</v>
      </c>
      <c r="AD77" s="12">
        <v>698.92207792207796</v>
      </c>
      <c r="AE77" s="13">
        <v>0.81335556050178881</v>
      </c>
      <c r="AF77" s="11">
        <v>4565014</v>
      </c>
      <c r="AG77" s="11">
        <v>20094</v>
      </c>
      <c r="AH77" s="11">
        <v>68</v>
      </c>
      <c r="AI77" s="12">
        <v>201397.67647058831</v>
      </c>
      <c r="AJ77" s="12">
        <v>886.5</v>
      </c>
      <c r="AK77" s="13">
        <v>0.84432991489773812</v>
      </c>
      <c r="AL77" s="11"/>
      <c r="AM77" s="11"/>
      <c r="AN77" s="11"/>
      <c r="AO77" s="12"/>
      <c r="AP77" s="12"/>
      <c r="AQ77" s="13"/>
      <c r="AR77" s="11"/>
      <c r="AS77" s="11"/>
      <c r="AT77" s="11"/>
      <c r="AU77" s="12"/>
      <c r="AV77" s="12"/>
      <c r="AW77" s="13"/>
      <c r="AX77" s="11"/>
      <c r="AY77" s="11"/>
      <c r="AZ77" s="11"/>
      <c r="BA77" s="12"/>
      <c r="BB77" s="12"/>
      <c r="BC77" s="13"/>
      <c r="BD77" s="11"/>
      <c r="BE77" s="11"/>
      <c r="BF77" s="11"/>
      <c r="BG77" s="12"/>
      <c r="BH77" s="12"/>
      <c r="BI77" s="13"/>
      <c r="BJ77" s="11"/>
      <c r="BK77" s="11"/>
      <c r="BL77" s="11"/>
      <c r="BM77" s="12"/>
      <c r="BN77" s="12"/>
      <c r="BO77" s="13"/>
      <c r="BP77" s="11"/>
      <c r="BQ77" s="11"/>
      <c r="BR77" s="11"/>
      <c r="BS77" s="12"/>
      <c r="BT77" s="12"/>
      <c r="BU77" s="13"/>
      <c r="BV77" s="11"/>
      <c r="BW77" s="11"/>
      <c r="BX77" s="11"/>
      <c r="BY77" s="12"/>
      <c r="BZ77" s="12"/>
      <c r="CA77" s="13"/>
      <c r="CB77" s="11"/>
      <c r="CC77" s="11"/>
      <c r="CD77" s="11"/>
      <c r="CE77" s="12"/>
      <c r="CF77" s="12"/>
      <c r="CG77" s="13"/>
      <c r="CJ77" s="11"/>
      <c r="CK77" s="12"/>
      <c r="CL77" s="12"/>
      <c r="CM77" s="13"/>
      <c r="CN77" s="11"/>
      <c r="CO77" s="11"/>
      <c r="CP77" s="11"/>
    </row>
    <row r="78" spans="1:94" x14ac:dyDescent="0.25">
      <c r="A78" s="20" t="s">
        <v>72</v>
      </c>
      <c r="B78" s="8">
        <v>4526200.5791666666</v>
      </c>
      <c r="C78" s="8">
        <v>34013.083333333336</v>
      </c>
      <c r="D78" s="8">
        <v>861</v>
      </c>
      <c r="E78" s="9">
        <v>189248.80470383275</v>
      </c>
      <c r="F78" s="9">
        <v>1422.1498257839721</v>
      </c>
      <c r="G78" s="10">
        <v>1.1009587923008251</v>
      </c>
      <c r="H78" s="8">
        <v>5569667.5</v>
      </c>
      <c r="I78" s="8">
        <v>37131.25</v>
      </c>
      <c r="J78" s="8">
        <v>940</v>
      </c>
      <c r="K78" s="9">
        <v>213306.41489361704</v>
      </c>
      <c r="L78" s="9">
        <v>1422.0478723404256</v>
      </c>
      <c r="M78" s="10">
        <v>1.0372254410827408</v>
      </c>
      <c r="N78" s="8">
        <f t="shared" si="12"/>
        <v>5519300.666666667</v>
      </c>
      <c r="O78" s="8">
        <f t="shared" si="13"/>
        <v>35236.666666666664</v>
      </c>
      <c r="P78" s="8">
        <f t="shared" si="14"/>
        <v>230</v>
      </c>
      <c r="Q78" s="9">
        <f t="shared" si="15"/>
        <v>215972.63478260869</v>
      </c>
      <c r="R78" s="9">
        <f t="shared" si="16"/>
        <v>1378.8260869565217</v>
      </c>
      <c r="S78" s="10">
        <f t="shared" si="17"/>
        <v>1.0094971500494117</v>
      </c>
      <c r="T78" s="11">
        <v>5415922</v>
      </c>
      <c r="U78" s="11">
        <v>32699</v>
      </c>
      <c r="V78" s="11">
        <v>83</v>
      </c>
      <c r="W78" s="12">
        <v>195756.21686746989</v>
      </c>
      <c r="X78" s="12">
        <v>1181.89156626506</v>
      </c>
      <c r="Y78" s="13">
        <v>0.98944842631539676</v>
      </c>
      <c r="Z78" s="11">
        <v>6337234</v>
      </c>
      <c r="AA78" s="11">
        <v>45683</v>
      </c>
      <c r="AB78" s="11">
        <v>78</v>
      </c>
      <c r="AC78" s="12">
        <v>243739.76923076919</v>
      </c>
      <c r="AD78" s="12">
        <v>1757.038461538461</v>
      </c>
      <c r="AE78" s="13">
        <v>1.0811582883096951</v>
      </c>
      <c r="AF78" s="11">
        <v>4804746</v>
      </c>
      <c r="AG78" s="11">
        <v>27328</v>
      </c>
      <c r="AH78" s="11">
        <v>69</v>
      </c>
      <c r="AI78" s="12">
        <v>208902</v>
      </c>
      <c r="AJ78" s="12">
        <v>1188.173913043478</v>
      </c>
      <c r="AK78" s="13">
        <v>0.95788473552314324</v>
      </c>
      <c r="AL78" s="11"/>
      <c r="AM78" s="11"/>
      <c r="AN78" s="11"/>
      <c r="AO78" s="12"/>
      <c r="AP78" s="12"/>
      <c r="AQ78" s="13"/>
      <c r="AR78" s="11"/>
      <c r="AS78" s="11"/>
      <c r="AT78" s="11"/>
      <c r="AU78" s="12"/>
      <c r="AV78" s="12"/>
      <c r="AW78" s="13"/>
      <c r="AX78" s="11"/>
      <c r="AY78" s="11"/>
      <c r="AZ78" s="11"/>
      <c r="BA78" s="12"/>
      <c r="BB78" s="12"/>
      <c r="BC78" s="13"/>
      <c r="BD78" s="11"/>
      <c r="BE78" s="11"/>
      <c r="BF78" s="11"/>
      <c r="BG78" s="12"/>
      <c r="BH78" s="12"/>
      <c r="BI78" s="13"/>
      <c r="BJ78" s="11"/>
      <c r="BK78" s="11"/>
      <c r="BL78" s="11"/>
      <c r="BM78" s="12"/>
      <c r="BN78" s="12"/>
      <c r="BO78" s="13"/>
      <c r="BP78" s="11"/>
      <c r="BQ78" s="11"/>
      <c r="BR78" s="11"/>
      <c r="BS78" s="12"/>
      <c r="BT78" s="12"/>
      <c r="BU78" s="13"/>
      <c r="BV78" s="11"/>
      <c r="BW78" s="11"/>
      <c r="BX78" s="11"/>
      <c r="BY78" s="12"/>
      <c r="BZ78" s="12"/>
      <c r="CA78" s="13"/>
      <c r="CB78" s="11"/>
      <c r="CC78" s="11"/>
      <c r="CD78" s="11"/>
      <c r="CE78" s="12"/>
      <c r="CF78" s="12"/>
      <c r="CG78" s="13"/>
      <c r="CJ78" s="11"/>
      <c r="CK78" s="12"/>
      <c r="CL78" s="12"/>
      <c r="CM78" s="13"/>
      <c r="CN78" s="11"/>
      <c r="CO78" s="11"/>
      <c r="CP78" s="11"/>
    </row>
    <row r="79" spans="1:94" x14ac:dyDescent="0.25">
      <c r="A79" s="20" t="s">
        <v>73</v>
      </c>
      <c r="B79" s="8">
        <v>4575530.0999999996</v>
      </c>
      <c r="C79" s="8">
        <v>33147</v>
      </c>
      <c r="D79" s="8">
        <v>855</v>
      </c>
      <c r="E79" s="9">
        <v>192653.89894736841</v>
      </c>
      <c r="F79" s="9">
        <v>1395.663157894737</v>
      </c>
      <c r="G79" s="10">
        <v>1.0810599064297539</v>
      </c>
      <c r="H79" s="8">
        <v>5641589.916666667</v>
      </c>
      <c r="I79" s="8">
        <v>36041.5</v>
      </c>
      <c r="J79" s="8">
        <v>937</v>
      </c>
      <c r="K79" s="9">
        <v>216752.65421558163</v>
      </c>
      <c r="L79" s="9">
        <v>1384.7321237993597</v>
      </c>
      <c r="M79" s="10">
        <v>1.0089089736613723</v>
      </c>
      <c r="N79" s="8">
        <f t="shared" ref="N79:N111" si="18">IFERROR(AVERAGE(T79,Z79,AF79,AL79,AR79,AX79,BD79,BJ79,BP79,BV79,CB79,CH79)," ")</f>
        <v>5319664.333333333</v>
      </c>
      <c r="O79" s="8">
        <f t="shared" ref="O79:O111" si="19">IFERROR(AVERAGE(U79,AA79,AG79,AM79,AS79,AY79,BE79,BK79,BQ79,BW79,CC79,CI79)," ")</f>
        <v>31523.666666666668</v>
      </c>
      <c r="P79" s="8">
        <f t="shared" ref="P79:P111" si="20">IFERROR(SUM(V79,AB79,AH79,AN79,AT79,AZ79,BF79,BL79,BR79,BX79,CD79,CJ79)," ")</f>
        <v>226</v>
      </c>
      <c r="Q79" s="9">
        <f t="shared" ref="Q79:Q109" si="21">IFERROR(SUM(T79,Z79,AF79,AL79,AR79,AX79,BD79,BJ79,BP79,BV79,CB79,CH79)/P79*3," ")</f>
        <v>211845.03982300882</v>
      </c>
      <c r="R79" s="9">
        <f t="shared" ref="R79:R111" si="22">IFERROR(SUM(U79,AA79,AG79,AM79,AS79,AY79,BE79,BK79,BQ79,BW79,CC79,CI79)/P79*3," ")</f>
        <v>1255.3672566371681</v>
      </c>
      <c r="S79" s="10">
        <f t="shared" ref="S79:S111" si="23">IFERROR(AVERAGE(Y79,AE79,AK79,AQ79,AW79,BC79,BI79,BO79,BU79,CA79,CG79,CM79)," ")</f>
        <v>0.97497611277729046</v>
      </c>
      <c r="T79" s="11">
        <v>5601093</v>
      </c>
      <c r="U79" s="11">
        <v>39173</v>
      </c>
      <c r="V79" s="11">
        <v>83</v>
      </c>
      <c r="W79" s="12">
        <v>202449.14457831319</v>
      </c>
      <c r="X79" s="12">
        <v>1415.89156626506</v>
      </c>
      <c r="Y79" s="13">
        <v>1.0637088625784989</v>
      </c>
      <c r="Z79" s="11">
        <v>5655585</v>
      </c>
      <c r="AA79" s="11">
        <v>29584</v>
      </c>
      <c r="AB79" s="11">
        <v>75</v>
      </c>
      <c r="AC79" s="12">
        <v>226223.4</v>
      </c>
      <c r="AD79" s="12">
        <v>1183.3599999999999</v>
      </c>
      <c r="AE79" s="13">
        <v>0.91827321130747941</v>
      </c>
      <c r="AF79" s="11">
        <v>4702315</v>
      </c>
      <c r="AG79" s="11">
        <v>25814</v>
      </c>
      <c r="AH79" s="11">
        <v>68</v>
      </c>
      <c r="AI79" s="12">
        <v>207455.07352941169</v>
      </c>
      <c r="AJ79" s="12">
        <v>1138.8529411764709</v>
      </c>
      <c r="AK79" s="13">
        <v>0.94294626444589302</v>
      </c>
      <c r="AL79" s="11"/>
      <c r="AM79" s="11"/>
      <c r="AN79" s="11"/>
      <c r="AO79" s="12"/>
      <c r="AP79" s="12"/>
      <c r="AQ79" s="13"/>
      <c r="AR79" s="11"/>
      <c r="AS79" s="11"/>
      <c r="AT79" s="11"/>
      <c r="AU79" s="12"/>
      <c r="AV79" s="12"/>
      <c r="AW79" s="13"/>
      <c r="AX79" s="11"/>
      <c r="AY79" s="11"/>
      <c r="AZ79" s="11"/>
      <c r="BA79" s="12"/>
      <c r="BB79" s="12"/>
      <c r="BC79" s="13"/>
      <c r="BD79" s="11"/>
      <c r="BE79" s="11"/>
      <c r="BF79" s="11"/>
      <c r="BG79" s="12"/>
      <c r="BH79" s="12"/>
      <c r="BI79" s="13"/>
      <c r="BJ79" s="11"/>
      <c r="BK79" s="11"/>
      <c r="BL79" s="11"/>
      <c r="BM79" s="12"/>
      <c r="BN79" s="12"/>
      <c r="BO79" s="13"/>
      <c r="BP79" s="11"/>
      <c r="BQ79" s="11"/>
      <c r="BR79" s="11"/>
      <c r="BS79" s="12"/>
      <c r="BT79" s="12"/>
      <c r="BU79" s="13"/>
      <c r="BV79" s="11"/>
      <c r="BW79" s="11"/>
      <c r="BX79" s="11"/>
      <c r="BY79" s="12"/>
      <c r="BZ79" s="12"/>
      <c r="CA79" s="13"/>
      <c r="CB79" s="11"/>
      <c r="CC79" s="11"/>
      <c r="CD79" s="11"/>
      <c r="CE79" s="12"/>
      <c r="CF79" s="12"/>
      <c r="CG79" s="13"/>
      <c r="CJ79" s="11"/>
      <c r="CK79" s="12"/>
      <c r="CL79" s="12"/>
      <c r="CM79" s="13"/>
      <c r="CN79" s="11"/>
      <c r="CO79" s="11"/>
      <c r="CP79" s="11"/>
    </row>
    <row r="80" spans="1:94" x14ac:dyDescent="0.25">
      <c r="A80" s="20" t="s">
        <v>74</v>
      </c>
      <c r="B80" s="8">
        <v>3731119.2333333329</v>
      </c>
      <c r="C80" s="8">
        <v>133914.16666666666</v>
      </c>
      <c r="D80" s="8">
        <v>791</v>
      </c>
      <c r="E80" s="9">
        <v>169810.73628318583</v>
      </c>
      <c r="F80" s="9">
        <v>6094.7029077117577</v>
      </c>
      <c r="G80" s="10">
        <v>2.3910980182768089</v>
      </c>
      <c r="H80" s="8">
        <v>4141226.5</v>
      </c>
      <c r="I80" s="8">
        <v>140008.5</v>
      </c>
      <c r="J80" s="8">
        <v>785</v>
      </c>
      <c r="K80" s="9">
        <v>189916.11974522294</v>
      </c>
      <c r="L80" s="9">
        <v>6420.771974522293</v>
      </c>
      <c r="M80" s="10">
        <v>2.3481481377776379</v>
      </c>
      <c r="N80" s="8">
        <f t="shared" si="18"/>
        <v>5024255.333333333</v>
      </c>
      <c r="O80" s="8">
        <f t="shared" si="19"/>
        <v>167705</v>
      </c>
      <c r="P80" s="8">
        <f t="shared" si="20"/>
        <v>220</v>
      </c>
      <c r="Q80" s="9">
        <f t="shared" si="21"/>
        <v>205537.71818181817</v>
      </c>
      <c r="R80" s="9">
        <f t="shared" si="22"/>
        <v>6860.6590909090901</v>
      </c>
      <c r="S80" s="10">
        <f t="shared" si="23"/>
        <v>2.3184850366455536</v>
      </c>
      <c r="T80" s="11">
        <v>5213937</v>
      </c>
      <c r="U80" s="11">
        <v>191565</v>
      </c>
      <c r="V80" s="11">
        <v>79</v>
      </c>
      <c r="W80" s="12">
        <v>197997.60759493671</v>
      </c>
      <c r="X80" s="12">
        <v>7274.6202531645558</v>
      </c>
      <c r="Y80" s="13">
        <v>2.4403289674743749</v>
      </c>
      <c r="Z80" s="11">
        <v>5225696</v>
      </c>
      <c r="AA80" s="11">
        <v>173509</v>
      </c>
      <c r="AB80" s="11">
        <v>74</v>
      </c>
      <c r="AC80" s="12">
        <v>211852.54054054059</v>
      </c>
      <c r="AD80" s="12">
        <v>7034.1486486486483</v>
      </c>
      <c r="AE80" s="13">
        <v>2.318739383610418</v>
      </c>
      <c r="AF80" s="11">
        <v>4633133</v>
      </c>
      <c r="AG80" s="11">
        <v>138041</v>
      </c>
      <c r="AH80" s="11">
        <v>67</v>
      </c>
      <c r="AI80" s="12">
        <v>207453.71641791039</v>
      </c>
      <c r="AJ80" s="12">
        <v>6180.940298507463</v>
      </c>
      <c r="AK80" s="13">
        <v>2.1963867588518688</v>
      </c>
      <c r="AL80" s="11"/>
      <c r="AM80" s="11"/>
      <c r="AN80" s="11"/>
      <c r="AO80" s="12"/>
      <c r="AP80" s="12"/>
      <c r="AQ80" s="13"/>
      <c r="AR80" s="11"/>
      <c r="AS80" s="11"/>
      <c r="AT80" s="11"/>
      <c r="AU80" s="12"/>
      <c r="AV80" s="12"/>
      <c r="AW80" s="13"/>
      <c r="AX80" s="11"/>
      <c r="AY80" s="11"/>
      <c r="AZ80" s="11"/>
      <c r="BA80" s="12"/>
      <c r="BB80" s="12"/>
      <c r="BC80" s="13"/>
      <c r="BD80" s="11"/>
      <c r="BE80" s="11"/>
      <c r="BF80" s="11"/>
      <c r="BG80" s="12"/>
      <c r="BH80" s="12"/>
      <c r="BI80" s="13"/>
      <c r="BJ80" s="11"/>
      <c r="BK80" s="11"/>
      <c r="BL80" s="11"/>
      <c r="BM80" s="12"/>
      <c r="BN80" s="12"/>
      <c r="BO80" s="13"/>
      <c r="BP80" s="11"/>
      <c r="BQ80" s="11"/>
      <c r="BR80" s="11"/>
      <c r="BS80" s="12"/>
      <c r="BT80" s="12"/>
      <c r="BU80" s="13"/>
      <c r="BV80" s="11"/>
      <c r="BW80" s="11"/>
      <c r="BX80" s="11"/>
      <c r="BY80" s="12"/>
      <c r="BZ80" s="12"/>
      <c r="CA80" s="13"/>
      <c r="CB80" s="11"/>
      <c r="CC80" s="11"/>
      <c r="CD80" s="11"/>
      <c r="CE80" s="12"/>
      <c r="CF80" s="12"/>
      <c r="CG80" s="13"/>
      <c r="CJ80" s="11"/>
      <c r="CK80" s="12"/>
      <c r="CL80" s="12"/>
      <c r="CM80" s="13"/>
      <c r="CN80" s="11"/>
      <c r="CO80" s="11"/>
      <c r="CP80" s="11"/>
    </row>
    <row r="81" spans="1:94" x14ac:dyDescent="0.25">
      <c r="A81" s="20" t="s">
        <v>75</v>
      </c>
      <c r="B81" s="8">
        <v>3660373.5</v>
      </c>
      <c r="C81" s="8">
        <v>70031.75</v>
      </c>
      <c r="D81" s="8">
        <v>922</v>
      </c>
      <c r="E81" s="9">
        <v>142921.30802603037</v>
      </c>
      <c r="F81" s="9">
        <v>2734.4284164859005</v>
      </c>
      <c r="G81" s="10">
        <v>1.7599302936065599</v>
      </c>
      <c r="H81" s="8">
        <v>3831127.9166666665</v>
      </c>
      <c r="I81" s="8">
        <v>72005.166666666672</v>
      </c>
      <c r="J81" s="8">
        <v>923</v>
      </c>
      <c r="K81" s="9">
        <v>149426.44095341279</v>
      </c>
      <c r="L81" s="9">
        <v>2808.4355362946912</v>
      </c>
      <c r="M81" s="10">
        <v>1.7386080953893102</v>
      </c>
      <c r="N81" s="8">
        <f t="shared" si="18"/>
        <v>2780540.6666666665</v>
      </c>
      <c r="O81" s="8">
        <f t="shared" si="19"/>
        <v>59159.333333333336</v>
      </c>
      <c r="P81" s="8">
        <f t="shared" si="20"/>
        <v>196</v>
      </c>
      <c r="Q81" s="9">
        <f t="shared" si="21"/>
        <v>127677.88775510204</v>
      </c>
      <c r="R81" s="9">
        <f t="shared" si="22"/>
        <v>2716.5</v>
      </c>
      <c r="S81" s="10">
        <f t="shared" si="23"/>
        <v>1.8833403286503045</v>
      </c>
      <c r="T81" s="11">
        <v>3606826</v>
      </c>
      <c r="U81" s="11">
        <v>82263</v>
      </c>
      <c r="V81" s="11">
        <v>81</v>
      </c>
      <c r="W81" s="12">
        <v>133586.14814814809</v>
      </c>
      <c r="X81" s="12">
        <v>3046.7777777777778</v>
      </c>
      <c r="Y81" s="13">
        <v>1.921075953258937</v>
      </c>
      <c r="Z81" s="11">
        <v>3467463</v>
      </c>
      <c r="AA81" s="11">
        <v>63738</v>
      </c>
      <c r="AB81" s="11">
        <v>77</v>
      </c>
      <c r="AC81" s="12">
        <v>135095.96103896099</v>
      </c>
      <c r="AD81" s="12">
        <v>2483.298701298701</v>
      </c>
      <c r="AE81" s="13">
        <v>1.725425169550594</v>
      </c>
      <c r="AF81" s="11">
        <v>1267333</v>
      </c>
      <c r="AG81" s="11">
        <v>31477</v>
      </c>
      <c r="AH81" s="11">
        <v>38</v>
      </c>
      <c r="AI81" s="12">
        <v>100052.60526315789</v>
      </c>
      <c r="AJ81" s="12">
        <v>2485.0263157894742</v>
      </c>
      <c r="AK81" s="13">
        <v>2.0035198631413822</v>
      </c>
      <c r="AL81" s="11"/>
      <c r="AM81" s="11"/>
      <c r="AN81" s="11"/>
      <c r="AO81" s="12"/>
      <c r="AP81" s="12"/>
      <c r="AQ81" s="13"/>
      <c r="AR81" s="11"/>
      <c r="AS81" s="11"/>
      <c r="AT81" s="11"/>
      <c r="AU81" s="12"/>
      <c r="AV81" s="12"/>
      <c r="AW81" s="13"/>
      <c r="AX81" s="11"/>
      <c r="AY81" s="11"/>
      <c r="AZ81" s="11"/>
      <c r="BA81" s="12"/>
      <c r="BB81" s="12"/>
      <c r="BC81" s="13"/>
      <c r="BD81" s="11"/>
      <c r="BE81" s="11"/>
      <c r="BF81" s="11"/>
      <c r="BG81" s="12"/>
      <c r="BH81" s="12"/>
      <c r="BI81" s="13"/>
      <c r="BJ81" s="11"/>
      <c r="BK81" s="11"/>
      <c r="BL81" s="11"/>
      <c r="BM81" s="12"/>
      <c r="BN81" s="12"/>
      <c r="BO81" s="13"/>
      <c r="BP81" s="11"/>
      <c r="BQ81" s="11"/>
      <c r="BR81" s="11"/>
      <c r="BS81" s="12"/>
      <c r="BT81" s="12"/>
      <c r="BU81" s="13"/>
      <c r="BV81" s="11"/>
      <c r="BW81" s="11"/>
      <c r="BX81" s="11"/>
      <c r="BY81" s="12"/>
      <c r="BZ81" s="12"/>
      <c r="CA81" s="13"/>
      <c r="CB81" s="11"/>
      <c r="CC81" s="11"/>
      <c r="CD81" s="11"/>
      <c r="CE81" s="12"/>
      <c r="CF81" s="12"/>
      <c r="CG81" s="13"/>
      <c r="CJ81" s="11"/>
      <c r="CK81" s="12"/>
      <c r="CL81" s="12"/>
      <c r="CM81" s="13"/>
      <c r="CN81" s="11"/>
      <c r="CO81" s="11"/>
      <c r="CP81" s="11"/>
    </row>
    <row r="82" spans="1:94" x14ac:dyDescent="0.25">
      <c r="A82" s="20" t="s">
        <v>76</v>
      </c>
      <c r="B82" s="8">
        <v>3345655.5</v>
      </c>
      <c r="C82" s="8">
        <v>65452.083333333336</v>
      </c>
      <c r="D82" s="8">
        <v>917</v>
      </c>
      <c r="E82" s="9">
        <v>131345.25408942203</v>
      </c>
      <c r="F82" s="9">
        <v>2569.5474372955287</v>
      </c>
      <c r="G82" s="10">
        <v>1.7798489164592579</v>
      </c>
      <c r="H82" s="8">
        <v>3858268.4120558561</v>
      </c>
      <c r="I82" s="8">
        <v>69176.416666666672</v>
      </c>
      <c r="J82" s="8">
        <v>925</v>
      </c>
      <c r="K82" s="9">
        <v>150159.63549622794</v>
      </c>
      <c r="L82" s="9">
        <v>2692.2713513513513</v>
      </c>
      <c r="M82" s="10">
        <v>1.7023478178981708</v>
      </c>
      <c r="N82" s="8">
        <f t="shared" si="18"/>
        <v>3197612</v>
      </c>
      <c r="O82" s="8">
        <f t="shared" si="19"/>
        <v>59339</v>
      </c>
      <c r="P82" s="8">
        <f t="shared" si="20"/>
        <v>205</v>
      </c>
      <c r="Q82" s="9">
        <f t="shared" si="21"/>
        <v>140382.96585365853</v>
      </c>
      <c r="R82" s="9">
        <f t="shared" si="22"/>
        <v>2605.1268292682926</v>
      </c>
      <c r="S82" s="10">
        <f t="shared" si="23"/>
        <v>1.7690445242393968</v>
      </c>
      <c r="T82" s="11">
        <v>4247045</v>
      </c>
      <c r="U82" s="11">
        <v>75879</v>
      </c>
      <c r="V82" s="11">
        <v>82</v>
      </c>
      <c r="W82" s="12">
        <v>155379.6951219512</v>
      </c>
      <c r="X82" s="12">
        <v>2776.060975609756</v>
      </c>
      <c r="Y82" s="13">
        <v>1.701569019880141</v>
      </c>
      <c r="Z82" s="11">
        <v>3703392</v>
      </c>
      <c r="AA82" s="11">
        <v>64626</v>
      </c>
      <c r="AB82" s="11">
        <v>78</v>
      </c>
      <c r="AC82" s="12">
        <v>142438.15384615379</v>
      </c>
      <c r="AD82" s="12">
        <v>2485.6153846153852</v>
      </c>
      <c r="AE82" s="13">
        <v>1.6816275513834831</v>
      </c>
      <c r="AF82" s="11">
        <v>1642399</v>
      </c>
      <c r="AG82" s="11">
        <v>37512</v>
      </c>
      <c r="AH82" s="11">
        <v>45</v>
      </c>
      <c r="AI82" s="12">
        <v>109493.26666666671</v>
      </c>
      <c r="AJ82" s="12">
        <v>2500.8000000000002</v>
      </c>
      <c r="AK82" s="13">
        <v>1.9239370014545669</v>
      </c>
      <c r="AL82" s="11"/>
      <c r="AM82" s="11"/>
      <c r="AN82" s="11"/>
      <c r="AO82" s="12"/>
      <c r="AP82" s="12"/>
      <c r="AQ82" s="13"/>
      <c r="AR82" s="11"/>
      <c r="AS82" s="11"/>
      <c r="AT82" s="11"/>
      <c r="AU82" s="12"/>
      <c r="AV82" s="12"/>
      <c r="AW82" s="13"/>
      <c r="AX82" s="11"/>
      <c r="AY82" s="11"/>
      <c r="AZ82" s="11"/>
      <c r="BA82" s="12"/>
      <c r="BB82" s="12"/>
      <c r="BC82" s="13"/>
      <c r="BD82" s="11"/>
      <c r="BE82" s="11"/>
      <c r="BF82" s="11"/>
      <c r="BG82" s="12"/>
      <c r="BH82" s="12"/>
      <c r="BI82" s="13"/>
      <c r="BJ82" s="11"/>
      <c r="BK82" s="11"/>
      <c r="BL82" s="11"/>
      <c r="BM82" s="12"/>
      <c r="BN82" s="12"/>
      <c r="BO82" s="13"/>
      <c r="BP82" s="11"/>
      <c r="BQ82" s="11"/>
      <c r="BR82" s="11"/>
      <c r="BS82" s="12"/>
      <c r="BT82" s="12"/>
      <c r="BU82" s="13"/>
      <c r="BV82" s="11"/>
      <c r="BW82" s="11"/>
      <c r="BX82" s="11"/>
      <c r="BY82" s="12"/>
      <c r="BZ82" s="12"/>
      <c r="CA82" s="13"/>
      <c r="CB82" s="11"/>
      <c r="CC82" s="11"/>
      <c r="CD82" s="11"/>
      <c r="CE82" s="12"/>
      <c r="CF82" s="12"/>
      <c r="CG82" s="13"/>
      <c r="CJ82" s="11"/>
      <c r="CK82" s="12"/>
      <c r="CL82" s="12"/>
      <c r="CM82" s="13"/>
      <c r="CN82" s="11"/>
      <c r="CO82" s="11"/>
      <c r="CP82" s="11"/>
    </row>
    <row r="83" spans="1:94" x14ac:dyDescent="0.25">
      <c r="A83" s="20" t="s">
        <v>77</v>
      </c>
      <c r="B83" s="8">
        <v>3523185.5000000023</v>
      </c>
      <c r="C83" s="8">
        <v>79644.75</v>
      </c>
      <c r="D83" s="8">
        <v>890</v>
      </c>
      <c r="E83" s="9">
        <v>142510.87415730348</v>
      </c>
      <c r="F83" s="9">
        <v>3221.5853932584268</v>
      </c>
      <c r="G83" s="10">
        <v>1.9130517348751199</v>
      </c>
      <c r="H83" s="8">
        <v>3469482.6140083335</v>
      </c>
      <c r="I83" s="8">
        <v>84374.416666666672</v>
      </c>
      <c r="J83" s="8">
        <v>917</v>
      </c>
      <c r="K83" s="9">
        <v>136206.51483565976</v>
      </c>
      <c r="L83" s="9">
        <v>3312.4089422028351</v>
      </c>
      <c r="M83" s="10">
        <v>1.9928646382481841</v>
      </c>
      <c r="N83" s="8">
        <f t="shared" si="18"/>
        <v>2405262.5</v>
      </c>
      <c r="O83" s="8">
        <f t="shared" si="19"/>
        <v>67216.333333333328</v>
      </c>
      <c r="P83" s="8">
        <f t="shared" si="20"/>
        <v>197</v>
      </c>
      <c r="Q83" s="9">
        <f t="shared" si="21"/>
        <v>109885.08883248731</v>
      </c>
      <c r="R83" s="9">
        <f t="shared" si="22"/>
        <v>3070.7969543147206</v>
      </c>
      <c r="S83" s="10">
        <f t="shared" si="23"/>
        <v>2.1303491015640095</v>
      </c>
      <c r="T83" s="11">
        <v>3362634.5</v>
      </c>
      <c r="U83" s="11">
        <v>86121</v>
      </c>
      <c r="V83" s="11">
        <v>82</v>
      </c>
      <c r="W83" s="12">
        <v>123023.2134146342</v>
      </c>
      <c r="X83" s="12">
        <v>3150.768292682927</v>
      </c>
      <c r="Y83" s="13">
        <v>2.037323240183508</v>
      </c>
      <c r="Z83" s="11">
        <v>2459137</v>
      </c>
      <c r="AA83" s="11">
        <v>78118</v>
      </c>
      <c r="AB83" s="11">
        <v>76</v>
      </c>
      <c r="AC83" s="12">
        <v>97071.197368421053</v>
      </c>
      <c r="AD83" s="12">
        <v>3083.605263157895</v>
      </c>
      <c r="AE83" s="13">
        <v>2.2683389742481279</v>
      </c>
      <c r="AF83" s="11">
        <v>1394016</v>
      </c>
      <c r="AG83" s="11">
        <v>37410</v>
      </c>
      <c r="AH83" s="11">
        <v>39</v>
      </c>
      <c r="AI83" s="12">
        <v>107232</v>
      </c>
      <c r="AJ83" s="12">
        <v>2877.6923076923081</v>
      </c>
      <c r="AK83" s="13">
        <v>2.085385090260393</v>
      </c>
      <c r="AL83" s="11"/>
      <c r="AM83" s="11"/>
      <c r="AN83" s="11"/>
      <c r="AO83" s="12"/>
      <c r="AP83" s="12"/>
      <c r="AQ83" s="13"/>
      <c r="AR83" s="11"/>
      <c r="AS83" s="11"/>
      <c r="AT83" s="11"/>
      <c r="AU83" s="12"/>
      <c r="AV83" s="12"/>
      <c r="AW83" s="13"/>
      <c r="AX83" s="11"/>
      <c r="AY83" s="11"/>
      <c r="AZ83" s="11"/>
      <c r="BA83" s="12"/>
      <c r="BB83" s="12"/>
      <c r="BC83" s="13"/>
      <c r="BD83" s="11"/>
      <c r="BE83" s="11"/>
      <c r="BF83" s="11"/>
      <c r="BG83" s="12"/>
      <c r="BH83" s="12"/>
      <c r="BI83" s="13"/>
      <c r="BJ83" s="11"/>
      <c r="BK83" s="11"/>
      <c r="BL83" s="11"/>
      <c r="BM83" s="12"/>
      <c r="BN83" s="12"/>
      <c r="BO83" s="13"/>
      <c r="BP83" s="11"/>
      <c r="BQ83" s="11"/>
      <c r="BR83" s="11"/>
      <c r="BS83" s="12"/>
      <c r="BT83" s="12"/>
      <c r="BU83" s="13"/>
      <c r="BV83" s="11"/>
      <c r="BW83" s="11"/>
      <c r="BX83" s="11"/>
      <c r="BY83" s="12"/>
      <c r="BZ83" s="12"/>
      <c r="CA83" s="13"/>
      <c r="CB83" s="11"/>
      <c r="CC83" s="11"/>
      <c r="CD83" s="11"/>
      <c r="CE83" s="12"/>
      <c r="CF83" s="12"/>
      <c r="CG83" s="13"/>
      <c r="CJ83" s="11"/>
      <c r="CK83" s="12"/>
      <c r="CL83" s="12"/>
      <c r="CM83" s="13"/>
      <c r="CN83" s="11"/>
      <c r="CO83" s="11"/>
      <c r="CP83" s="11"/>
    </row>
    <row r="84" spans="1:94" x14ac:dyDescent="0.25">
      <c r="A84" s="20" t="s">
        <v>78</v>
      </c>
      <c r="B84" s="8">
        <v>1716712.0320833351</v>
      </c>
      <c r="C84" s="8">
        <v>139719.25</v>
      </c>
      <c r="D84" s="8">
        <v>768</v>
      </c>
      <c r="E84" s="9">
        <v>80470.876503906329</v>
      </c>
      <c r="F84" s="9">
        <v>6549.33984375</v>
      </c>
      <c r="G84" s="10">
        <v>3.6322334022345149</v>
      </c>
      <c r="H84" s="8">
        <v>2136366.9266666663</v>
      </c>
      <c r="I84" s="8">
        <v>167087.91666666666</v>
      </c>
      <c r="J84" s="8">
        <v>928</v>
      </c>
      <c r="K84" s="9">
        <v>82876.303189655169</v>
      </c>
      <c r="L84" s="9">
        <v>6481.8588362068967</v>
      </c>
      <c r="M84" s="10">
        <v>3.5758600071677438</v>
      </c>
      <c r="N84" s="8">
        <f t="shared" si="18"/>
        <v>2276841.8333333335</v>
      </c>
      <c r="O84" s="8">
        <f t="shared" si="19"/>
        <v>163475.66666666666</v>
      </c>
      <c r="P84" s="8">
        <f t="shared" si="20"/>
        <v>226</v>
      </c>
      <c r="Q84" s="9">
        <f t="shared" si="21"/>
        <v>90670.692477876117</v>
      </c>
      <c r="R84" s="9">
        <f t="shared" si="22"/>
        <v>6510.0929203539827</v>
      </c>
      <c r="S84" s="10">
        <f t="shared" si="23"/>
        <v>3.4143879131159207</v>
      </c>
      <c r="T84" s="11">
        <v>2176614</v>
      </c>
      <c r="U84" s="11">
        <v>168747</v>
      </c>
      <c r="V84" s="11">
        <v>81</v>
      </c>
      <c r="W84" s="12">
        <v>80615.333333333328</v>
      </c>
      <c r="X84" s="12">
        <v>6249.8888888888887</v>
      </c>
      <c r="Y84" s="13">
        <v>3.5451062766671009</v>
      </c>
      <c r="Z84" s="11">
        <v>2387653.5</v>
      </c>
      <c r="AA84" s="11">
        <v>160714</v>
      </c>
      <c r="AB84" s="11">
        <v>78</v>
      </c>
      <c r="AC84" s="12">
        <v>91832.826923076922</v>
      </c>
      <c r="AD84" s="12">
        <v>6181.3076923076924</v>
      </c>
      <c r="AE84" s="13">
        <v>3.3033809365157301</v>
      </c>
      <c r="AF84" s="11">
        <v>2266258</v>
      </c>
      <c r="AG84" s="11">
        <v>160966</v>
      </c>
      <c r="AH84" s="11">
        <v>67</v>
      </c>
      <c r="AI84" s="12">
        <v>101474.2388059701</v>
      </c>
      <c r="AJ84" s="12">
        <v>7207.4328358208959</v>
      </c>
      <c r="AK84" s="13">
        <v>3.3946765261649312</v>
      </c>
      <c r="AL84" s="11"/>
      <c r="AM84" s="11"/>
      <c r="AN84" s="11"/>
      <c r="AO84" s="12"/>
      <c r="AP84" s="12"/>
      <c r="AQ84" s="13"/>
      <c r="AR84" s="11"/>
      <c r="AS84" s="11"/>
      <c r="AT84" s="11"/>
      <c r="AU84" s="12"/>
      <c r="AV84" s="12"/>
      <c r="AW84" s="13"/>
      <c r="AX84" s="11"/>
      <c r="AY84" s="11"/>
      <c r="AZ84" s="11"/>
      <c r="BA84" s="12"/>
      <c r="BB84" s="12"/>
      <c r="BC84" s="13"/>
      <c r="BD84" s="11"/>
      <c r="BE84" s="11"/>
      <c r="BF84" s="11"/>
      <c r="BG84" s="12"/>
      <c r="BH84" s="12"/>
      <c r="BI84" s="13"/>
      <c r="BJ84" s="11"/>
      <c r="BK84" s="11"/>
      <c r="BL84" s="11"/>
      <c r="BM84" s="12"/>
      <c r="BN84" s="12"/>
      <c r="BO84" s="13"/>
      <c r="BP84" s="11"/>
      <c r="BQ84" s="11"/>
      <c r="BR84" s="11"/>
      <c r="BS84" s="12"/>
      <c r="BT84" s="12"/>
      <c r="BU84" s="13"/>
      <c r="BV84" s="11"/>
      <c r="BW84" s="11"/>
      <c r="BX84" s="11"/>
      <c r="BY84" s="12"/>
      <c r="BZ84" s="12"/>
      <c r="CA84" s="13"/>
      <c r="CB84" s="11"/>
      <c r="CC84" s="11"/>
      <c r="CD84" s="11"/>
      <c r="CE84" s="12"/>
      <c r="CF84" s="12"/>
      <c r="CG84" s="13"/>
      <c r="CJ84" s="11"/>
      <c r="CK84" s="12"/>
      <c r="CL84" s="12"/>
      <c r="CM84" s="13"/>
      <c r="CN84" s="11"/>
      <c r="CO84" s="11"/>
      <c r="CP84" s="11"/>
    </row>
    <row r="85" spans="1:94" x14ac:dyDescent="0.25">
      <c r="A85" s="20" t="s">
        <v>79</v>
      </c>
      <c r="B85" s="8">
        <v>1805374.4733333329</v>
      </c>
      <c r="C85" s="8">
        <v>139534.66666666666</v>
      </c>
      <c r="D85" s="8">
        <v>887</v>
      </c>
      <c r="E85" s="9">
        <v>73273.372085682058</v>
      </c>
      <c r="F85" s="9">
        <v>5663.1882750845552</v>
      </c>
      <c r="G85" s="10">
        <v>3.5398416238521819</v>
      </c>
      <c r="H85" s="8">
        <v>1714653.3741666665</v>
      </c>
      <c r="I85" s="8">
        <v>134124.75</v>
      </c>
      <c r="J85" s="8">
        <v>898</v>
      </c>
      <c r="K85" s="9">
        <v>68738.888051224945</v>
      </c>
      <c r="L85" s="9">
        <v>5376.9387527839644</v>
      </c>
      <c r="M85" s="10">
        <v>3.585173670369953</v>
      </c>
      <c r="N85" s="8">
        <f t="shared" si="18"/>
        <v>1444829</v>
      </c>
      <c r="O85" s="8">
        <f t="shared" si="19"/>
        <v>131594</v>
      </c>
      <c r="P85" s="8">
        <f t="shared" si="20"/>
        <v>226</v>
      </c>
      <c r="Q85" s="9">
        <f t="shared" si="21"/>
        <v>57537.43805309735</v>
      </c>
      <c r="R85" s="9">
        <f t="shared" si="22"/>
        <v>5240.4690265486724</v>
      </c>
      <c r="S85" s="10">
        <f t="shared" si="23"/>
        <v>3.8663679262981039</v>
      </c>
      <c r="T85" s="11">
        <v>1663594</v>
      </c>
      <c r="U85" s="11">
        <v>125101</v>
      </c>
      <c r="V85" s="11">
        <v>81</v>
      </c>
      <c r="W85" s="12">
        <v>61614.592592592577</v>
      </c>
      <c r="X85" s="12">
        <v>4633.3703703703704</v>
      </c>
      <c r="Y85" s="13">
        <v>3.491465887681716</v>
      </c>
      <c r="Z85" s="11">
        <v>1478991</v>
      </c>
      <c r="AA85" s="11">
        <v>144168</v>
      </c>
      <c r="AB85" s="11">
        <v>76</v>
      </c>
      <c r="AC85" s="12">
        <v>58381.223684210527</v>
      </c>
      <c r="AD85" s="12">
        <v>5690.8421052631584</v>
      </c>
      <c r="AE85" s="13">
        <v>3.9753088936352539</v>
      </c>
      <c r="AF85" s="11">
        <v>1191902</v>
      </c>
      <c r="AG85" s="11">
        <v>125513</v>
      </c>
      <c r="AH85" s="11">
        <v>69</v>
      </c>
      <c r="AI85" s="12">
        <v>51821.826086956527</v>
      </c>
      <c r="AJ85" s="12">
        <v>5457.0869565217399</v>
      </c>
      <c r="AK85" s="13">
        <v>4.1323289975773427</v>
      </c>
      <c r="AL85" s="11"/>
      <c r="AM85" s="11"/>
      <c r="AN85" s="11"/>
      <c r="AO85" s="12"/>
      <c r="AP85" s="12"/>
      <c r="AQ85" s="13"/>
      <c r="AR85" s="11"/>
      <c r="AS85" s="11"/>
      <c r="AT85" s="11"/>
      <c r="AU85" s="12"/>
      <c r="AV85" s="12"/>
      <c r="AW85" s="13"/>
      <c r="AX85" s="11"/>
      <c r="AY85" s="11"/>
      <c r="AZ85" s="11"/>
      <c r="BA85" s="12"/>
      <c r="BB85" s="12"/>
      <c r="BC85" s="13"/>
      <c r="BD85" s="11"/>
      <c r="BE85" s="11"/>
      <c r="BF85" s="11"/>
      <c r="BG85" s="12"/>
      <c r="BH85" s="12"/>
      <c r="BI85" s="13"/>
      <c r="BJ85" s="11"/>
      <c r="BK85" s="11"/>
      <c r="BL85" s="11"/>
      <c r="BM85" s="12"/>
      <c r="BN85" s="12"/>
      <c r="BO85" s="13"/>
      <c r="BP85" s="11"/>
      <c r="BQ85" s="11"/>
      <c r="BR85" s="11"/>
      <c r="BS85" s="12"/>
      <c r="BT85" s="12"/>
      <c r="BU85" s="13"/>
      <c r="BV85" s="11"/>
      <c r="BW85" s="11"/>
      <c r="BX85" s="11"/>
      <c r="BY85" s="12"/>
      <c r="BZ85" s="12"/>
      <c r="CA85" s="13"/>
      <c r="CB85" s="11"/>
      <c r="CC85" s="11"/>
      <c r="CD85" s="11"/>
      <c r="CE85" s="12"/>
      <c r="CF85" s="12"/>
      <c r="CG85" s="13"/>
      <c r="CJ85" s="11"/>
      <c r="CK85" s="12"/>
      <c r="CL85" s="12"/>
      <c r="CM85" s="13"/>
      <c r="CN85" s="11"/>
      <c r="CO85" s="11"/>
      <c r="CP85" s="11"/>
    </row>
    <row r="86" spans="1:94" x14ac:dyDescent="0.25">
      <c r="A86" s="20" t="s">
        <v>80</v>
      </c>
      <c r="B86" s="8">
        <v>2871108.3500000015</v>
      </c>
      <c r="C86" s="8">
        <v>75038.416666666672</v>
      </c>
      <c r="D86" s="8">
        <v>926</v>
      </c>
      <c r="E86" s="9">
        <v>111619.76306695471</v>
      </c>
      <c r="F86" s="9">
        <v>2917.2602591792656</v>
      </c>
      <c r="G86" s="10">
        <v>2.0576079997783618</v>
      </c>
      <c r="H86" s="8">
        <v>2858588.3027272727</v>
      </c>
      <c r="I86" s="8">
        <v>74606.363636363632</v>
      </c>
      <c r="J86" s="8">
        <v>770</v>
      </c>
      <c r="K86" s="9">
        <v>122510.92725974027</v>
      </c>
      <c r="L86" s="9">
        <v>3197.4155844155844</v>
      </c>
      <c r="M86" s="10">
        <v>2.0964973562410476</v>
      </c>
      <c r="N86" s="8">
        <f t="shared" si="18"/>
        <v>3282180.3333333335</v>
      </c>
      <c r="O86" s="8">
        <f t="shared" si="19"/>
        <v>80229</v>
      </c>
      <c r="P86" s="8">
        <f t="shared" si="20"/>
        <v>227</v>
      </c>
      <c r="Q86" s="9">
        <f t="shared" si="21"/>
        <v>130130.49779735683</v>
      </c>
      <c r="R86" s="9">
        <f t="shared" si="22"/>
        <v>3180.8854625550662</v>
      </c>
      <c r="S86" s="10">
        <f t="shared" si="23"/>
        <v>1.990083959931942</v>
      </c>
      <c r="T86" s="11">
        <v>3712214</v>
      </c>
      <c r="U86" s="11">
        <v>86772</v>
      </c>
      <c r="V86" s="11">
        <v>81</v>
      </c>
      <c r="W86" s="12">
        <v>137489.40740740739</v>
      </c>
      <c r="X86" s="12">
        <v>3213.7777777777778</v>
      </c>
      <c r="Y86" s="13">
        <v>1.946001792820959</v>
      </c>
      <c r="Z86" s="11">
        <v>3254667</v>
      </c>
      <c r="AA86" s="11">
        <v>85386</v>
      </c>
      <c r="AB86" s="11">
        <v>78</v>
      </c>
      <c r="AC86" s="12">
        <v>125179.5</v>
      </c>
      <c r="AD86" s="12">
        <v>3284.0769230769229</v>
      </c>
      <c r="AE86" s="13">
        <v>2.0625555485987199</v>
      </c>
      <c r="AF86" s="11">
        <v>2879660</v>
      </c>
      <c r="AG86" s="11">
        <v>68529</v>
      </c>
      <c r="AH86" s="11">
        <v>68</v>
      </c>
      <c r="AI86" s="12">
        <v>127043.82352941181</v>
      </c>
      <c r="AJ86" s="12">
        <v>3023.338235294118</v>
      </c>
      <c r="AK86" s="13">
        <v>1.961694538376147</v>
      </c>
      <c r="AL86" s="11"/>
      <c r="AM86" s="11"/>
      <c r="AN86" s="11"/>
      <c r="AO86" s="12"/>
      <c r="AP86" s="12"/>
      <c r="AQ86" s="13"/>
      <c r="AR86" s="11"/>
      <c r="AS86" s="11"/>
      <c r="AT86" s="11"/>
      <c r="AU86" s="12"/>
      <c r="AV86" s="12"/>
      <c r="AW86" s="13"/>
      <c r="AX86" s="11"/>
      <c r="AY86" s="11"/>
      <c r="AZ86" s="11"/>
      <c r="BA86" s="12"/>
      <c r="BB86" s="12"/>
      <c r="BC86" s="13"/>
      <c r="BD86" s="11"/>
      <c r="BE86" s="11"/>
      <c r="BF86" s="11"/>
      <c r="BG86" s="12"/>
      <c r="BH86" s="12"/>
      <c r="BI86" s="13"/>
      <c r="BJ86" s="11"/>
      <c r="BK86" s="11"/>
      <c r="BL86" s="11"/>
      <c r="BM86" s="12"/>
      <c r="BN86" s="12"/>
      <c r="BO86" s="13"/>
      <c r="BP86" s="11"/>
      <c r="BQ86" s="11"/>
      <c r="BR86" s="11"/>
      <c r="BS86" s="12"/>
      <c r="BT86" s="12"/>
      <c r="BU86" s="13"/>
      <c r="BV86" s="11"/>
      <c r="BW86" s="11"/>
      <c r="BX86" s="11"/>
      <c r="BY86" s="12"/>
      <c r="BZ86" s="12"/>
      <c r="CA86" s="13"/>
      <c r="CB86" s="11"/>
      <c r="CC86" s="11"/>
      <c r="CD86" s="11"/>
      <c r="CE86" s="12"/>
      <c r="CF86" s="12"/>
      <c r="CG86" s="13"/>
      <c r="CJ86" s="11"/>
      <c r="CK86" s="12"/>
      <c r="CL86" s="12"/>
      <c r="CM86" s="13"/>
      <c r="CN86" s="11"/>
      <c r="CO86" s="11"/>
      <c r="CP86" s="11"/>
    </row>
    <row r="87" spans="1:94" x14ac:dyDescent="0.25">
      <c r="A87" s="20" t="s">
        <v>81</v>
      </c>
      <c r="B87" s="8">
        <v>2745136.2666666671</v>
      </c>
      <c r="C87" s="8">
        <v>76929.333333333328</v>
      </c>
      <c r="D87" s="8">
        <v>926</v>
      </c>
      <c r="E87" s="9">
        <v>106722.36025917929</v>
      </c>
      <c r="F87" s="9">
        <v>2990.7732181425486</v>
      </c>
      <c r="G87" s="10">
        <v>2.1303961544764878</v>
      </c>
      <c r="H87" s="8">
        <v>3393701.5681818184</v>
      </c>
      <c r="I87" s="8">
        <v>76366.181818181823</v>
      </c>
      <c r="J87" s="8">
        <v>848</v>
      </c>
      <c r="K87" s="9">
        <v>132066.21668632075</v>
      </c>
      <c r="L87" s="9">
        <v>2971.7971698113206</v>
      </c>
      <c r="M87" s="10">
        <v>1.9203217147454021</v>
      </c>
      <c r="N87" s="8">
        <f t="shared" si="18"/>
        <v>3025462</v>
      </c>
      <c r="O87" s="8">
        <f t="shared" si="19"/>
        <v>71956.333333333328</v>
      </c>
      <c r="P87" s="8">
        <f t="shared" si="20"/>
        <v>228</v>
      </c>
      <c r="Q87" s="9">
        <f t="shared" si="21"/>
        <v>119426.13157894736</v>
      </c>
      <c r="R87" s="9">
        <f t="shared" si="22"/>
        <v>2840.3815789473683</v>
      </c>
      <c r="S87" s="10">
        <f t="shared" si="23"/>
        <v>1.9637673378321516</v>
      </c>
      <c r="T87" s="11">
        <v>2997988</v>
      </c>
      <c r="U87" s="11">
        <v>77845</v>
      </c>
      <c r="V87" s="11">
        <v>82</v>
      </c>
      <c r="W87" s="12">
        <v>109682.4878048781</v>
      </c>
      <c r="X87" s="12">
        <v>2847.9878048780488</v>
      </c>
      <c r="Y87" s="13">
        <v>2.0489417821160041</v>
      </c>
      <c r="Z87" s="11">
        <v>2833060</v>
      </c>
      <c r="AA87" s="11">
        <v>76400</v>
      </c>
      <c r="AB87" s="11">
        <v>77</v>
      </c>
      <c r="AC87" s="12">
        <v>110378.961038961</v>
      </c>
      <c r="AD87" s="12">
        <v>2976.6233766233759</v>
      </c>
      <c r="AE87" s="13">
        <v>2.0890744395644099</v>
      </c>
      <c r="AF87" s="11">
        <v>3245338</v>
      </c>
      <c r="AG87" s="11">
        <v>61624</v>
      </c>
      <c r="AH87" s="11">
        <v>69</v>
      </c>
      <c r="AI87" s="12">
        <v>141101.65217391311</v>
      </c>
      <c r="AJ87" s="12">
        <v>2679.304347826087</v>
      </c>
      <c r="AK87" s="13">
        <v>1.7532857918160409</v>
      </c>
      <c r="AL87" s="11"/>
      <c r="AM87" s="11"/>
      <c r="AN87" s="11"/>
      <c r="AO87" s="12"/>
      <c r="AP87" s="12"/>
      <c r="AQ87" s="13"/>
      <c r="AR87" s="11"/>
      <c r="AS87" s="11"/>
      <c r="AT87" s="11"/>
      <c r="AU87" s="12"/>
      <c r="AV87" s="12"/>
      <c r="AW87" s="13"/>
      <c r="AX87" s="11"/>
      <c r="AY87" s="11"/>
      <c r="AZ87" s="11"/>
      <c r="BA87" s="12"/>
      <c r="BB87" s="12"/>
      <c r="BC87" s="13"/>
      <c r="BD87" s="11"/>
      <c r="BE87" s="11"/>
      <c r="BF87" s="11"/>
      <c r="BG87" s="12"/>
      <c r="BH87" s="12"/>
      <c r="BI87" s="13"/>
      <c r="BJ87" s="11"/>
      <c r="BK87" s="11"/>
      <c r="BL87" s="11"/>
      <c r="BM87" s="12"/>
      <c r="BN87" s="12"/>
      <c r="BO87" s="13"/>
      <c r="BP87" s="11"/>
      <c r="BQ87" s="11"/>
      <c r="BR87" s="11"/>
      <c r="BS87" s="12"/>
      <c r="BT87" s="12"/>
      <c r="BU87" s="13"/>
      <c r="BV87" s="11"/>
      <c r="BW87" s="11"/>
      <c r="BX87" s="11"/>
      <c r="BY87" s="12"/>
      <c r="BZ87" s="12"/>
      <c r="CA87" s="13"/>
      <c r="CB87" s="11"/>
      <c r="CC87" s="11"/>
      <c r="CD87" s="11"/>
      <c r="CE87" s="12"/>
      <c r="CF87" s="12"/>
      <c r="CG87" s="13"/>
      <c r="CJ87" s="11"/>
      <c r="CK87" s="12"/>
      <c r="CL87" s="12"/>
      <c r="CM87" s="13"/>
      <c r="CN87" s="11"/>
      <c r="CO87" s="11"/>
      <c r="CP87" s="11"/>
    </row>
    <row r="88" spans="1:94" x14ac:dyDescent="0.25">
      <c r="A88" s="20" t="s">
        <v>82</v>
      </c>
      <c r="B88" s="8">
        <v>2137130.3666666667</v>
      </c>
      <c r="C88" s="8">
        <v>73435.666666666672</v>
      </c>
      <c r="D88" s="8">
        <v>919</v>
      </c>
      <c r="E88" s="9">
        <v>83717.838084874849</v>
      </c>
      <c r="F88" s="9">
        <v>2876.6964091403702</v>
      </c>
      <c r="G88" s="10">
        <v>2.3588738876759612</v>
      </c>
      <c r="H88" s="8">
        <v>2778667.1625000001</v>
      </c>
      <c r="I88" s="8">
        <v>75774.416666666672</v>
      </c>
      <c r="J88" s="8">
        <v>921</v>
      </c>
      <c r="K88" s="9">
        <v>108612.39723127036</v>
      </c>
      <c r="L88" s="9">
        <v>2961.8664495114008</v>
      </c>
      <c r="M88" s="10">
        <v>2.1186913572689599</v>
      </c>
      <c r="N88" s="8">
        <f t="shared" si="18"/>
        <v>2577384.6666666665</v>
      </c>
      <c r="O88" s="8">
        <f t="shared" si="19"/>
        <v>66067.666666666672</v>
      </c>
      <c r="P88" s="8">
        <f t="shared" si="20"/>
        <v>228</v>
      </c>
      <c r="Q88" s="9">
        <f t="shared" si="21"/>
        <v>101738.86842105264</v>
      </c>
      <c r="R88" s="9">
        <f t="shared" si="22"/>
        <v>2607.9342105263158</v>
      </c>
      <c r="S88" s="10">
        <f t="shared" si="23"/>
        <v>2.0624937228740765</v>
      </c>
      <c r="T88" s="11">
        <v>2265706</v>
      </c>
      <c r="U88" s="11">
        <v>66336</v>
      </c>
      <c r="V88" s="11">
        <v>81</v>
      </c>
      <c r="W88" s="12">
        <v>83915.037037037036</v>
      </c>
      <c r="X88" s="12">
        <v>2456.8888888888891</v>
      </c>
      <c r="Y88" s="13">
        <v>2.1789756691023952</v>
      </c>
      <c r="Z88" s="11">
        <v>2283711</v>
      </c>
      <c r="AA88" s="11">
        <v>72943</v>
      </c>
      <c r="AB88" s="11">
        <v>78</v>
      </c>
      <c r="AC88" s="12">
        <v>87835.038461538454</v>
      </c>
      <c r="AD88" s="12">
        <v>2805.5</v>
      </c>
      <c r="AE88" s="13">
        <v>2.2770035549405212</v>
      </c>
      <c r="AF88" s="11">
        <v>3182737</v>
      </c>
      <c r="AG88" s="11">
        <v>58924</v>
      </c>
      <c r="AH88" s="11">
        <v>69</v>
      </c>
      <c r="AI88" s="12">
        <v>138379.86956521741</v>
      </c>
      <c r="AJ88" s="12">
        <v>2561.913043478261</v>
      </c>
      <c r="AK88" s="13">
        <v>1.7315019445793121</v>
      </c>
      <c r="AL88" s="11"/>
      <c r="AM88" s="11"/>
      <c r="AN88" s="11"/>
      <c r="AO88" s="12"/>
      <c r="AP88" s="12"/>
      <c r="AQ88" s="13"/>
      <c r="AR88" s="11"/>
      <c r="AS88" s="11"/>
      <c r="AT88" s="11"/>
      <c r="AU88" s="12"/>
      <c r="AV88" s="12"/>
      <c r="AW88" s="13"/>
      <c r="AX88" s="11"/>
      <c r="AY88" s="11"/>
      <c r="AZ88" s="11"/>
      <c r="BA88" s="12"/>
      <c r="BB88" s="12"/>
      <c r="BC88" s="13"/>
      <c r="BD88" s="11"/>
      <c r="BE88" s="11"/>
      <c r="BF88" s="11"/>
      <c r="BG88" s="12"/>
      <c r="BH88" s="12"/>
      <c r="BI88" s="13"/>
      <c r="BJ88" s="11"/>
      <c r="BK88" s="11"/>
      <c r="BL88" s="11"/>
      <c r="BM88" s="12"/>
      <c r="BN88" s="12"/>
      <c r="BO88" s="13"/>
      <c r="BP88" s="11"/>
      <c r="BQ88" s="11"/>
      <c r="BR88" s="11"/>
      <c r="BS88" s="12"/>
      <c r="BT88" s="12"/>
      <c r="BU88" s="13"/>
      <c r="BV88" s="11"/>
      <c r="BW88" s="11"/>
      <c r="BX88" s="11"/>
      <c r="BY88" s="12"/>
      <c r="BZ88" s="12"/>
      <c r="CA88" s="13"/>
      <c r="CB88" s="11"/>
      <c r="CC88" s="11"/>
      <c r="CD88" s="11"/>
      <c r="CE88" s="12"/>
      <c r="CF88" s="12"/>
      <c r="CG88" s="13"/>
      <c r="CJ88" s="11"/>
      <c r="CK88" s="12"/>
      <c r="CL88" s="12"/>
      <c r="CM88" s="13"/>
      <c r="CN88" s="11"/>
      <c r="CO88" s="11"/>
      <c r="CP88" s="11"/>
    </row>
    <row r="89" spans="1:94" x14ac:dyDescent="0.25">
      <c r="A89" s="20" t="s">
        <v>83</v>
      </c>
      <c r="B89" s="8">
        <v>3547028.0616666712</v>
      </c>
      <c r="C89" s="8">
        <v>35039.166666666664</v>
      </c>
      <c r="D89" s="8">
        <v>868</v>
      </c>
      <c r="E89" s="9">
        <v>147111.76292626746</v>
      </c>
      <c r="F89" s="9">
        <v>1453.2373271889401</v>
      </c>
      <c r="G89" s="10">
        <v>1.263405001606297</v>
      </c>
      <c r="H89" s="8">
        <v>3835622.7208333337</v>
      </c>
      <c r="I89" s="8">
        <v>35826.916666666664</v>
      </c>
      <c r="J89" s="8">
        <v>908</v>
      </c>
      <c r="K89" s="9">
        <v>152073.14752202644</v>
      </c>
      <c r="L89" s="9">
        <v>1420.4504405286343</v>
      </c>
      <c r="M89" s="10">
        <v>1.2250377267230732</v>
      </c>
      <c r="N89" s="8">
        <f t="shared" si="18"/>
        <v>3244308.8800000004</v>
      </c>
      <c r="O89" s="8">
        <f t="shared" si="19"/>
        <v>30075</v>
      </c>
      <c r="P89" s="8">
        <f t="shared" si="20"/>
        <v>226</v>
      </c>
      <c r="Q89" s="9">
        <f t="shared" si="21"/>
        <v>129198.14123893806</v>
      </c>
      <c r="R89" s="9">
        <f t="shared" si="22"/>
        <v>1197.6769911504425</v>
      </c>
      <c r="S89" s="10">
        <f t="shared" si="23"/>
        <v>1.2263211284118496</v>
      </c>
      <c r="T89" s="11">
        <v>3721474.08</v>
      </c>
      <c r="U89" s="11">
        <v>33718</v>
      </c>
      <c r="V89" s="11">
        <v>79</v>
      </c>
      <c r="W89" s="12">
        <v>141321.80050632911</v>
      </c>
      <c r="X89" s="12">
        <v>1280.430379746836</v>
      </c>
      <c r="Y89" s="13">
        <v>1.2116113764903229</v>
      </c>
      <c r="Z89" s="11">
        <v>3076086.81</v>
      </c>
      <c r="AA89" s="11">
        <v>27861</v>
      </c>
      <c r="AB89" s="11">
        <v>78</v>
      </c>
      <c r="AC89" s="12">
        <v>118311.0311538462</v>
      </c>
      <c r="AD89" s="12">
        <v>1071.5769230769231</v>
      </c>
      <c r="AE89" s="13">
        <v>1.2110487015295051</v>
      </c>
      <c r="AF89" s="11">
        <v>2935365.75</v>
      </c>
      <c r="AG89" s="11">
        <v>28646</v>
      </c>
      <c r="AH89" s="11">
        <v>69</v>
      </c>
      <c r="AI89" s="12">
        <v>127624.597826087</v>
      </c>
      <c r="AJ89" s="12">
        <v>1245.478260869565</v>
      </c>
      <c r="AK89" s="13">
        <v>1.256303307215721</v>
      </c>
      <c r="AL89" s="11"/>
      <c r="AM89" s="11"/>
      <c r="AN89" s="11"/>
      <c r="AO89" s="12"/>
      <c r="AP89" s="12"/>
      <c r="AQ89" s="13"/>
      <c r="AR89" s="11"/>
      <c r="AS89" s="11"/>
      <c r="AT89" s="11"/>
      <c r="AU89" s="12"/>
      <c r="AV89" s="12"/>
      <c r="AW89" s="13"/>
      <c r="AX89" s="11"/>
      <c r="AY89" s="11"/>
      <c r="AZ89" s="11"/>
      <c r="BA89" s="12"/>
      <c r="BB89" s="12"/>
      <c r="BC89" s="13"/>
      <c r="BD89" s="11"/>
      <c r="BE89" s="11"/>
      <c r="BF89" s="11"/>
      <c r="BG89" s="12"/>
      <c r="BH89" s="12"/>
      <c r="BI89" s="13"/>
      <c r="BJ89" s="11"/>
      <c r="BK89" s="11"/>
      <c r="BL89" s="11"/>
      <c r="BM89" s="12"/>
      <c r="BN89" s="12"/>
      <c r="BO89" s="13"/>
      <c r="BP89" s="11"/>
      <c r="BQ89" s="11"/>
      <c r="BR89" s="11"/>
      <c r="BS89" s="12"/>
      <c r="BT89" s="12"/>
      <c r="BU89" s="13"/>
      <c r="BV89" s="11"/>
      <c r="BW89" s="11"/>
      <c r="BX89" s="11"/>
      <c r="BY89" s="12"/>
      <c r="BZ89" s="12"/>
      <c r="CA89" s="13"/>
      <c r="CB89" s="11"/>
      <c r="CC89" s="11"/>
      <c r="CD89" s="11"/>
      <c r="CE89" s="12"/>
      <c r="CF89" s="12"/>
      <c r="CG89" s="13"/>
      <c r="CJ89" s="11"/>
      <c r="CK89" s="12"/>
      <c r="CL89" s="12"/>
      <c r="CM89" s="13"/>
      <c r="CN89" s="11"/>
      <c r="CO89" s="11"/>
      <c r="CP89" s="11"/>
    </row>
    <row r="90" spans="1:94" x14ac:dyDescent="0.25">
      <c r="A90" s="20" t="s">
        <v>84</v>
      </c>
      <c r="B90" s="8">
        <v>4418925.0708333328</v>
      </c>
      <c r="C90" s="8">
        <v>49042.166666666664</v>
      </c>
      <c r="D90" s="8">
        <v>855</v>
      </c>
      <c r="E90" s="9">
        <v>186060.00298245612</v>
      </c>
      <c r="F90" s="9">
        <v>2064.9333333333334</v>
      </c>
      <c r="G90" s="10">
        <v>1.338445333252533</v>
      </c>
      <c r="H90" s="8">
        <v>5072110.3208333338</v>
      </c>
      <c r="I90" s="8">
        <v>57265</v>
      </c>
      <c r="J90" s="8">
        <v>938</v>
      </c>
      <c r="K90" s="9">
        <v>194665.21487206823</v>
      </c>
      <c r="L90" s="9">
        <v>2197.8038379530917</v>
      </c>
      <c r="M90" s="10">
        <v>1.3509865269064847</v>
      </c>
      <c r="N90" s="8">
        <f t="shared" si="18"/>
        <v>5341711.333333333</v>
      </c>
      <c r="O90" s="8">
        <f t="shared" si="19"/>
        <v>61061.333333333336</v>
      </c>
      <c r="P90" s="8">
        <f t="shared" si="20"/>
        <v>228</v>
      </c>
      <c r="Q90" s="9">
        <f t="shared" si="21"/>
        <v>210857.02631578947</v>
      </c>
      <c r="R90" s="9">
        <f t="shared" si="22"/>
        <v>2410.3157894736842</v>
      </c>
      <c r="S90" s="10">
        <f t="shared" si="23"/>
        <v>1.3681841278378428</v>
      </c>
      <c r="T90" s="11">
        <v>4835277</v>
      </c>
      <c r="U90" s="11">
        <v>59942</v>
      </c>
      <c r="V90" s="11">
        <v>81</v>
      </c>
      <c r="W90" s="12">
        <v>179084.33333333331</v>
      </c>
      <c r="X90" s="12">
        <v>2220.0740740740739</v>
      </c>
      <c r="Y90" s="13">
        <v>1.4170763546737011</v>
      </c>
      <c r="Z90" s="11">
        <v>6894610</v>
      </c>
      <c r="AA90" s="11">
        <v>72617</v>
      </c>
      <c r="AB90" s="11">
        <v>78</v>
      </c>
      <c r="AC90" s="12">
        <v>265177.30769230769</v>
      </c>
      <c r="AD90" s="12">
        <v>2792.9615384615381</v>
      </c>
      <c r="AE90" s="13">
        <v>1.305971444631032</v>
      </c>
      <c r="AF90" s="11">
        <v>4295247</v>
      </c>
      <c r="AG90" s="11">
        <v>50625</v>
      </c>
      <c r="AH90" s="11">
        <v>69</v>
      </c>
      <c r="AI90" s="12">
        <v>186749.86956521741</v>
      </c>
      <c r="AJ90" s="12">
        <v>2201.086956521739</v>
      </c>
      <c r="AK90" s="13">
        <v>1.3815045842087961</v>
      </c>
      <c r="AL90" s="11"/>
      <c r="AM90" s="11"/>
      <c r="AN90" s="11"/>
      <c r="AO90" s="12"/>
      <c r="AP90" s="12"/>
      <c r="AQ90" s="13"/>
      <c r="AR90" s="11"/>
      <c r="AS90" s="11"/>
      <c r="AT90" s="11"/>
      <c r="AU90" s="12"/>
      <c r="AV90" s="12"/>
      <c r="AW90" s="13"/>
      <c r="AX90" s="11"/>
      <c r="AY90" s="11"/>
      <c r="AZ90" s="11"/>
      <c r="BA90" s="12"/>
      <c r="BB90" s="12"/>
      <c r="BC90" s="13"/>
      <c r="BD90" s="11"/>
      <c r="BE90" s="11"/>
      <c r="BF90" s="11"/>
      <c r="BG90" s="12"/>
      <c r="BH90" s="12"/>
      <c r="BI90" s="13"/>
      <c r="BJ90" s="11"/>
      <c r="BK90" s="11"/>
      <c r="BL90" s="11"/>
      <c r="BM90" s="12"/>
      <c r="BN90" s="12"/>
      <c r="BO90" s="13"/>
      <c r="BP90" s="11"/>
      <c r="BQ90" s="11"/>
      <c r="BR90" s="11"/>
      <c r="BS90" s="12"/>
      <c r="BT90" s="12"/>
      <c r="BU90" s="13"/>
      <c r="BV90" s="11"/>
      <c r="BW90" s="11"/>
      <c r="BX90" s="11"/>
      <c r="BY90" s="12"/>
      <c r="BZ90" s="12"/>
      <c r="CA90" s="13"/>
      <c r="CB90" s="11"/>
      <c r="CC90" s="11"/>
      <c r="CD90" s="11"/>
      <c r="CE90" s="12"/>
      <c r="CF90" s="12"/>
      <c r="CG90" s="13"/>
      <c r="CJ90" s="11"/>
      <c r="CK90" s="12"/>
      <c r="CL90" s="12"/>
      <c r="CM90" s="13"/>
      <c r="CN90" s="11"/>
      <c r="CO90" s="11"/>
      <c r="CP90" s="11"/>
    </row>
    <row r="91" spans="1:94" x14ac:dyDescent="0.25">
      <c r="A91" s="20" t="s">
        <v>85</v>
      </c>
      <c r="B91" s="8">
        <v>4820727.775833332</v>
      </c>
      <c r="C91" s="8">
        <v>41262.416666666664</v>
      </c>
      <c r="D91" s="8">
        <v>778</v>
      </c>
      <c r="E91" s="9">
        <v>223067.09502570686</v>
      </c>
      <c r="F91" s="9">
        <v>1909.3149100257069</v>
      </c>
      <c r="G91" s="10">
        <v>1.1740627373738539</v>
      </c>
      <c r="H91" s="8">
        <v>6341030.875</v>
      </c>
      <c r="I91" s="8">
        <v>52291.25</v>
      </c>
      <c r="J91" s="8">
        <v>925</v>
      </c>
      <c r="K91" s="9">
        <v>246786.06648648647</v>
      </c>
      <c r="L91" s="9">
        <v>2035.118918918919</v>
      </c>
      <c r="M91" s="10">
        <v>1.1482471647833763</v>
      </c>
      <c r="N91" s="8">
        <f t="shared" si="18"/>
        <v>6493564.1333333328</v>
      </c>
      <c r="O91" s="8">
        <f t="shared" si="19"/>
        <v>53093</v>
      </c>
      <c r="P91" s="8">
        <f t="shared" si="20"/>
        <v>222</v>
      </c>
      <c r="Q91" s="9">
        <f t="shared" si="21"/>
        <v>263252.59999999998</v>
      </c>
      <c r="R91" s="9">
        <f t="shared" si="22"/>
        <v>2152.4189189189192</v>
      </c>
      <c r="S91" s="10">
        <f t="shared" si="23"/>
        <v>1.152477381916305</v>
      </c>
      <c r="T91" s="11">
        <v>7274414.3999999994</v>
      </c>
      <c r="U91" s="11">
        <v>57591</v>
      </c>
      <c r="V91" s="11">
        <v>81</v>
      </c>
      <c r="W91" s="12">
        <v>269422.75555555552</v>
      </c>
      <c r="X91" s="12">
        <v>2133</v>
      </c>
      <c r="Y91" s="13">
        <v>1.1336382763274511</v>
      </c>
      <c r="Z91" s="11">
        <v>5963487</v>
      </c>
      <c r="AA91" s="11">
        <v>46527</v>
      </c>
      <c r="AB91" s="11">
        <v>73</v>
      </c>
      <c r="AC91" s="12">
        <v>245074.80821917811</v>
      </c>
      <c r="AD91" s="12">
        <v>1912.0684931506851</v>
      </c>
      <c r="AE91" s="13">
        <v>1.125257420856963</v>
      </c>
      <c r="AF91" s="11">
        <v>6242791</v>
      </c>
      <c r="AG91" s="11">
        <v>55161</v>
      </c>
      <c r="AH91" s="11">
        <v>68</v>
      </c>
      <c r="AI91" s="12">
        <v>275417.25</v>
      </c>
      <c r="AJ91" s="12">
        <v>2433.5735294117649</v>
      </c>
      <c r="AK91" s="13">
        <v>1.1985364485645009</v>
      </c>
      <c r="AL91" s="11"/>
      <c r="AM91" s="11"/>
      <c r="AN91" s="11"/>
      <c r="AO91" s="12"/>
      <c r="AP91" s="12"/>
      <c r="AQ91" s="13"/>
      <c r="AR91" s="11"/>
      <c r="AS91" s="11"/>
      <c r="AT91" s="11"/>
      <c r="AU91" s="12"/>
      <c r="AV91" s="12"/>
      <c r="AW91" s="13"/>
      <c r="AX91" s="11"/>
      <c r="AY91" s="11"/>
      <c r="AZ91" s="11"/>
      <c r="BA91" s="12"/>
      <c r="BB91" s="12"/>
      <c r="BC91" s="13"/>
      <c r="BD91" s="11"/>
      <c r="BE91" s="11"/>
      <c r="BF91" s="11"/>
      <c r="BG91" s="12"/>
      <c r="BH91" s="12"/>
      <c r="BI91" s="13"/>
      <c r="BJ91" s="11"/>
      <c r="BK91" s="11"/>
      <c r="BL91" s="11"/>
      <c r="BM91" s="12"/>
      <c r="BN91" s="12"/>
      <c r="BO91" s="13"/>
      <c r="BP91" s="11"/>
      <c r="BQ91" s="11"/>
      <c r="BR91" s="11"/>
      <c r="BS91" s="12"/>
      <c r="BT91" s="12"/>
      <c r="BU91" s="13"/>
      <c r="BV91" s="11"/>
      <c r="BW91" s="11"/>
      <c r="BX91" s="11"/>
      <c r="BY91" s="12"/>
      <c r="BZ91" s="12"/>
      <c r="CA91" s="13"/>
      <c r="CB91" s="11"/>
      <c r="CC91" s="11"/>
      <c r="CD91" s="11"/>
      <c r="CE91" s="12"/>
      <c r="CF91" s="12"/>
      <c r="CG91" s="13"/>
      <c r="CJ91" s="11"/>
      <c r="CK91" s="12"/>
      <c r="CL91" s="12"/>
      <c r="CM91" s="13"/>
      <c r="CN91" s="11"/>
      <c r="CO91" s="11"/>
      <c r="CP91" s="11"/>
    </row>
    <row r="92" spans="1:94" x14ac:dyDescent="0.25">
      <c r="A92" s="20" t="s">
        <v>86</v>
      </c>
      <c r="B92" s="8">
        <v>4317677.91</v>
      </c>
      <c r="C92" s="8">
        <v>30392.916666666668</v>
      </c>
      <c r="D92" s="8">
        <v>838</v>
      </c>
      <c r="E92" s="9">
        <v>185484.96988066827</v>
      </c>
      <c r="F92" s="9">
        <v>1305.662291169451</v>
      </c>
      <c r="G92" s="10">
        <v>1.0657611136914</v>
      </c>
      <c r="H92" s="8">
        <v>5167357.833333333</v>
      </c>
      <c r="I92" s="8">
        <v>34093.583333333336</v>
      </c>
      <c r="J92" s="8">
        <v>945</v>
      </c>
      <c r="K92" s="9">
        <v>196851.72698412696</v>
      </c>
      <c r="L92" s="9">
        <v>1298.8031746031745</v>
      </c>
      <c r="M92" s="10">
        <v>1.0338340912502788</v>
      </c>
      <c r="N92" s="8">
        <f t="shared" si="18"/>
        <v>5635412</v>
      </c>
      <c r="O92" s="8">
        <f t="shared" si="19"/>
        <v>34089.666666666664</v>
      </c>
      <c r="P92" s="8">
        <f t="shared" si="20"/>
        <v>225</v>
      </c>
      <c r="Q92" s="9">
        <f t="shared" si="21"/>
        <v>225416.47999999998</v>
      </c>
      <c r="R92" s="9">
        <f t="shared" si="22"/>
        <v>1363.5866666666666</v>
      </c>
      <c r="S92" s="10">
        <f t="shared" si="23"/>
        <v>0.98911995491991822</v>
      </c>
      <c r="T92" s="11">
        <v>5879996</v>
      </c>
      <c r="U92" s="11">
        <v>35476</v>
      </c>
      <c r="V92" s="11">
        <v>80</v>
      </c>
      <c r="W92" s="12">
        <v>220499.85</v>
      </c>
      <c r="X92" s="12">
        <v>1330.35</v>
      </c>
      <c r="Y92" s="13">
        <v>0.98737035917310345</v>
      </c>
      <c r="Z92" s="11">
        <v>5952578</v>
      </c>
      <c r="AA92" s="11">
        <v>35292</v>
      </c>
      <c r="AB92" s="11">
        <v>76</v>
      </c>
      <c r="AC92" s="12">
        <v>234970.18421052629</v>
      </c>
      <c r="AD92" s="12">
        <v>1393.105263157895</v>
      </c>
      <c r="AE92" s="13">
        <v>0.97762729240545088</v>
      </c>
      <c r="AF92" s="11">
        <v>5073662</v>
      </c>
      <c r="AG92" s="11">
        <v>31501</v>
      </c>
      <c r="AH92" s="11">
        <v>69</v>
      </c>
      <c r="AI92" s="12">
        <v>220594</v>
      </c>
      <c r="AJ92" s="12">
        <v>1369.608695652174</v>
      </c>
      <c r="AK92" s="13">
        <v>1.0023622131812</v>
      </c>
      <c r="AL92" s="11"/>
      <c r="AM92" s="11"/>
      <c r="AN92" s="11"/>
      <c r="AO92" s="12"/>
      <c r="AP92" s="12"/>
      <c r="AQ92" s="13"/>
      <c r="AR92" s="11"/>
      <c r="AS92" s="11"/>
      <c r="AT92" s="11"/>
      <c r="AU92" s="12"/>
      <c r="AV92" s="12"/>
      <c r="AW92" s="13"/>
      <c r="AX92" s="11"/>
      <c r="AY92" s="11"/>
      <c r="AZ92" s="11"/>
      <c r="BA92" s="12"/>
      <c r="BB92" s="12"/>
      <c r="BC92" s="13"/>
      <c r="BD92" s="11"/>
      <c r="BE92" s="11"/>
      <c r="BF92" s="11"/>
      <c r="BG92" s="12"/>
      <c r="BH92" s="12"/>
      <c r="BI92" s="13"/>
      <c r="BJ92" s="11"/>
      <c r="BK92" s="11"/>
      <c r="BL92" s="11"/>
      <c r="BM92" s="12"/>
      <c r="BN92" s="12"/>
      <c r="BO92" s="13"/>
      <c r="BP92" s="11"/>
      <c r="BQ92" s="11"/>
      <c r="BR92" s="11"/>
      <c r="BS92" s="12"/>
      <c r="BT92" s="12"/>
      <c r="BU92" s="13"/>
      <c r="BV92" s="11"/>
      <c r="BW92" s="11"/>
      <c r="BX92" s="11"/>
      <c r="BY92" s="12"/>
      <c r="BZ92" s="12"/>
      <c r="CA92" s="13"/>
      <c r="CB92" s="11"/>
      <c r="CC92" s="11"/>
      <c r="CD92" s="11"/>
      <c r="CE92" s="12"/>
      <c r="CF92" s="12"/>
      <c r="CG92" s="13"/>
      <c r="CJ92" s="11"/>
      <c r="CK92" s="12"/>
      <c r="CL92" s="12"/>
      <c r="CM92" s="13"/>
      <c r="CN92" s="11"/>
      <c r="CO92" s="11"/>
      <c r="CP92" s="11"/>
    </row>
    <row r="93" spans="1:94" x14ac:dyDescent="0.25">
      <c r="A93" s="20" t="s">
        <v>87</v>
      </c>
      <c r="B93" s="8">
        <v>2595063.7913636281</v>
      </c>
      <c r="C93" s="8">
        <v>14393.181818181818</v>
      </c>
      <c r="D93" s="8">
        <v>764</v>
      </c>
      <c r="E93" s="9">
        <v>112090.45172120383</v>
      </c>
      <c r="F93" s="9">
        <v>621.69502617801049</v>
      </c>
      <c r="G93" s="10">
        <v>0.94659556300347325</v>
      </c>
      <c r="H93" s="8">
        <v>3541045.3675000002</v>
      </c>
      <c r="I93" s="8">
        <v>21475.833333333332</v>
      </c>
      <c r="J93" s="8">
        <v>894</v>
      </c>
      <c r="K93" s="9">
        <v>142592.4309060403</v>
      </c>
      <c r="L93" s="9">
        <v>864.79865771812069</v>
      </c>
      <c r="M93" s="10">
        <v>0.99224517838527537</v>
      </c>
      <c r="N93" s="8">
        <f t="shared" si="18"/>
        <v>3458324.5733333328</v>
      </c>
      <c r="O93" s="8">
        <f t="shared" si="19"/>
        <v>19387.666666666668</v>
      </c>
      <c r="P93" s="8">
        <f t="shared" si="20"/>
        <v>225</v>
      </c>
      <c r="Q93" s="9">
        <f t="shared" si="21"/>
        <v>138332.98293333332</v>
      </c>
      <c r="R93" s="9">
        <f t="shared" si="22"/>
        <v>775.50666666666666</v>
      </c>
      <c r="S93" s="10">
        <f t="shared" si="23"/>
        <v>0.9423897658861945</v>
      </c>
      <c r="T93" s="11">
        <v>4307185.76</v>
      </c>
      <c r="U93" s="11">
        <v>26944</v>
      </c>
      <c r="V93" s="11">
        <v>82</v>
      </c>
      <c r="W93" s="12">
        <v>157579.96682926829</v>
      </c>
      <c r="X93" s="12">
        <v>985.7560975609756</v>
      </c>
      <c r="Y93" s="13">
        <v>1.006177621664641</v>
      </c>
      <c r="Z93" s="11">
        <v>2976771.96</v>
      </c>
      <c r="AA93" s="11">
        <v>17342</v>
      </c>
      <c r="AB93" s="11">
        <v>75</v>
      </c>
      <c r="AC93" s="12">
        <v>119070.8784</v>
      </c>
      <c r="AD93" s="12">
        <v>693.68</v>
      </c>
      <c r="AE93" s="13">
        <v>0.97005551461921147</v>
      </c>
      <c r="AF93" s="11">
        <v>3091016</v>
      </c>
      <c r="AG93" s="11">
        <v>13877</v>
      </c>
      <c r="AH93" s="11">
        <v>68</v>
      </c>
      <c r="AI93" s="12">
        <v>136368.3529411765</v>
      </c>
      <c r="AJ93" s="12">
        <v>612.22058823529414</v>
      </c>
      <c r="AK93" s="13">
        <v>0.85093616137473138</v>
      </c>
      <c r="AL93" s="11"/>
      <c r="AM93" s="11"/>
      <c r="AN93" s="11"/>
      <c r="AO93" s="12"/>
      <c r="AP93" s="12"/>
      <c r="AQ93" s="13"/>
      <c r="AR93" s="11"/>
      <c r="AS93" s="11"/>
      <c r="AT93" s="11"/>
      <c r="AU93" s="12"/>
      <c r="AV93" s="12"/>
      <c r="AW93" s="13"/>
      <c r="AX93" s="11"/>
      <c r="AY93" s="11"/>
      <c r="AZ93" s="11"/>
      <c r="BA93" s="12"/>
      <c r="BB93" s="12"/>
      <c r="BC93" s="13"/>
      <c r="BD93" s="11"/>
      <c r="BE93" s="11"/>
      <c r="BF93" s="11"/>
      <c r="BG93" s="12"/>
      <c r="BH93" s="12"/>
      <c r="BI93" s="13"/>
      <c r="BJ93" s="11"/>
      <c r="BK93" s="11"/>
      <c r="BL93" s="11"/>
      <c r="BM93" s="12"/>
      <c r="BN93" s="12"/>
      <c r="BO93" s="13"/>
      <c r="BP93" s="11"/>
      <c r="BQ93" s="11"/>
      <c r="BR93" s="11"/>
      <c r="BS93" s="12"/>
      <c r="BT93" s="12"/>
      <c r="BU93" s="13"/>
      <c r="BV93" s="11"/>
      <c r="BW93" s="11"/>
      <c r="BX93" s="11"/>
      <c r="BY93" s="12"/>
      <c r="BZ93" s="12"/>
      <c r="CA93" s="13"/>
      <c r="CB93" s="11"/>
      <c r="CC93" s="11"/>
      <c r="CD93" s="11"/>
      <c r="CE93" s="12"/>
      <c r="CF93" s="12"/>
      <c r="CG93" s="13"/>
      <c r="CJ93" s="11"/>
      <c r="CK93" s="12"/>
      <c r="CL93" s="12"/>
      <c r="CM93" s="13"/>
      <c r="CN93" s="11"/>
      <c r="CO93" s="11"/>
      <c r="CP93" s="11"/>
    </row>
    <row r="94" spans="1:94" x14ac:dyDescent="0.25">
      <c r="A94" s="20" t="s">
        <v>88</v>
      </c>
      <c r="B94" s="8">
        <v>3431471.2299999991</v>
      </c>
      <c r="C94" s="8">
        <v>17237.333333333332</v>
      </c>
      <c r="D94" s="8">
        <v>737</v>
      </c>
      <c r="E94" s="9">
        <v>167615.96238805968</v>
      </c>
      <c r="F94" s="9">
        <v>841.98643147896871</v>
      </c>
      <c r="G94" s="10">
        <v>0.89743119104535429</v>
      </c>
      <c r="H94" s="8">
        <v>3804429.8837500005</v>
      </c>
      <c r="I94" s="8">
        <v>13467</v>
      </c>
      <c r="J94" s="8">
        <v>865</v>
      </c>
      <c r="K94" s="9">
        <v>158334.65412138728</v>
      </c>
      <c r="L94" s="9">
        <v>560.47630057803462</v>
      </c>
      <c r="M94" s="10">
        <v>0.75015848220089587</v>
      </c>
      <c r="N94" s="8">
        <f t="shared" si="18"/>
        <v>4123736.92</v>
      </c>
      <c r="O94" s="8">
        <f t="shared" si="19"/>
        <v>12502.333333333334</v>
      </c>
      <c r="P94" s="8">
        <f t="shared" si="20"/>
        <v>214</v>
      </c>
      <c r="Q94" s="9">
        <f t="shared" si="21"/>
        <v>173428.18822429905</v>
      </c>
      <c r="R94" s="9">
        <f t="shared" si="22"/>
        <v>525.79906542056074</v>
      </c>
      <c r="S94" s="10">
        <f t="shared" si="23"/>
        <v>0.68952271645786267</v>
      </c>
      <c r="T94" s="11">
        <v>5182499.76</v>
      </c>
      <c r="U94" s="11">
        <v>17719</v>
      </c>
      <c r="V94" s="11">
        <v>81</v>
      </c>
      <c r="W94" s="12">
        <v>191944.4355555556</v>
      </c>
      <c r="X94" s="12">
        <v>656.25925925925924</v>
      </c>
      <c r="Y94" s="13">
        <v>0.74359730370227828</v>
      </c>
      <c r="Z94" s="11">
        <v>3787565</v>
      </c>
      <c r="AA94" s="11">
        <v>12122</v>
      </c>
      <c r="AB94" s="11">
        <v>69</v>
      </c>
      <c r="AC94" s="12">
        <v>164676.73913043481</v>
      </c>
      <c r="AD94" s="12">
        <v>527.04347826086951</v>
      </c>
      <c r="AE94" s="13">
        <v>0.71876920259688459</v>
      </c>
      <c r="AF94" s="11">
        <v>3401146</v>
      </c>
      <c r="AG94" s="11">
        <v>7666</v>
      </c>
      <c r="AH94" s="11">
        <v>64</v>
      </c>
      <c r="AI94" s="12">
        <v>159428.71875</v>
      </c>
      <c r="AJ94" s="12">
        <v>359.34375</v>
      </c>
      <c r="AK94" s="13">
        <v>0.60620164307442537</v>
      </c>
      <c r="AL94" s="11"/>
      <c r="AM94" s="11"/>
      <c r="AN94" s="11"/>
      <c r="AO94" s="12"/>
      <c r="AP94" s="12"/>
      <c r="AQ94" s="13"/>
      <c r="AR94" s="11"/>
      <c r="AS94" s="11"/>
      <c r="AT94" s="11"/>
      <c r="AU94" s="12"/>
      <c r="AV94" s="12"/>
      <c r="AW94" s="13"/>
      <c r="AX94" s="11"/>
      <c r="AY94" s="11"/>
      <c r="AZ94" s="11"/>
      <c r="BA94" s="12"/>
      <c r="BB94" s="12"/>
      <c r="BC94" s="13"/>
      <c r="BD94" s="11"/>
      <c r="BE94" s="11"/>
      <c r="BF94" s="11"/>
      <c r="BG94" s="12"/>
      <c r="BH94" s="12"/>
      <c r="BI94" s="13"/>
      <c r="BJ94" s="11"/>
      <c r="BK94" s="11"/>
      <c r="BL94" s="11"/>
      <c r="BM94" s="12"/>
      <c r="BN94" s="12"/>
      <c r="BO94" s="13"/>
      <c r="BP94" s="11"/>
      <c r="BQ94" s="11"/>
      <c r="BR94" s="11"/>
      <c r="BS94" s="12"/>
      <c r="BT94" s="12"/>
      <c r="BU94" s="13"/>
      <c r="BV94" s="11"/>
      <c r="BW94" s="11"/>
      <c r="BX94" s="11"/>
      <c r="BY94" s="12"/>
      <c r="BZ94" s="12"/>
      <c r="CA94" s="13"/>
      <c r="CB94" s="11"/>
      <c r="CC94" s="11"/>
      <c r="CD94" s="11"/>
      <c r="CE94" s="12"/>
      <c r="CF94" s="12"/>
      <c r="CG94" s="13"/>
      <c r="CJ94" s="11"/>
      <c r="CK94" s="12"/>
      <c r="CL94" s="12"/>
      <c r="CM94" s="13"/>
      <c r="CN94" s="11"/>
      <c r="CO94" s="11"/>
      <c r="CP94" s="11"/>
    </row>
    <row r="95" spans="1:94" x14ac:dyDescent="0.25">
      <c r="A95" s="20" t="s">
        <v>89</v>
      </c>
      <c r="B95" s="8">
        <v>2192414.4109090907</v>
      </c>
      <c r="C95" s="8">
        <v>17530.909090909092</v>
      </c>
      <c r="D95" s="8">
        <v>545</v>
      </c>
      <c r="E95" s="9">
        <v>132751.69827522934</v>
      </c>
      <c r="F95" s="9">
        <v>1061.5045871559632</v>
      </c>
      <c r="G95" s="10">
        <v>1.1357126998653371</v>
      </c>
      <c r="H95" s="8">
        <v>3032308.784821759</v>
      </c>
      <c r="I95" s="8">
        <v>25942.799999999999</v>
      </c>
      <c r="J95" s="8">
        <v>641</v>
      </c>
      <c r="K95" s="9">
        <v>141917.72783877188</v>
      </c>
      <c r="L95" s="9">
        <v>1214.1716068642745</v>
      </c>
      <c r="M95" s="10">
        <v>1.2463143888739778</v>
      </c>
      <c r="N95" s="8">
        <f t="shared" si="18"/>
        <v>3417444.3333333335</v>
      </c>
      <c r="O95" s="8">
        <f t="shared" si="19"/>
        <v>22344.666666666668</v>
      </c>
      <c r="P95" s="8">
        <f t="shared" si="20"/>
        <v>204</v>
      </c>
      <c r="Q95" s="9">
        <f t="shared" si="21"/>
        <v>150769.60294117648</v>
      </c>
      <c r="R95" s="9">
        <f t="shared" si="22"/>
        <v>985.7941176470589</v>
      </c>
      <c r="S95" s="10">
        <f t="shared" si="23"/>
        <v>1.0310514269356534</v>
      </c>
      <c r="T95" s="11">
        <v>3447426</v>
      </c>
      <c r="U95" s="11">
        <v>22708</v>
      </c>
      <c r="V95" s="11">
        <v>75</v>
      </c>
      <c r="W95" s="12">
        <v>137897.04</v>
      </c>
      <c r="X95" s="12">
        <v>908.31999999999994</v>
      </c>
      <c r="Y95" s="13">
        <v>1.034854039137199</v>
      </c>
      <c r="Z95" s="11">
        <v>4133076</v>
      </c>
      <c r="AA95" s="11">
        <v>26443</v>
      </c>
      <c r="AB95" s="11">
        <v>73</v>
      </c>
      <c r="AC95" s="12">
        <v>169852.43835616441</v>
      </c>
      <c r="AD95" s="12">
        <v>1086.6986301369859</v>
      </c>
      <c r="AE95" s="13">
        <v>1.018474168658926</v>
      </c>
      <c r="AF95" s="11">
        <v>2671831</v>
      </c>
      <c r="AG95" s="11">
        <v>17883</v>
      </c>
      <c r="AH95" s="11">
        <v>56</v>
      </c>
      <c r="AI95" s="12">
        <v>143133.80357142861</v>
      </c>
      <c r="AJ95" s="12">
        <v>958.01785714285711</v>
      </c>
      <c r="AK95" s="13">
        <v>1.0398260730108351</v>
      </c>
      <c r="AL95" s="11"/>
      <c r="AM95" s="11"/>
      <c r="AN95" s="11"/>
      <c r="AO95" s="12"/>
      <c r="AP95" s="12"/>
      <c r="AQ95" s="13"/>
      <c r="AR95" s="11"/>
      <c r="AS95" s="11"/>
      <c r="AT95" s="11"/>
      <c r="AU95" s="12"/>
      <c r="AV95" s="12"/>
      <c r="AW95" s="13"/>
      <c r="AX95" s="11"/>
      <c r="AY95" s="11"/>
      <c r="AZ95" s="11"/>
      <c r="BA95" s="12"/>
      <c r="BB95" s="12"/>
      <c r="BC95" s="13"/>
      <c r="BD95" s="11"/>
      <c r="BE95" s="11"/>
      <c r="BF95" s="11"/>
      <c r="BG95" s="12"/>
      <c r="BH95" s="12"/>
      <c r="BI95" s="13"/>
      <c r="BJ95" s="11"/>
      <c r="BK95" s="11"/>
      <c r="BL95" s="11"/>
      <c r="BM95" s="12"/>
      <c r="BN95" s="12"/>
      <c r="BO95" s="13"/>
      <c r="BP95" s="11"/>
      <c r="BQ95" s="11"/>
      <c r="BR95" s="11"/>
      <c r="BS95" s="12"/>
      <c r="BT95" s="12"/>
      <c r="BU95" s="13"/>
      <c r="BV95" s="11"/>
      <c r="BW95" s="11"/>
      <c r="BX95" s="11"/>
      <c r="BY95" s="12"/>
      <c r="BZ95" s="12"/>
      <c r="CA95" s="13"/>
      <c r="CB95" s="11"/>
      <c r="CC95" s="11"/>
      <c r="CD95" s="11"/>
      <c r="CE95" s="12"/>
      <c r="CF95" s="12"/>
      <c r="CG95" s="13"/>
      <c r="CJ95" s="11"/>
      <c r="CK95" s="12"/>
      <c r="CL95" s="12"/>
      <c r="CM95" s="13"/>
      <c r="CN95" s="11"/>
      <c r="CO95" s="11"/>
      <c r="CP95" s="11"/>
    </row>
    <row r="96" spans="1:94" x14ac:dyDescent="0.25">
      <c r="A96" s="20" t="s">
        <v>90</v>
      </c>
      <c r="B96" s="8">
        <v>2522148.6572727272</v>
      </c>
      <c r="C96" s="8">
        <v>18665.272727272728</v>
      </c>
      <c r="D96" s="8">
        <v>580</v>
      </c>
      <c r="E96" s="9">
        <v>143501.56153448275</v>
      </c>
      <c r="F96" s="9">
        <v>1061.9896551724137</v>
      </c>
      <c r="G96" s="10">
        <v>1.0920091711669639</v>
      </c>
      <c r="H96" s="8">
        <v>3088975.1025580806</v>
      </c>
      <c r="I96" s="8">
        <v>25652.090909090908</v>
      </c>
      <c r="J96" s="8">
        <v>677</v>
      </c>
      <c r="K96" s="9">
        <v>150570.42597402754</v>
      </c>
      <c r="L96" s="9">
        <v>1250.3973412112259</v>
      </c>
      <c r="M96" s="10">
        <v>1.1648538664024406</v>
      </c>
      <c r="N96" s="8">
        <f t="shared" si="18"/>
        <v>1203890</v>
      </c>
      <c r="O96" s="8">
        <f t="shared" si="19"/>
        <v>6499</v>
      </c>
      <c r="P96" s="8">
        <f t="shared" si="20"/>
        <v>90</v>
      </c>
      <c r="Q96" s="9">
        <f t="shared" si="21"/>
        <v>120389</v>
      </c>
      <c r="R96" s="9">
        <f t="shared" si="22"/>
        <v>649.9</v>
      </c>
      <c r="S96" s="10">
        <f t="shared" si="23"/>
        <v>0.94284913213573818</v>
      </c>
      <c r="T96" s="11">
        <v>224676</v>
      </c>
      <c r="U96" s="11">
        <v>1210</v>
      </c>
      <c r="V96" s="11">
        <v>10</v>
      </c>
      <c r="W96" s="12">
        <v>67402.799999999988</v>
      </c>
      <c r="X96" s="12">
        <v>363</v>
      </c>
      <c r="Y96" s="13">
        <v>0.93409261734884264</v>
      </c>
      <c r="Z96" s="11">
        <v>548643</v>
      </c>
      <c r="AA96" s="11">
        <v>3088</v>
      </c>
      <c r="AB96" s="11">
        <v>14</v>
      </c>
      <c r="AC96" s="12">
        <v>117566.3571428572</v>
      </c>
      <c r="AD96" s="12">
        <v>661.71428571428578</v>
      </c>
      <c r="AE96" s="13">
        <v>0.96090265377348494</v>
      </c>
      <c r="AF96" s="11">
        <v>2838351</v>
      </c>
      <c r="AG96" s="11">
        <v>15199</v>
      </c>
      <c r="AH96" s="11">
        <v>66</v>
      </c>
      <c r="AI96" s="12">
        <v>129015.9545454546</v>
      </c>
      <c r="AJ96" s="12">
        <v>690.86363636363637</v>
      </c>
      <c r="AK96" s="13">
        <v>0.93355212528488696</v>
      </c>
      <c r="AL96" s="11"/>
      <c r="AM96" s="11"/>
      <c r="AN96" s="11"/>
      <c r="AO96" s="12"/>
      <c r="AP96" s="12"/>
      <c r="AQ96" s="13"/>
      <c r="AR96" s="11"/>
      <c r="AS96" s="11"/>
      <c r="AT96" s="11"/>
      <c r="AU96" s="12"/>
      <c r="AV96" s="12"/>
      <c r="AW96" s="13"/>
      <c r="AX96" s="11"/>
      <c r="AY96" s="11"/>
      <c r="AZ96" s="11"/>
      <c r="BA96" s="12"/>
      <c r="BB96" s="12"/>
      <c r="BC96" s="13"/>
      <c r="BD96" s="11"/>
      <c r="BE96" s="11"/>
      <c r="BF96" s="11"/>
      <c r="BG96" s="12"/>
      <c r="BH96" s="12"/>
      <c r="BI96" s="13"/>
      <c r="BJ96" s="11"/>
      <c r="BK96" s="11"/>
      <c r="BL96" s="11"/>
      <c r="BM96" s="12"/>
      <c r="BN96" s="12"/>
      <c r="BO96" s="13"/>
      <c r="BP96" s="11"/>
      <c r="BQ96" s="11"/>
      <c r="BR96" s="11"/>
      <c r="BS96" s="12"/>
      <c r="BT96" s="12"/>
      <c r="BU96" s="13"/>
      <c r="BV96" s="11"/>
      <c r="BW96" s="11"/>
      <c r="BX96" s="11"/>
      <c r="BY96" s="12"/>
      <c r="BZ96" s="12"/>
      <c r="CA96" s="13"/>
      <c r="CB96" s="11"/>
      <c r="CC96" s="11"/>
      <c r="CD96" s="11"/>
      <c r="CE96" s="12"/>
      <c r="CF96" s="12"/>
      <c r="CG96" s="13"/>
      <c r="CJ96" s="11"/>
      <c r="CK96" s="12"/>
      <c r="CL96" s="12"/>
      <c r="CM96" s="13"/>
      <c r="CN96" s="11"/>
      <c r="CO96" s="11"/>
      <c r="CP96" s="11"/>
    </row>
    <row r="97" spans="1:94" x14ac:dyDescent="0.25">
      <c r="A97" s="20" t="s">
        <v>91</v>
      </c>
      <c r="B97" s="8">
        <v>2316568.4545454546</v>
      </c>
      <c r="C97" s="8">
        <v>11306.181818181818</v>
      </c>
      <c r="D97" s="8">
        <v>449</v>
      </c>
      <c r="E97" s="9">
        <v>170260.04231625836</v>
      </c>
      <c r="F97" s="9">
        <v>830.966592427617</v>
      </c>
      <c r="G97" s="10">
        <v>0.88539566276918513</v>
      </c>
      <c r="H97" s="8">
        <v>4643038.875</v>
      </c>
      <c r="I97" s="8">
        <v>21654.375</v>
      </c>
      <c r="J97" s="8">
        <v>512</v>
      </c>
      <c r="K97" s="9">
        <v>217642.447265625</v>
      </c>
      <c r="L97" s="9">
        <v>1015.048828125</v>
      </c>
      <c r="M97" s="10">
        <v>0.84468623377984586</v>
      </c>
      <c r="N97" s="8">
        <f t="shared" si="18"/>
        <v>3537633.3333333335</v>
      </c>
      <c r="O97" s="8">
        <f t="shared" si="19"/>
        <v>14871</v>
      </c>
      <c r="P97" s="8">
        <f t="shared" si="20"/>
        <v>168</v>
      </c>
      <c r="Q97" s="9">
        <f t="shared" si="21"/>
        <v>189516.07142857142</v>
      </c>
      <c r="R97" s="9">
        <f t="shared" si="22"/>
        <v>796.66071428571433</v>
      </c>
      <c r="S97" s="10">
        <f t="shared" si="23"/>
        <v>0.82036789469609495</v>
      </c>
      <c r="T97" s="11">
        <v>3842266</v>
      </c>
      <c r="U97" s="11">
        <v>15884</v>
      </c>
      <c r="V97" s="11">
        <v>59</v>
      </c>
      <c r="W97" s="12">
        <v>195369.45762711871</v>
      </c>
      <c r="X97" s="12">
        <v>807.66101694915255</v>
      </c>
      <c r="Y97" s="13">
        <v>0.81340035345041284</v>
      </c>
      <c r="Z97" s="11">
        <v>3173655</v>
      </c>
      <c r="AA97" s="11">
        <v>13179</v>
      </c>
      <c r="AB97" s="11">
        <v>52</v>
      </c>
      <c r="AC97" s="12">
        <v>183095.48076923081</v>
      </c>
      <c r="AD97" s="12">
        <v>760.32692307692309</v>
      </c>
      <c r="AE97" s="13">
        <v>0.81546341027834646</v>
      </c>
      <c r="AF97" s="11">
        <v>3596979</v>
      </c>
      <c r="AG97" s="11">
        <v>15550</v>
      </c>
      <c r="AH97" s="11">
        <v>57</v>
      </c>
      <c r="AI97" s="12">
        <v>189314.68421052629</v>
      </c>
      <c r="AJ97" s="12">
        <v>818.42105263157896</v>
      </c>
      <c r="AK97" s="13">
        <v>0.83223992035952543</v>
      </c>
      <c r="AL97" s="11"/>
      <c r="AM97" s="11"/>
      <c r="AN97" s="11"/>
      <c r="AO97" s="12"/>
      <c r="AP97" s="12"/>
      <c r="AQ97" s="13"/>
      <c r="AR97" s="11"/>
      <c r="AS97" s="11"/>
      <c r="AT97" s="11"/>
      <c r="AU97" s="12"/>
      <c r="AV97" s="12"/>
      <c r="AW97" s="13"/>
      <c r="AX97" s="11"/>
      <c r="AY97" s="11"/>
      <c r="AZ97" s="11"/>
      <c r="BA97" s="12"/>
      <c r="BB97" s="12"/>
      <c r="BC97" s="13"/>
      <c r="BD97" s="11"/>
      <c r="BE97" s="11"/>
      <c r="BF97" s="11"/>
      <c r="BG97" s="12"/>
      <c r="BH97" s="12"/>
      <c r="BI97" s="13"/>
      <c r="BJ97" s="11"/>
      <c r="BK97" s="11"/>
      <c r="BL97" s="11"/>
      <c r="BM97" s="12"/>
      <c r="BN97" s="12"/>
      <c r="BO97" s="13"/>
      <c r="BP97" s="11"/>
      <c r="BQ97" s="11"/>
      <c r="BR97" s="11"/>
      <c r="BS97" s="12"/>
      <c r="BT97" s="12"/>
      <c r="BU97" s="13"/>
      <c r="BV97" s="11"/>
      <c r="BW97" s="11"/>
      <c r="BX97" s="11"/>
      <c r="BY97" s="12"/>
      <c r="BZ97" s="12"/>
      <c r="CA97" s="13"/>
      <c r="CB97" s="11"/>
      <c r="CC97" s="11"/>
      <c r="CD97" s="11"/>
      <c r="CE97" s="12"/>
      <c r="CF97" s="12"/>
      <c r="CG97" s="13"/>
      <c r="CJ97" s="11"/>
      <c r="CK97" s="12"/>
      <c r="CL97" s="12"/>
      <c r="CM97" s="13"/>
      <c r="CN97" s="11"/>
      <c r="CO97" s="11"/>
      <c r="CP97" s="11"/>
    </row>
    <row r="98" spans="1:94" x14ac:dyDescent="0.25">
      <c r="A98" s="20" t="s">
        <v>92</v>
      </c>
      <c r="B98" s="8">
        <v>2661784.5181818199</v>
      </c>
      <c r="C98" s="8">
        <v>16375.636363636364</v>
      </c>
      <c r="D98" s="8">
        <v>632</v>
      </c>
      <c r="E98" s="9">
        <v>138985.58401898743</v>
      </c>
      <c r="F98" s="9">
        <v>855.05696202531658</v>
      </c>
      <c r="G98" s="10">
        <v>0.99583712675689673</v>
      </c>
      <c r="H98" s="8">
        <v>3903793.6454545455</v>
      </c>
      <c r="I98" s="8">
        <v>27462.090909090908</v>
      </c>
      <c r="J98" s="8">
        <v>719</v>
      </c>
      <c r="K98" s="9">
        <v>179172.7264255911</v>
      </c>
      <c r="L98" s="9">
        <v>1260.4297635605008</v>
      </c>
      <c r="M98" s="10">
        <v>1.0460828273174907</v>
      </c>
      <c r="N98" s="8">
        <f t="shared" si="18"/>
        <v>4418418.333333333</v>
      </c>
      <c r="O98" s="8">
        <f t="shared" si="19"/>
        <v>31565</v>
      </c>
      <c r="P98" s="8">
        <f t="shared" si="20"/>
        <v>213</v>
      </c>
      <c r="Q98" s="9">
        <f t="shared" si="21"/>
        <v>186693.7323943662</v>
      </c>
      <c r="R98" s="9">
        <f t="shared" si="22"/>
        <v>1333.7323943661972</v>
      </c>
      <c r="S98" s="10">
        <f t="shared" si="23"/>
        <v>1.0695423427294963</v>
      </c>
      <c r="T98" s="11">
        <v>5398924</v>
      </c>
      <c r="U98" s="11">
        <v>39206</v>
      </c>
      <c r="V98" s="11">
        <v>82</v>
      </c>
      <c r="W98" s="12">
        <v>197521.6097560976</v>
      </c>
      <c r="X98" s="12">
        <v>1434.3658536585369</v>
      </c>
      <c r="Y98" s="13">
        <v>1.083553798172586</v>
      </c>
      <c r="Z98" s="11">
        <v>4839814</v>
      </c>
      <c r="AA98" s="11">
        <v>35263</v>
      </c>
      <c r="AB98" s="11">
        <v>74</v>
      </c>
      <c r="AC98" s="12">
        <v>196208.67567567571</v>
      </c>
      <c r="AD98" s="12">
        <v>1429.581081081081</v>
      </c>
      <c r="AE98" s="13">
        <v>1.0855632044298</v>
      </c>
      <c r="AF98" s="11">
        <v>3016517</v>
      </c>
      <c r="AG98" s="11">
        <v>20226</v>
      </c>
      <c r="AH98" s="11">
        <v>57</v>
      </c>
      <c r="AI98" s="12">
        <v>158764.05263157899</v>
      </c>
      <c r="AJ98" s="12">
        <v>1064.526315789474</v>
      </c>
      <c r="AK98" s="13">
        <v>1.0395100255861029</v>
      </c>
      <c r="AL98" s="11"/>
      <c r="AM98" s="11"/>
      <c r="AN98" s="11"/>
      <c r="AO98" s="12"/>
      <c r="AP98" s="12"/>
      <c r="AQ98" s="13"/>
      <c r="AR98" s="11"/>
      <c r="AS98" s="11"/>
      <c r="AT98" s="11"/>
      <c r="AU98" s="12"/>
      <c r="AV98" s="12"/>
      <c r="AW98" s="13"/>
      <c r="AX98" s="11"/>
      <c r="AY98" s="11"/>
      <c r="AZ98" s="11"/>
      <c r="BA98" s="12"/>
      <c r="BB98" s="12"/>
      <c r="BC98" s="13"/>
      <c r="BD98" s="11"/>
      <c r="BE98" s="11"/>
      <c r="BF98" s="11"/>
      <c r="BG98" s="12"/>
      <c r="BH98" s="12"/>
      <c r="BI98" s="13"/>
      <c r="BJ98" s="11"/>
      <c r="BK98" s="11"/>
      <c r="BL98" s="11"/>
      <c r="BM98" s="12"/>
      <c r="BN98" s="12"/>
      <c r="BO98" s="13"/>
      <c r="BP98" s="11"/>
      <c r="BQ98" s="11"/>
      <c r="BR98" s="11"/>
      <c r="BS98" s="12"/>
      <c r="BT98" s="12"/>
      <c r="BU98" s="13"/>
      <c r="BV98" s="11"/>
      <c r="BW98" s="11"/>
      <c r="BX98" s="11"/>
      <c r="BY98" s="12"/>
      <c r="BZ98" s="12"/>
      <c r="CA98" s="13"/>
      <c r="CB98" s="11"/>
      <c r="CC98" s="11"/>
      <c r="CD98" s="11"/>
      <c r="CE98" s="12"/>
      <c r="CF98" s="12"/>
      <c r="CG98" s="13"/>
      <c r="CJ98" s="11"/>
      <c r="CK98" s="12"/>
      <c r="CL98" s="12"/>
      <c r="CM98" s="13"/>
      <c r="CN98" s="11"/>
      <c r="CO98" s="11"/>
      <c r="CP98" s="11"/>
    </row>
    <row r="99" spans="1:94" x14ac:dyDescent="0.25">
      <c r="A99" s="20" t="s">
        <v>93</v>
      </c>
      <c r="B99" s="8">
        <v>4738174.166666667</v>
      </c>
      <c r="C99" s="8">
        <v>26778.75</v>
      </c>
      <c r="D99" s="8">
        <v>852</v>
      </c>
      <c r="E99" s="9">
        <v>200204.5422535211</v>
      </c>
      <c r="F99" s="9">
        <v>1131.4964788732395</v>
      </c>
      <c r="G99" s="10">
        <v>0.95361919112251037</v>
      </c>
      <c r="H99" s="8">
        <v>5256875.3916666666</v>
      </c>
      <c r="I99" s="8">
        <v>27756.666666666668</v>
      </c>
      <c r="J99" s="8">
        <v>928</v>
      </c>
      <c r="K99" s="9">
        <v>203930.51088362068</v>
      </c>
      <c r="L99" s="9">
        <v>1076.7672413793102</v>
      </c>
      <c r="M99" s="10">
        <v>0.91926032482332232</v>
      </c>
      <c r="N99" s="8">
        <f t="shared" si="18"/>
        <v>5295121.333333333</v>
      </c>
      <c r="O99" s="8">
        <f t="shared" si="19"/>
        <v>26594.333333333332</v>
      </c>
      <c r="P99" s="8">
        <f t="shared" si="20"/>
        <v>225</v>
      </c>
      <c r="Q99" s="9">
        <f t="shared" si="21"/>
        <v>211804.85333333333</v>
      </c>
      <c r="R99" s="9">
        <f t="shared" si="22"/>
        <v>1063.7733333333333</v>
      </c>
      <c r="S99" s="10">
        <f t="shared" si="23"/>
        <v>0.89438963169029961</v>
      </c>
      <c r="T99" s="11">
        <v>4901698</v>
      </c>
      <c r="U99" s="11">
        <v>22243</v>
      </c>
      <c r="V99" s="11">
        <v>82</v>
      </c>
      <c r="W99" s="12">
        <v>179330.41463414629</v>
      </c>
      <c r="X99" s="12">
        <v>813.76829268292681</v>
      </c>
      <c r="Y99" s="13">
        <v>0.85613427431386846</v>
      </c>
      <c r="Z99" s="11">
        <v>6642896</v>
      </c>
      <c r="AA99" s="11">
        <v>36313</v>
      </c>
      <c r="AB99" s="11">
        <v>73</v>
      </c>
      <c r="AC99" s="12">
        <v>272995.72602739732</v>
      </c>
      <c r="AD99" s="12">
        <v>1492.3150684931511</v>
      </c>
      <c r="AE99" s="13">
        <v>0.93962024257977073</v>
      </c>
      <c r="AF99" s="11">
        <v>4340770</v>
      </c>
      <c r="AG99" s="11">
        <v>21227</v>
      </c>
      <c r="AH99" s="11">
        <v>70</v>
      </c>
      <c r="AI99" s="12">
        <v>186033</v>
      </c>
      <c r="AJ99" s="12">
        <v>909.7285714285714</v>
      </c>
      <c r="AK99" s="13">
        <v>0.88741437817725999</v>
      </c>
      <c r="AL99" s="11"/>
      <c r="AM99" s="11"/>
      <c r="AN99" s="11"/>
      <c r="AO99" s="12"/>
      <c r="AP99" s="12"/>
      <c r="AQ99" s="13"/>
      <c r="AR99" s="11"/>
      <c r="AS99" s="11"/>
      <c r="AT99" s="11"/>
      <c r="AU99" s="12"/>
      <c r="AV99" s="12"/>
      <c r="AW99" s="13"/>
      <c r="AX99" s="11"/>
      <c r="AY99" s="11"/>
      <c r="AZ99" s="11"/>
      <c r="BA99" s="12"/>
      <c r="BB99" s="12"/>
      <c r="BC99" s="13"/>
      <c r="BD99" s="11"/>
      <c r="BE99" s="11"/>
      <c r="BF99" s="11"/>
      <c r="BG99" s="12"/>
      <c r="BH99" s="12"/>
      <c r="BI99" s="13"/>
      <c r="BJ99" s="11"/>
      <c r="BK99" s="11"/>
      <c r="BL99" s="11"/>
      <c r="BM99" s="12"/>
      <c r="BN99" s="12"/>
      <c r="BO99" s="13"/>
      <c r="BP99" s="11"/>
      <c r="BQ99" s="11"/>
      <c r="BR99" s="11"/>
      <c r="BS99" s="12"/>
      <c r="BT99" s="12"/>
      <c r="BU99" s="13"/>
      <c r="BV99" s="11"/>
      <c r="BW99" s="11"/>
      <c r="BX99" s="11"/>
      <c r="BY99" s="12"/>
      <c r="BZ99" s="12"/>
      <c r="CA99" s="13"/>
      <c r="CB99" s="11"/>
      <c r="CC99" s="11"/>
      <c r="CD99" s="11"/>
      <c r="CE99" s="12"/>
      <c r="CF99" s="12"/>
      <c r="CG99" s="13"/>
      <c r="CJ99" s="11"/>
      <c r="CK99" s="12"/>
      <c r="CL99" s="12"/>
      <c r="CM99" s="13"/>
      <c r="CN99" s="11"/>
      <c r="CO99" s="11"/>
      <c r="CP99" s="11"/>
    </row>
    <row r="100" spans="1:94" x14ac:dyDescent="0.25">
      <c r="A100" s="20" t="s">
        <v>94</v>
      </c>
      <c r="B100" s="8">
        <v>4746505.9291666681</v>
      </c>
      <c r="C100" s="8">
        <v>34114.5</v>
      </c>
      <c r="D100" s="8">
        <v>821</v>
      </c>
      <c r="E100" s="9">
        <v>208129.37082825828</v>
      </c>
      <c r="F100" s="9">
        <v>1495.8855054811206</v>
      </c>
      <c r="G100" s="10">
        <v>1.0760487352553341</v>
      </c>
      <c r="H100" s="8">
        <v>5400724.0499999998</v>
      </c>
      <c r="I100" s="8">
        <v>39960.416666666664</v>
      </c>
      <c r="J100" s="8">
        <v>934</v>
      </c>
      <c r="K100" s="9">
        <v>208164.95267665954</v>
      </c>
      <c r="L100" s="9">
        <v>1540.230192719486</v>
      </c>
      <c r="M100" s="10">
        <v>1.0929194762728791</v>
      </c>
      <c r="N100" s="8">
        <f t="shared" si="18"/>
        <v>5278609.333333333</v>
      </c>
      <c r="O100" s="8">
        <f t="shared" si="19"/>
        <v>43482.333333333336</v>
      </c>
      <c r="P100" s="8">
        <f t="shared" si="20"/>
        <v>225</v>
      </c>
      <c r="Q100" s="9">
        <f t="shared" si="21"/>
        <v>211144.37333333332</v>
      </c>
      <c r="R100" s="9">
        <f t="shared" si="22"/>
        <v>1739.2933333333331</v>
      </c>
      <c r="S100" s="10">
        <f t="shared" si="23"/>
        <v>1.1575283652140589</v>
      </c>
      <c r="T100" s="11">
        <v>5648674</v>
      </c>
      <c r="U100" s="11">
        <v>44072</v>
      </c>
      <c r="V100" s="11">
        <v>82</v>
      </c>
      <c r="W100" s="12">
        <v>206658.8048780488</v>
      </c>
      <c r="X100" s="12">
        <v>1612.3902439024389</v>
      </c>
      <c r="Y100" s="13">
        <v>1.1252179744261239</v>
      </c>
      <c r="Z100" s="11">
        <v>5488501</v>
      </c>
      <c r="AA100" s="11">
        <v>45025</v>
      </c>
      <c r="AB100" s="11">
        <v>74</v>
      </c>
      <c r="AC100" s="12">
        <v>222506.79729729731</v>
      </c>
      <c r="AD100" s="12">
        <v>1825.3378378378379</v>
      </c>
      <c r="AE100" s="13">
        <v>1.152437972957103</v>
      </c>
      <c r="AF100" s="11">
        <v>4698653</v>
      </c>
      <c r="AG100" s="11">
        <v>41350</v>
      </c>
      <c r="AH100" s="11">
        <v>69</v>
      </c>
      <c r="AI100" s="12">
        <v>204289.26086956519</v>
      </c>
      <c r="AJ100" s="12">
        <v>1797.826086956522</v>
      </c>
      <c r="AK100" s="13">
        <v>1.194929148258949</v>
      </c>
      <c r="AL100" s="11"/>
      <c r="AM100" s="11"/>
      <c r="AN100" s="11"/>
      <c r="AO100" s="12"/>
      <c r="AP100" s="12"/>
      <c r="AQ100" s="13"/>
      <c r="AR100" s="11"/>
      <c r="AS100" s="11"/>
      <c r="AT100" s="11"/>
      <c r="AU100" s="12"/>
      <c r="AV100" s="12"/>
      <c r="AW100" s="13"/>
      <c r="AX100" s="11"/>
      <c r="AY100" s="11"/>
      <c r="AZ100" s="11"/>
      <c r="BA100" s="12"/>
      <c r="BB100" s="12"/>
      <c r="BC100" s="13"/>
      <c r="BD100" s="11"/>
      <c r="BE100" s="11"/>
      <c r="BF100" s="11"/>
      <c r="BG100" s="12"/>
      <c r="BH100" s="12"/>
      <c r="BI100" s="13"/>
      <c r="BJ100" s="11"/>
      <c r="BK100" s="11"/>
      <c r="BL100" s="11"/>
      <c r="BM100" s="12"/>
      <c r="BN100" s="12"/>
      <c r="BO100" s="13"/>
      <c r="BP100" s="11"/>
      <c r="BQ100" s="11"/>
      <c r="BR100" s="11"/>
      <c r="BS100" s="12"/>
      <c r="BT100" s="12"/>
      <c r="BU100" s="13"/>
      <c r="BV100" s="11"/>
      <c r="BW100" s="11"/>
      <c r="BX100" s="11"/>
      <c r="BY100" s="12"/>
      <c r="BZ100" s="12"/>
      <c r="CA100" s="13"/>
      <c r="CB100" s="11"/>
      <c r="CC100" s="11"/>
      <c r="CD100" s="11"/>
      <c r="CE100" s="12"/>
      <c r="CF100" s="12"/>
      <c r="CG100" s="13"/>
      <c r="CJ100" s="11"/>
      <c r="CK100" s="12"/>
      <c r="CL100" s="12"/>
      <c r="CM100" s="13"/>
      <c r="CN100" s="11"/>
      <c r="CO100" s="11"/>
      <c r="CP100" s="11"/>
    </row>
    <row r="101" spans="1:94" x14ac:dyDescent="0.25">
      <c r="A101" s="20" t="s">
        <v>95</v>
      </c>
      <c r="B101" s="8">
        <v>3881862</v>
      </c>
      <c r="C101" s="8">
        <v>22262.083333333332</v>
      </c>
      <c r="D101" s="8">
        <v>832</v>
      </c>
      <c r="E101" s="9">
        <v>167965.18269230769</v>
      </c>
      <c r="F101" s="9">
        <v>963.26322115384608</v>
      </c>
      <c r="G101" s="10">
        <v>0.96150273467899083</v>
      </c>
      <c r="H101" s="8">
        <v>4682753.583333333</v>
      </c>
      <c r="I101" s="8">
        <v>23612.333333333332</v>
      </c>
      <c r="J101" s="8">
        <v>937</v>
      </c>
      <c r="K101" s="9">
        <v>179913.69156883672</v>
      </c>
      <c r="L101" s="9">
        <v>907.19743863393819</v>
      </c>
      <c r="M101" s="10">
        <v>0.90489544415000978</v>
      </c>
      <c r="N101" s="8">
        <f t="shared" si="18"/>
        <v>4904714.333333333</v>
      </c>
      <c r="O101" s="8">
        <f t="shared" si="19"/>
        <v>24031.333333333332</v>
      </c>
      <c r="P101" s="8">
        <f t="shared" si="20"/>
        <v>225</v>
      </c>
      <c r="Q101" s="9">
        <f t="shared" si="21"/>
        <v>196188.57333333333</v>
      </c>
      <c r="R101" s="9">
        <f t="shared" si="22"/>
        <v>961.25333333333333</v>
      </c>
      <c r="S101" s="10">
        <f t="shared" si="23"/>
        <v>0.88766283050116324</v>
      </c>
      <c r="T101" s="11">
        <v>5198390</v>
      </c>
      <c r="U101" s="11">
        <v>29380</v>
      </c>
      <c r="V101" s="11">
        <v>82</v>
      </c>
      <c r="W101" s="12">
        <v>190185</v>
      </c>
      <c r="X101" s="12">
        <v>1074.8780487804879</v>
      </c>
      <c r="Y101" s="13">
        <v>0.9548918072488749</v>
      </c>
      <c r="Z101" s="11">
        <v>5262203</v>
      </c>
      <c r="AA101" s="11">
        <v>21605</v>
      </c>
      <c r="AB101" s="11">
        <v>74</v>
      </c>
      <c r="AC101" s="12">
        <v>213332.554054054</v>
      </c>
      <c r="AD101" s="12">
        <v>875.87837837837844</v>
      </c>
      <c r="AE101" s="13">
        <v>0.81381542175664578</v>
      </c>
      <c r="AF101" s="11">
        <v>4253550</v>
      </c>
      <c r="AG101" s="11">
        <v>21109</v>
      </c>
      <c r="AH101" s="11">
        <v>69</v>
      </c>
      <c r="AI101" s="12">
        <v>184936.95652173911</v>
      </c>
      <c r="AJ101" s="12">
        <v>917.78260869565224</v>
      </c>
      <c r="AK101" s="13">
        <v>0.8942812624979688</v>
      </c>
      <c r="AL101" s="11"/>
      <c r="AM101" s="11"/>
      <c r="AN101" s="11"/>
      <c r="AO101" s="12"/>
      <c r="AP101" s="12"/>
      <c r="AQ101" s="13"/>
      <c r="AR101" s="11"/>
      <c r="AS101" s="11"/>
      <c r="AT101" s="11"/>
      <c r="AU101" s="12"/>
      <c r="AV101" s="12"/>
      <c r="AW101" s="13"/>
      <c r="AX101" s="11"/>
      <c r="AY101" s="11"/>
      <c r="AZ101" s="11"/>
      <c r="BA101" s="12"/>
      <c r="BB101" s="12"/>
      <c r="BC101" s="13"/>
      <c r="BD101" s="11"/>
      <c r="BE101" s="11"/>
      <c r="BF101" s="11"/>
      <c r="BG101" s="12"/>
      <c r="BH101" s="12"/>
      <c r="BI101" s="13"/>
      <c r="BJ101" s="11"/>
      <c r="BK101" s="11"/>
      <c r="BL101" s="11"/>
      <c r="BM101" s="12"/>
      <c r="BN101" s="12"/>
      <c r="BO101" s="13"/>
      <c r="BP101" s="11"/>
      <c r="BQ101" s="11"/>
      <c r="BR101" s="11"/>
      <c r="BS101" s="12"/>
      <c r="BT101" s="12"/>
      <c r="BU101" s="13"/>
      <c r="BV101" s="11"/>
      <c r="BW101" s="11"/>
      <c r="BX101" s="11"/>
      <c r="BY101" s="12"/>
      <c r="BZ101" s="12"/>
      <c r="CA101" s="13"/>
      <c r="CB101" s="11"/>
      <c r="CC101" s="11"/>
      <c r="CD101" s="11"/>
      <c r="CE101" s="12"/>
      <c r="CF101" s="12"/>
      <c r="CG101" s="13"/>
      <c r="CJ101" s="11"/>
      <c r="CK101" s="12"/>
      <c r="CL101" s="12"/>
      <c r="CM101" s="13"/>
      <c r="CN101" s="11"/>
      <c r="CO101" s="11"/>
      <c r="CP101" s="11"/>
    </row>
    <row r="102" spans="1:94" x14ac:dyDescent="0.25">
      <c r="A102" s="20" t="s">
        <v>96</v>
      </c>
      <c r="B102" s="8">
        <v>2688266.5833333354</v>
      </c>
      <c r="C102" s="8">
        <v>69474.333333333328</v>
      </c>
      <c r="D102" s="8">
        <v>903</v>
      </c>
      <c r="E102" s="9">
        <v>107173.41860465125</v>
      </c>
      <c r="F102" s="9">
        <v>2769.740863787375</v>
      </c>
      <c r="G102" s="10">
        <v>2.046108675854839</v>
      </c>
      <c r="H102" s="8">
        <v>2866958.6520833336</v>
      </c>
      <c r="I102" s="8">
        <v>78870.083333333328</v>
      </c>
      <c r="J102" s="8">
        <v>920</v>
      </c>
      <c r="K102" s="9">
        <v>112185.33855978261</v>
      </c>
      <c r="L102" s="9">
        <v>3086.2206521739135</v>
      </c>
      <c r="M102" s="10">
        <v>2.1259481468889043</v>
      </c>
      <c r="N102" s="8">
        <f t="shared" si="18"/>
        <v>2488282.0666666669</v>
      </c>
      <c r="O102" s="8">
        <f t="shared" si="19"/>
        <v>78264.333333333328</v>
      </c>
      <c r="P102" s="8">
        <f t="shared" si="20"/>
        <v>224</v>
      </c>
      <c r="Q102" s="9">
        <f t="shared" si="21"/>
        <v>99975.618750000009</v>
      </c>
      <c r="R102" s="9">
        <f t="shared" si="22"/>
        <v>3144.5491071428573</v>
      </c>
      <c r="S102" s="10">
        <f t="shared" si="23"/>
        <v>2.23744176314707</v>
      </c>
      <c r="T102" s="11">
        <v>2396165.2000000002</v>
      </c>
      <c r="U102" s="11">
        <v>61444</v>
      </c>
      <c r="V102" s="11">
        <v>79</v>
      </c>
      <c r="W102" s="12">
        <v>90993.615189873424</v>
      </c>
      <c r="X102" s="12">
        <v>2333.316455696202</v>
      </c>
      <c r="Y102" s="13">
        <v>2.0377950934353941</v>
      </c>
      <c r="Z102" s="11">
        <v>2534605</v>
      </c>
      <c r="AA102" s="11">
        <v>106684</v>
      </c>
      <c r="AB102" s="11">
        <v>78</v>
      </c>
      <c r="AC102" s="12">
        <v>97484.807692307688</v>
      </c>
      <c r="AD102" s="12">
        <v>4103.2307692307704</v>
      </c>
      <c r="AE102" s="13">
        <v>2.611433926197881</v>
      </c>
      <c r="AF102" s="11">
        <v>2534076</v>
      </c>
      <c r="AG102" s="11">
        <v>66665</v>
      </c>
      <c r="AH102" s="11">
        <v>67</v>
      </c>
      <c r="AI102" s="12">
        <v>113466.0895522388</v>
      </c>
      <c r="AJ102" s="12">
        <v>2985</v>
      </c>
      <c r="AK102" s="13">
        <v>2.0630962698079358</v>
      </c>
      <c r="AL102" s="11"/>
      <c r="AM102" s="11"/>
      <c r="AN102" s="11"/>
      <c r="AO102" s="12"/>
      <c r="AP102" s="12"/>
      <c r="AQ102" s="13"/>
      <c r="AR102" s="11"/>
      <c r="AS102" s="11"/>
      <c r="AT102" s="11"/>
      <c r="AU102" s="12"/>
      <c r="AV102" s="12"/>
      <c r="AW102" s="13"/>
      <c r="AX102" s="11"/>
      <c r="AY102" s="11"/>
      <c r="AZ102" s="11"/>
      <c r="BA102" s="12"/>
      <c r="BB102" s="12"/>
      <c r="BC102" s="13"/>
      <c r="BD102" s="11"/>
      <c r="BE102" s="11"/>
      <c r="BF102" s="11"/>
      <c r="BG102" s="12"/>
      <c r="BH102" s="12"/>
      <c r="BI102" s="13"/>
      <c r="BJ102" s="11"/>
      <c r="BK102" s="11"/>
      <c r="BL102" s="11"/>
      <c r="BM102" s="12"/>
      <c r="BN102" s="12"/>
      <c r="BO102" s="13"/>
      <c r="BP102" s="11"/>
      <c r="BQ102" s="11"/>
      <c r="BR102" s="11"/>
      <c r="BS102" s="12"/>
      <c r="BT102" s="12"/>
      <c r="BU102" s="13"/>
      <c r="BV102" s="11"/>
      <c r="BW102" s="11"/>
      <c r="BX102" s="11"/>
      <c r="BY102" s="12"/>
      <c r="BZ102" s="12"/>
      <c r="CA102" s="13"/>
      <c r="CB102" s="11"/>
      <c r="CC102" s="11"/>
      <c r="CD102" s="11"/>
      <c r="CE102" s="12"/>
      <c r="CF102" s="12"/>
      <c r="CG102" s="13"/>
      <c r="CJ102" s="11"/>
      <c r="CK102" s="12"/>
      <c r="CL102" s="12"/>
      <c r="CM102" s="13"/>
      <c r="CN102" s="11"/>
      <c r="CO102" s="11"/>
      <c r="CP102" s="11"/>
    </row>
    <row r="103" spans="1:94" x14ac:dyDescent="0.25">
      <c r="A103" s="20" t="s">
        <v>97</v>
      </c>
      <c r="B103" s="8">
        <v>241788.00000000015</v>
      </c>
      <c r="C103" s="8">
        <v>94740.166666666672</v>
      </c>
      <c r="D103" s="8">
        <v>649</v>
      </c>
      <c r="E103" s="9">
        <v>13411.969183359022</v>
      </c>
      <c r="F103" s="9">
        <v>5255.2326656394453</v>
      </c>
      <c r="G103" s="10">
        <v>8.0028324000540163</v>
      </c>
      <c r="H103" s="8">
        <v>317427.42916666664</v>
      </c>
      <c r="I103" s="8">
        <v>121073</v>
      </c>
      <c r="J103" s="8">
        <v>808</v>
      </c>
      <c r="K103" s="9">
        <v>14142.806250000001</v>
      </c>
      <c r="L103" s="9">
        <v>5394.3415841584156</v>
      </c>
      <c r="M103" s="10">
        <v>8.1804626081408731</v>
      </c>
      <c r="N103" s="8">
        <f t="shared" si="18"/>
        <v>296586</v>
      </c>
      <c r="O103" s="8">
        <f t="shared" si="19"/>
        <v>125167.33333333333</v>
      </c>
      <c r="P103" s="8">
        <f t="shared" si="20"/>
        <v>219</v>
      </c>
      <c r="Q103" s="9">
        <f t="shared" si="21"/>
        <v>12188.465753424658</v>
      </c>
      <c r="R103" s="9">
        <f t="shared" si="22"/>
        <v>5143.8630136986303</v>
      </c>
      <c r="S103" s="10">
        <f t="shared" si="23"/>
        <v>8.333199013098552</v>
      </c>
      <c r="T103" s="11">
        <v>274124</v>
      </c>
      <c r="U103" s="11">
        <v>136717</v>
      </c>
      <c r="V103" s="11">
        <v>82</v>
      </c>
      <c r="W103" s="12">
        <v>10028.92682926829</v>
      </c>
      <c r="X103" s="12">
        <v>5001.8414634146338</v>
      </c>
      <c r="Y103" s="13">
        <v>8.994342275623282</v>
      </c>
      <c r="Z103" s="11">
        <v>265566</v>
      </c>
      <c r="AA103" s="11">
        <v>127536</v>
      </c>
      <c r="AB103" s="11">
        <v>71</v>
      </c>
      <c r="AC103" s="12">
        <v>11221.098591549289</v>
      </c>
      <c r="AD103" s="12">
        <v>5388.8450704225352</v>
      </c>
      <c r="AE103" s="13">
        <v>8.8255072565023696</v>
      </c>
      <c r="AF103" s="11">
        <v>350068</v>
      </c>
      <c r="AG103" s="11">
        <v>111249</v>
      </c>
      <c r="AH103" s="11">
        <v>66</v>
      </c>
      <c r="AI103" s="12">
        <v>15912.18181818182</v>
      </c>
      <c r="AJ103" s="12">
        <v>5056.772727272727</v>
      </c>
      <c r="AK103" s="13">
        <v>7.1797475071700054</v>
      </c>
      <c r="AL103" s="11"/>
      <c r="AM103" s="11"/>
      <c r="AN103" s="11"/>
      <c r="AO103" s="12"/>
      <c r="AP103" s="12"/>
      <c r="AQ103" s="13"/>
      <c r="AR103" s="11"/>
      <c r="AS103" s="11"/>
      <c r="AT103" s="11"/>
      <c r="AU103" s="12"/>
      <c r="AV103" s="12"/>
      <c r="AW103" s="13"/>
      <c r="AX103" s="11"/>
      <c r="AY103" s="11"/>
      <c r="AZ103" s="11"/>
      <c r="BA103" s="12"/>
      <c r="BB103" s="12"/>
      <c r="BC103" s="13"/>
      <c r="BD103" s="11"/>
      <c r="BE103" s="11"/>
      <c r="BF103" s="11"/>
      <c r="BG103" s="12"/>
      <c r="BH103" s="12"/>
      <c r="BI103" s="13"/>
      <c r="BJ103" s="11"/>
      <c r="BK103" s="11"/>
      <c r="BL103" s="11"/>
      <c r="BM103" s="12"/>
      <c r="BN103" s="12"/>
      <c r="BO103" s="13"/>
      <c r="BP103" s="11"/>
      <c r="BQ103" s="11"/>
      <c r="BR103" s="11"/>
      <c r="BS103" s="12"/>
      <c r="BT103" s="12"/>
      <c r="BU103" s="13"/>
      <c r="BV103" s="11"/>
      <c r="BW103" s="11"/>
      <c r="BX103" s="11"/>
      <c r="BY103" s="12"/>
      <c r="BZ103" s="12"/>
      <c r="CA103" s="13"/>
      <c r="CB103" s="11"/>
      <c r="CC103" s="11"/>
      <c r="CD103" s="11"/>
      <c r="CE103" s="12"/>
      <c r="CF103" s="12"/>
      <c r="CG103" s="13"/>
      <c r="CJ103" s="11"/>
      <c r="CK103" s="12"/>
      <c r="CL103" s="12"/>
      <c r="CM103" s="13"/>
      <c r="CN103" s="11"/>
      <c r="CO103" s="11"/>
      <c r="CP103" s="11"/>
    </row>
    <row r="104" spans="1:94" x14ac:dyDescent="0.25">
      <c r="A104" s="21" t="s">
        <v>98</v>
      </c>
      <c r="B104" s="8">
        <v>2358228.2050000001</v>
      </c>
      <c r="C104" s="8">
        <v>3582.0833333333335</v>
      </c>
      <c r="D104" s="8">
        <v>567</v>
      </c>
      <c r="E104" s="9">
        <v>149728.77492063493</v>
      </c>
      <c r="F104" s="9">
        <v>227.43386243386243</v>
      </c>
      <c r="G104" s="10">
        <v>0.49022162313917222</v>
      </c>
      <c r="H104" s="8">
        <v>3775757.773333333</v>
      </c>
      <c r="I104" s="8">
        <v>6006.833333333333</v>
      </c>
      <c r="J104" s="8">
        <v>759</v>
      </c>
      <c r="K104" s="9">
        <v>179087.32521739128</v>
      </c>
      <c r="L104" s="9">
        <v>284.90909090909088</v>
      </c>
      <c r="M104" s="10">
        <v>0.47382278004966544</v>
      </c>
      <c r="N104" s="8">
        <f t="shared" si="18"/>
        <v>2775770.56</v>
      </c>
      <c r="O104" s="8">
        <f t="shared" si="19"/>
        <v>3240</v>
      </c>
      <c r="P104" s="8">
        <f t="shared" si="20"/>
        <v>173</v>
      </c>
      <c r="Q104" s="9">
        <f t="shared" si="21"/>
        <v>144404.24878612717</v>
      </c>
      <c r="R104" s="9">
        <f t="shared" si="22"/>
        <v>168.5549132947977</v>
      </c>
      <c r="S104" s="10">
        <f t="shared" si="23"/>
        <v>0.42959968188236503</v>
      </c>
      <c r="T104" s="11">
        <v>2471269.08</v>
      </c>
      <c r="U104" s="11">
        <v>3041</v>
      </c>
      <c r="V104" s="11">
        <v>60</v>
      </c>
      <c r="W104" s="12">
        <v>123563.454</v>
      </c>
      <c r="X104" s="12">
        <v>152.05000000000001</v>
      </c>
      <c r="Y104" s="13">
        <v>0.43545688339777922</v>
      </c>
      <c r="Z104" s="11">
        <v>2677798.6</v>
      </c>
      <c r="AA104" s="11">
        <v>3403</v>
      </c>
      <c r="AB104" s="11">
        <v>65</v>
      </c>
      <c r="AC104" s="12">
        <v>123590.7046153846</v>
      </c>
      <c r="AD104" s="12">
        <v>157.0615384615385</v>
      </c>
      <c r="AE104" s="13">
        <v>0.44886170816835408</v>
      </c>
      <c r="AF104" s="11">
        <v>3178244</v>
      </c>
      <c r="AG104" s="11">
        <v>3276</v>
      </c>
      <c r="AH104" s="11">
        <v>48</v>
      </c>
      <c r="AI104" s="12">
        <v>198640.25</v>
      </c>
      <c r="AJ104" s="12">
        <v>204.75</v>
      </c>
      <c r="AK104" s="13">
        <v>0.40448045408096162</v>
      </c>
      <c r="AL104" s="11"/>
      <c r="AM104" s="11"/>
      <c r="AN104" s="11"/>
      <c r="AO104" s="12"/>
      <c r="AP104" s="12"/>
      <c r="AQ104" s="13"/>
      <c r="AR104" s="11"/>
      <c r="AS104" s="11"/>
      <c r="AT104" s="11"/>
      <c r="AU104" s="12"/>
      <c r="AV104" s="12"/>
      <c r="AW104" s="13"/>
      <c r="AX104" s="11"/>
      <c r="AY104" s="11"/>
      <c r="AZ104" s="11"/>
      <c r="BA104" s="12"/>
      <c r="BB104" s="12"/>
      <c r="BC104" s="13"/>
      <c r="BD104" s="11"/>
      <c r="BE104" s="11"/>
      <c r="BF104" s="11"/>
      <c r="BG104" s="12"/>
      <c r="BH104" s="12"/>
      <c r="BI104" s="13"/>
      <c r="BJ104" s="11"/>
      <c r="BK104" s="11"/>
      <c r="BL104" s="11"/>
      <c r="BM104" s="12"/>
      <c r="BN104" s="12"/>
      <c r="BO104" s="13"/>
      <c r="BP104" s="11"/>
      <c r="BQ104" s="11"/>
      <c r="BR104" s="11"/>
      <c r="BS104" s="12"/>
      <c r="BT104" s="12"/>
      <c r="BU104" s="13"/>
      <c r="BV104" s="11"/>
      <c r="BW104" s="11"/>
      <c r="BX104" s="11"/>
      <c r="BY104" s="12"/>
      <c r="BZ104" s="12"/>
      <c r="CA104" s="13"/>
      <c r="CB104" s="11"/>
      <c r="CC104" s="11"/>
      <c r="CD104" s="11"/>
      <c r="CE104" s="12"/>
      <c r="CF104" s="12"/>
      <c r="CG104" s="13"/>
      <c r="CJ104" s="11"/>
      <c r="CK104" s="12"/>
      <c r="CL104" s="12"/>
      <c r="CM104" s="13"/>
      <c r="CN104" s="11"/>
      <c r="CO104" s="11"/>
      <c r="CP104" s="11"/>
    </row>
    <row r="105" spans="1:94" x14ac:dyDescent="0.25">
      <c r="A105" s="21" t="s">
        <v>99</v>
      </c>
      <c r="B105" s="8">
        <v>2772259.7416666653</v>
      </c>
      <c r="C105" s="8">
        <v>4141.083333333333</v>
      </c>
      <c r="D105" s="8">
        <v>600</v>
      </c>
      <c r="E105" s="9">
        <v>166335.58449999991</v>
      </c>
      <c r="F105" s="9">
        <v>248.46500000000003</v>
      </c>
      <c r="G105" s="10">
        <v>0.48646540537971328</v>
      </c>
      <c r="H105" s="8">
        <v>3582075.2925</v>
      </c>
      <c r="I105" s="8">
        <v>5783.833333333333</v>
      </c>
      <c r="J105" s="8">
        <v>808</v>
      </c>
      <c r="K105" s="9">
        <v>159597.41402227723</v>
      </c>
      <c r="L105" s="9">
        <v>257.69554455445541</v>
      </c>
      <c r="M105" s="10">
        <v>0.49022641353636748</v>
      </c>
      <c r="N105" s="8">
        <f t="shared" si="18"/>
        <v>2909401.8766666669</v>
      </c>
      <c r="O105" s="8">
        <f t="shared" si="19"/>
        <v>4130.666666666667</v>
      </c>
      <c r="P105" s="8">
        <f t="shared" si="20"/>
        <v>199</v>
      </c>
      <c r="Q105" s="9">
        <f t="shared" si="21"/>
        <v>131580.98939698492</v>
      </c>
      <c r="R105" s="9">
        <f t="shared" si="22"/>
        <v>186.8140703517588</v>
      </c>
      <c r="S105" s="10">
        <f t="shared" si="23"/>
        <v>0.4613056413166769</v>
      </c>
      <c r="T105" s="11">
        <v>2163577.9500000002</v>
      </c>
      <c r="U105" s="11">
        <v>2244</v>
      </c>
      <c r="V105" s="11">
        <v>63</v>
      </c>
      <c r="W105" s="12">
        <v>103027.5214285714</v>
      </c>
      <c r="X105" s="12">
        <v>106.8571428571429</v>
      </c>
      <c r="Y105" s="13">
        <v>0.40768292891641528</v>
      </c>
      <c r="Z105" s="11">
        <v>2984967.68</v>
      </c>
      <c r="AA105" s="11">
        <v>3902</v>
      </c>
      <c r="AB105" s="11">
        <v>69</v>
      </c>
      <c r="AC105" s="12">
        <v>129781.2034782609</v>
      </c>
      <c r="AD105" s="12">
        <v>169.6521739130435</v>
      </c>
      <c r="AE105" s="13">
        <v>0.45</v>
      </c>
      <c r="AF105" s="11">
        <v>3579660</v>
      </c>
      <c r="AG105" s="11">
        <v>6246</v>
      </c>
      <c r="AH105" s="11">
        <v>67</v>
      </c>
      <c r="AI105" s="12">
        <v>160283.28358208961</v>
      </c>
      <c r="AJ105" s="12">
        <v>279.67164179104469</v>
      </c>
      <c r="AK105" s="13">
        <v>0.52623399503361534</v>
      </c>
      <c r="AL105" s="11"/>
      <c r="AM105" s="11"/>
      <c r="AN105" s="11"/>
      <c r="AO105" s="12"/>
      <c r="AP105" s="12"/>
      <c r="AQ105" s="13"/>
      <c r="AR105" s="11"/>
      <c r="AS105" s="11"/>
      <c r="AT105" s="11"/>
      <c r="AU105" s="12"/>
      <c r="AV105" s="12"/>
      <c r="AW105" s="13"/>
      <c r="AX105" s="11"/>
      <c r="AY105" s="11"/>
      <c r="AZ105" s="11"/>
      <c r="BA105" s="12"/>
      <c r="BB105" s="12"/>
      <c r="BC105" s="13"/>
      <c r="BD105" s="11"/>
      <c r="BE105" s="11"/>
      <c r="BF105" s="11"/>
      <c r="BG105" s="12"/>
      <c r="BH105" s="12"/>
      <c r="BI105" s="13"/>
      <c r="BJ105" s="11"/>
      <c r="BK105" s="11"/>
      <c r="BL105" s="11"/>
      <c r="BM105" s="12"/>
      <c r="BN105" s="12"/>
      <c r="BO105" s="13"/>
      <c r="BP105" s="11"/>
      <c r="BQ105" s="11"/>
      <c r="BR105" s="11"/>
      <c r="BS105" s="12"/>
      <c r="BT105" s="12"/>
      <c r="BU105" s="13"/>
      <c r="BV105" s="11"/>
      <c r="BW105" s="11"/>
      <c r="BX105" s="11"/>
      <c r="BY105" s="12"/>
      <c r="BZ105" s="12"/>
      <c r="CA105" s="13"/>
      <c r="CB105" s="11"/>
      <c r="CC105" s="11"/>
      <c r="CD105" s="11"/>
      <c r="CE105" s="12"/>
      <c r="CF105" s="12"/>
      <c r="CG105" s="13"/>
      <c r="CJ105" s="11"/>
      <c r="CK105" s="12"/>
      <c r="CL105" s="12"/>
      <c r="CM105" s="13"/>
      <c r="CN105" s="11"/>
      <c r="CO105" s="11"/>
      <c r="CP105" s="11"/>
    </row>
    <row r="106" spans="1:94" x14ac:dyDescent="0.25">
      <c r="A106" s="21" t="s">
        <v>100</v>
      </c>
      <c r="B106" s="8">
        <v>5940471.9841666659</v>
      </c>
      <c r="C106" s="8">
        <v>125255.33333333333</v>
      </c>
      <c r="D106" s="8">
        <v>717</v>
      </c>
      <c r="E106" s="9">
        <v>298266.37577405851</v>
      </c>
      <c r="F106" s="9">
        <v>6288.9707112970709</v>
      </c>
      <c r="G106" s="10">
        <v>1.847172125634551</v>
      </c>
      <c r="H106" s="8">
        <v>9416514.8416666668</v>
      </c>
      <c r="I106" s="8">
        <v>181178.25</v>
      </c>
      <c r="J106" s="8">
        <v>853</v>
      </c>
      <c r="K106" s="9">
        <v>397414.45990621339</v>
      </c>
      <c r="L106" s="9">
        <v>7646.444314185228</v>
      </c>
      <c r="M106" s="10">
        <v>1.7665788504561082</v>
      </c>
      <c r="N106" s="8">
        <f t="shared" si="18"/>
        <v>9667882</v>
      </c>
      <c r="O106" s="8">
        <f t="shared" si="19"/>
        <v>181008</v>
      </c>
      <c r="P106" s="8">
        <f t="shared" si="20"/>
        <v>208</v>
      </c>
      <c r="Q106" s="9">
        <f t="shared" si="21"/>
        <v>418321.81730769237</v>
      </c>
      <c r="R106" s="9">
        <f t="shared" si="22"/>
        <v>7832.0769230769229</v>
      </c>
      <c r="S106" s="10">
        <f t="shared" si="23"/>
        <v>1.7392002628246193</v>
      </c>
      <c r="T106" s="11">
        <v>10039950</v>
      </c>
      <c r="U106" s="11">
        <v>193643</v>
      </c>
      <c r="V106" s="11">
        <v>78</v>
      </c>
      <c r="W106" s="12">
        <v>386151.92307692312</v>
      </c>
      <c r="X106" s="12">
        <v>7447.8076923076906</v>
      </c>
      <c r="Y106" s="13">
        <v>1.765790210445769</v>
      </c>
      <c r="Z106" s="11">
        <v>9755500</v>
      </c>
      <c r="AA106" s="11">
        <v>178372</v>
      </c>
      <c r="AB106" s="11">
        <v>68</v>
      </c>
      <c r="AC106" s="12">
        <v>430389.70588235301</v>
      </c>
      <c r="AD106" s="12">
        <v>7869.3529411764703</v>
      </c>
      <c r="AE106" s="13">
        <v>1.719505177352882</v>
      </c>
      <c r="AF106" s="11">
        <v>9208196</v>
      </c>
      <c r="AG106" s="11">
        <v>171009</v>
      </c>
      <c r="AH106" s="11">
        <v>62</v>
      </c>
      <c r="AI106" s="12">
        <v>445557.87096774188</v>
      </c>
      <c r="AJ106" s="12">
        <v>8274.6290322580644</v>
      </c>
      <c r="AK106" s="13">
        <v>1.732305400675207</v>
      </c>
      <c r="AL106" s="11"/>
      <c r="AM106" s="11"/>
      <c r="AN106" s="11"/>
      <c r="AO106" s="12"/>
      <c r="AP106" s="12"/>
      <c r="AQ106" s="13"/>
      <c r="AR106" s="11"/>
      <c r="AS106" s="11"/>
      <c r="AT106" s="11"/>
      <c r="AU106" s="12"/>
      <c r="AV106" s="12"/>
      <c r="AW106" s="13"/>
      <c r="AX106" s="11"/>
      <c r="AY106" s="11"/>
      <c r="AZ106" s="11"/>
      <c r="BA106" s="12"/>
      <c r="BB106" s="12"/>
      <c r="BC106" s="13"/>
      <c r="BD106" s="11"/>
      <c r="BE106" s="11"/>
      <c r="BF106" s="11"/>
      <c r="BG106" s="12"/>
      <c r="BH106" s="12"/>
      <c r="BI106" s="13"/>
      <c r="BJ106" s="11"/>
      <c r="BK106" s="11"/>
      <c r="BL106" s="11"/>
      <c r="BM106" s="12"/>
      <c r="BN106" s="12"/>
      <c r="BO106" s="13"/>
      <c r="BP106" s="11"/>
      <c r="BQ106" s="11"/>
      <c r="BR106" s="11"/>
      <c r="BS106" s="12"/>
      <c r="BT106" s="12"/>
      <c r="BU106" s="13"/>
      <c r="BV106" s="11"/>
      <c r="BW106" s="11"/>
      <c r="BX106" s="11"/>
      <c r="BY106" s="12"/>
      <c r="BZ106" s="12"/>
      <c r="CA106" s="13"/>
      <c r="CB106" s="11"/>
      <c r="CC106" s="11"/>
      <c r="CD106" s="11"/>
      <c r="CE106" s="12"/>
      <c r="CF106" s="12"/>
      <c r="CG106" s="13"/>
      <c r="CJ106" s="11"/>
      <c r="CK106" s="12"/>
      <c r="CL106" s="12"/>
      <c r="CM106" s="13"/>
      <c r="CN106" s="11"/>
      <c r="CO106" s="11"/>
      <c r="CP106" s="11"/>
    </row>
    <row r="107" spans="1:94" x14ac:dyDescent="0.25">
      <c r="A107" s="21" t="s">
        <v>101</v>
      </c>
      <c r="B107" s="8">
        <v>3417285.5408333335</v>
      </c>
      <c r="C107" s="8">
        <v>200684.5</v>
      </c>
      <c r="D107" s="8">
        <v>737</v>
      </c>
      <c r="E107" s="9">
        <v>166923.03862957939</v>
      </c>
      <c r="F107" s="9">
        <v>9802.770691994574</v>
      </c>
      <c r="G107" s="10">
        <v>3.088397378241222</v>
      </c>
      <c r="H107" s="8">
        <v>4162342.5666666664</v>
      </c>
      <c r="I107" s="8">
        <v>237230.75</v>
      </c>
      <c r="J107" s="8">
        <v>853</v>
      </c>
      <c r="K107" s="9">
        <v>175667.44712778428</v>
      </c>
      <c r="L107" s="9">
        <v>10012.083235638922</v>
      </c>
      <c r="M107" s="10">
        <v>3.0183630520989713</v>
      </c>
      <c r="N107" s="8">
        <f t="shared" si="18"/>
        <v>4318905</v>
      </c>
      <c r="O107" s="8">
        <f t="shared" si="19"/>
        <v>224459</v>
      </c>
      <c r="P107" s="8">
        <f t="shared" si="20"/>
        <v>221</v>
      </c>
      <c r="Q107" s="9">
        <f t="shared" si="21"/>
        <v>175883.00904977374</v>
      </c>
      <c r="R107" s="9">
        <f t="shared" si="22"/>
        <v>9140.8642533936654</v>
      </c>
      <c r="S107" s="10">
        <f t="shared" si="23"/>
        <v>2.8847145531281426</v>
      </c>
      <c r="T107" s="11">
        <v>4508101</v>
      </c>
      <c r="U107" s="11">
        <v>257457</v>
      </c>
      <c r="V107" s="11">
        <v>81</v>
      </c>
      <c r="W107" s="12">
        <v>166966.70370370371</v>
      </c>
      <c r="X107" s="12">
        <v>9535.4444444444434</v>
      </c>
      <c r="Y107" s="13">
        <v>3.041983316125016</v>
      </c>
      <c r="Z107" s="11">
        <v>4756178</v>
      </c>
      <c r="AA107" s="11">
        <v>252226</v>
      </c>
      <c r="AB107" s="11">
        <v>73</v>
      </c>
      <c r="AC107" s="12">
        <v>195459.36986301371</v>
      </c>
      <c r="AD107" s="12">
        <v>10365.452054794519</v>
      </c>
      <c r="AE107" s="13">
        <v>2.9315667250900259</v>
      </c>
      <c r="AF107" s="11">
        <v>3692436</v>
      </c>
      <c r="AG107" s="11">
        <v>163694</v>
      </c>
      <c r="AH107" s="11">
        <v>67</v>
      </c>
      <c r="AI107" s="12">
        <v>165332.95522388059</v>
      </c>
      <c r="AJ107" s="12">
        <v>7329.5820895522384</v>
      </c>
      <c r="AK107" s="13">
        <v>2.680593618169385</v>
      </c>
      <c r="AL107" s="11"/>
      <c r="AM107" s="11"/>
      <c r="AN107" s="11"/>
      <c r="AO107" s="12"/>
      <c r="AP107" s="12"/>
      <c r="AQ107" s="13"/>
      <c r="AR107" s="11"/>
      <c r="AS107" s="11"/>
      <c r="AT107" s="11"/>
      <c r="AU107" s="12"/>
      <c r="AV107" s="12"/>
      <c r="AW107" s="13"/>
      <c r="AX107" s="11"/>
      <c r="AY107" s="11"/>
      <c r="AZ107" s="11"/>
      <c r="BA107" s="12"/>
      <c r="BB107" s="12"/>
      <c r="BC107" s="13"/>
      <c r="BD107" s="11"/>
      <c r="BE107" s="11"/>
      <c r="BF107" s="11"/>
      <c r="BG107" s="12"/>
      <c r="BH107" s="12"/>
      <c r="BI107" s="13"/>
      <c r="BJ107" s="11"/>
      <c r="BK107" s="11"/>
      <c r="BL107" s="11"/>
      <c r="BM107" s="12"/>
      <c r="BN107" s="12"/>
      <c r="BO107" s="13"/>
      <c r="BP107" s="11"/>
      <c r="BQ107" s="11"/>
      <c r="BR107" s="11"/>
      <c r="BS107" s="12"/>
      <c r="BT107" s="12"/>
      <c r="BU107" s="13"/>
      <c r="BV107" s="11"/>
      <c r="BW107" s="11"/>
      <c r="BX107" s="11"/>
      <c r="BY107" s="12"/>
      <c r="BZ107" s="12"/>
      <c r="CA107" s="13"/>
      <c r="CB107" s="11"/>
      <c r="CC107" s="11"/>
      <c r="CD107" s="11"/>
      <c r="CE107" s="12"/>
      <c r="CF107" s="12"/>
      <c r="CG107" s="13"/>
      <c r="CJ107" s="11"/>
      <c r="CK107" s="12"/>
      <c r="CL107" s="12"/>
      <c r="CM107" s="13"/>
      <c r="CN107" s="11"/>
      <c r="CO107" s="11"/>
      <c r="CP107" s="11"/>
    </row>
    <row r="108" spans="1:94" x14ac:dyDescent="0.25">
      <c r="A108" s="21" t="s">
        <v>102</v>
      </c>
      <c r="B108" s="8">
        <v>3198075.76</v>
      </c>
      <c r="C108" s="8">
        <v>139214.08333333334</v>
      </c>
      <c r="D108" s="8">
        <v>695</v>
      </c>
      <c r="E108" s="9">
        <v>165655.72282014386</v>
      </c>
      <c r="F108" s="9">
        <v>7211.0892086330932</v>
      </c>
      <c r="G108" s="10">
        <v>2.6537921368203818</v>
      </c>
      <c r="H108" s="8">
        <v>4395512.395833333</v>
      </c>
      <c r="I108" s="8">
        <v>225841.16666666666</v>
      </c>
      <c r="J108" s="8">
        <v>867</v>
      </c>
      <c r="K108" s="9">
        <v>182512.62543252594</v>
      </c>
      <c r="L108" s="9">
        <v>9377.4878892733559</v>
      </c>
      <c r="M108" s="10">
        <v>2.899582721280046</v>
      </c>
      <c r="N108" s="8">
        <f t="shared" si="18"/>
        <v>3911901.6666666665</v>
      </c>
      <c r="O108" s="8">
        <f t="shared" si="19"/>
        <v>215508.66666666666</v>
      </c>
      <c r="P108" s="8">
        <f t="shared" si="20"/>
        <v>216</v>
      </c>
      <c r="Q108" s="9">
        <f t="shared" si="21"/>
        <v>162995.90277777778</v>
      </c>
      <c r="R108" s="9">
        <f t="shared" si="22"/>
        <v>8979.5277777777774</v>
      </c>
      <c r="S108" s="10">
        <f t="shared" si="23"/>
        <v>2.9849086710227972</v>
      </c>
      <c r="T108" s="11">
        <v>3557826</v>
      </c>
      <c r="U108" s="11">
        <v>190610</v>
      </c>
      <c r="V108" s="11">
        <v>81</v>
      </c>
      <c r="W108" s="12">
        <v>131771.33333333331</v>
      </c>
      <c r="X108" s="12">
        <v>7059.6296296296296</v>
      </c>
      <c r="Y108" s="13">
        <v>2.9468514298449469</v>
      </c>
      <c r="Z108" s="11">
        <v>4040760</v>
      </c>
      <c r="AA108" s="11">
        <v>246304</v>
      </c>
      <c r="AB108" s="11">
        <v>69</v>
      </c>
      <c r="AC108" s="12">
        <v>175685.21739130441</v>
      </c>
      <c r="AD108" s="12">
        <v>10708.86956521739</v>
      </c>
      <c r="AE108" s="13">
        <v>3.1427931551510522</v>
      </c>
      <c r="AF108" s="11">
        <v>4137119</v>
      </c>
      <c r="AG108" s="11">
        <v>209612</v>
      </c>
      <c r="AH108" s="11">
        <v>66</v>
      </c>
      <c r="AI108" s="12">
        <v>188050.86363636359</v>
      </c>
      <c r="AJ108" s="12">
        <v>9527.818181818182</v>
      </c>
      <c r="AK108" s="13">
        <v>2.8650814280723922</v>
      </c>
      <c r="AL108" s="11"/>
      <c r="AM108" s="11"/>
      <c r="AN108" s="11"/>
      <c r="AO108" s="12"/>
      <c r="AP108" s="12"/>
      <c r="AQ108" s="13"/>
      <c r="AR108" s="11"/>
      <c r="AS108" s="11"/>
      <c r="AT108" s="11"/>
      <c r="AU108" s="12"/>
      <c r="AV108" s="12"/>
      <c r="AW108" s="13"/>
      <c r="AX108" s="11"/>
      <c r="AY108" s="11"/>
      <c r="AZ108" s="11"/>
      <c r="BA108" s="12"/>
      <c r="BB108" s="12"/>
      <c r="BC108" s="13"/>
      <c r="BD108" s="11"/>
      <c r="BE108" s="11"/>
      <c r="BF108" s="11"/>
      <c r="BG108" s="12"/>
      <c r="BH108" s="12"/>
      <c r="BI108" s="13"/>
      <c r="BJ108" s="11"/>
      <c r="BK108" s="11"/>
      <c r="BL108" s="11"/>
      <c r="BM108" s="12"/>
      <c r="BN108" s="12"/>
      <c r="BO108" s="13"/>
      <c r="BP108" s="11"/>
      <c r="BQ108" s="11"/>
      <c r="BR108" s="11"/>
      <c r="BS108" s="12"/>
      <c r="BT108" s="12"/>
      <c r="BU108" s="13"/>
      <c r="BV108" s="11"/>
      <c r="BW108" s="11"/>
      <c r="BX108" s="11"/>
      <c r="BY108" s="12"/>
      <c r="BZ108" s="12"/>
      <c r="CA108" s="13"/>
      <c r="CB108" s="11"/>
      <c r="CC108" s="11"/>
      <c r="CD108" s="11"/>
      <c r="CE108" s="12"/>
      <c r="CF108" s="12"/>
      <c r="CG108" s="13"/>
      <c r="CJ108" s="11"/>
      <c r="CK108" s="12"/>
      <c r="CL108" s="12"/>
      <c r="CM108" s="13"/>
      <c r="CN108" s="11"/>
      <c r="CO108" s="11"/>
      <c r="CP108" s="11"/>
    </row>
    <row r="109" spans="1:94" x14ac:dyDescent="0.25">
      <c r="A109" s="21" t="s">
        <v>103</v>
      </c>
      <c r="B109" s="8">
        <v>665490.30000000005</v>
      </c>
      <c r="C109" s="8">
        <v>73557.600000000006</v>
      </c>
      <c r="D109" s="8">
        <v>259</v>
      </c>
      <c r="E109" s="9">
        <v>77083.818532818521</v>
      </c>
      <c r="F109" s="9">
        <v>8520.1853281853291</v>
      </c>
      <c r="G109" s="10">
        <v>4.2328105139501329</v>
      </c>
      <c r="H109" s="8">
        <v>1789336</v>
      </c>
      <c r="I109" s="8">
        <v>201179.16666666666</v>
      </c>
      <c r="J109" s="8">
        <v>560</v>
      </c>
      <c r="K109" s="9">
        <v>115028.74285714286</v>
      </c>
      <c r="L109" s="9">
        <v>12932.946428571429</v>
      </c>
      <c r="M109" s="10">
        <v>4.2720589045115132</v>
      </c>
      <c r="N109" s="8">
        <f t="shared" si="18"/>
        <v>2073085</v>
      </c>
      <c r="O109" s="8">
        <f t="shared" si="19"/>
        <v>223881.33333333334</v>
      </c>
      <c r="P109" s="8">
        <f t="shared" si="20"/>
        <v>133</v>
      </c>
      <c r="Q109" s="9">
        <f t="shared" si="21"/>
        <v>140283.94736842107</v>
      </c>
      <c r="R109" s="9">
        <f t="shared" si="22"/>
        <v>15149.864661654134</v>
      </c>
      <c r="S109" s="10">
        <f t="shared" si="23"/>
        <v>4.1795253274503219</v>
      </c>
      <c r="T109" s="11">
        <v>3150735</v>
      </c>
      <c r="U109" s="11">
        <v>342551</v>
      </c>
      <c r="V109" s="11">
        <v>68</v>
      </c>
      <c r="W109" s="12">
        <v>139003.01470588229</v>
      </c>
      <c r="X109" s="12">
        <v>15112.544117647059</v>
      </c>
      <c r="Y109" s="13">
        <v>4.1983908305523832</v>
      </c>
      <c r="Z109" s="11">
        <v>1857410</v>
      </c>
      <c r="AA109" s="11">
        <v>199138</v>
      </c>
      <c r="AB109" s="11">
        <v>40</v>
      </c>
      <c r="AC109" s="12">
        <v>139305.75</v>
      </c>
      <c r="AD109" s="12">
        <v>14935.35</v>
      </c>
      <c r="AE109" s="13">
        <v>4.1692429981765784</v>
      </c>
      <c r="AF109" s="11">
        <v>1211110</v>
      </c>
      <c r="AG109" s="11">
        <v>129955</v>
      </c>
      <c r="AH109" s="11">
        <v>25</v>
      </c>
      <c r="AI109" s="12">
        <v>145333.20000000001</v>
      </c>
      <c r="AJ109" s="12">
        <v>15594.6</v>
      </c>
      <c r="AK109" s="13">
        <v>4.1709421536220042</v>
      </c>
      <c r="AL109" s="11"/>
      <c r="AM109" s="11"/>
      <c r="AN109" s="11"/>
      <c r="AO109" s="12"/>
      <c r="AP109" s="12"/>
      <c r="AQ109" s="13"/>
      <c r="AR109" s="11"/>
      <c r="AS109" s="11"/>
      <c r="AT109" s="11"/>
      <c r="AU109" s="12"/>
      <c r="AV109" s="12"/>
      <c r="AW109" s="13"/>
      <c r="AX109" s="11"/>
      <c r="AY109" s="11"/>
      <c r="AZ109" s="11"/>
      <c r="BA109" s="12"/>
      <c r="BB109" s="12"/>
      <c r="BC109" s="13"/>
      <c r="BD109" s="11"/>
      <c r="BE109" s="11"/>
      <c r="BF109" s="11"/>
      <c r="BG109" s="12"/>
      <c r="BH109" s="12"/>
      <c r="BI109" s="13"/>
      <c r="BJ109" s="11"/>
      <c r="BK109" s="11"/>
      <c r="BL109" s="11"/>
      <c r="BM109" s="12"/>
      <c r="BN109" s="12"/>
      <c r="BO109" s="13"/>
      <c r="BP109" s="11"/>
      <c r="BQ109" s="11"/>
      <c r="BR109" s="11"/>
      <c r="BS109" s="12"/>
      <c r="BT109" s="12"/>
      <c r="BU109" s="13"/>
      <c r="BV109" s="11"/>
      <c r="BW109" s="11"/>
      <c r="BX109" s="11"/>
      <c r="BY109" s="12"/>
      <c r="BZ109" s="12"/>
      <c r="CA109" s="13"/>
      <c r="CB109" s="11"/>
      <c r="CC109" s="11"/>
      <c r="CD109" s="11"/>
      <c r="CE109" s="12"/>
      <c r="CF109" s="12"/>
      <c r="CG109" s="13"/>
      <c r="CJ109" s="11"/>
      <c r="CK109" s="12"/>
      <c r="CL109" s="12"/>
      <c r="CM109" s="13"/>
      <c r="CN109" s="11"/>
      <c r="CO109" s="11"/>
      <c r="CP109" s="11"/>
    </row>
    <row r="110" spans="1:94" x14ac:dyDescent="0.25">
      <c r="A110" s="21" t="s">
        <v>104</v>
      </c>
      <c r="B110" s="8">
        <v>380466.3</v>
      </c>
      <c r="C110" s="8">
        <v>78083.199999999997</v>
      </c>
      <c r="D110" s="8">
        <v>273</v>
      </c>
      <c r="E110" s="9">
        <v>41809.483516483517</v>
      </c>
      <c r="F110" s="9">
        <v>8580.5714285714275</v>
      </c>
      <c r="G110" s="10">
        <v>5.8512965547635449</v>
      </c>
      <c r="H110" s="8">
        <v>730838</v>
      </c>
      <c r="I110" s="8">
        <v>173480.83333333334</v>
      </c>
      <c r="J110" s="8">
        <v>562</v>
      </c>
      <c r="K110" s="9">
        <v>46815.245551601423</v>
      </c>
      <c r="L110" s="9">
        <v>11112.651245551602</v>
      </c>
      <c r="M110" s="10">
        <v>6.2970181410174346</v>
      </c>
      <c r="N110" s="8">
        <f t="shared" si="18"/>
        <v>871224.66666666663</v>
      </c>
      <c r="O110" s="8">
        <f t="shared" si="19"/>
        <v>178412.33333333334</v>
      </c>
      <c r="P110" s="8">
        <f t="shared" si="20"/>
        <v>132</v>
      </c>
      <c r="Q110" s="9">
        <f t="shared" ref="Q110:Q111" si="24">IFERROR(SUM(T110,Z110,AF110,AL110,AR110,AX110,BD110,BJ110,BP110,BV110,CB110,CH110)/P110*3," ")</f>
        <v>59401.681818181823</v>
      </c>
      <c r="R110" s="9">
        <f t="shared" si="22"/>
        <v>12164.477272727272</v>
      </c>
      <c r="S110" s="10">
        <f t="shared" si="23"/>
        <v>5.8715698825442324</v>
      </c>
      <c r="T110" s="11">
        <v>1383825</v>
      </c>
      <c r="U110" s="11">
        <v>256306</v>
      </c>
      <c r="V110" s="11">
        <v>67</v>
      </c>
      <c r="W110" s="12">
        <v>61962.313432835828</v>
      </c>
      <c r="X110" s="12">
        <v>11476.38805970149</v>
      </c>
      <c r="Y110" s="13">
        <v>5.4803661031384268</v>
      </c>
      <c r="Z110" s="11">
        <v>711335</v>
      </c>
      <c r="AA110" s="11">
        <v>160618</v>
      </c>
      <c r="AB110" s="11">
        <v>39</v>
      </c>
      <c r="AC110" s="12">
        <v>54718.076923076922</v>
      </c>
      <c r="AD110" s="12">
        <v>12355.23076923077</v>
      </c>
      <c r="AE110" s="13">
        <v>6.0511165103251763</v>
      </c>
      <c r="AF110" s="11">
        <v>518514</v>
      </c>
      <c r="AG110" s="11">
        <v>118313</v>
      </c>
      <c r="AH110" s="11">
        <v>26</v>
      </c>
      <c r="AI110" s="12">
        <v>59828.538461538446</v>
      </c>
      <c r="AJ110" s="12">
        <v>13651.5</v>
      </c>
      <c r="AK110" s="13">
        <v>6.083227034169095</v>
      </c>
      <c r="AL110" s="11"/>
      <c r="AM110" s="11"/>
      <c r="AN110" s="11"/>
      <c r="AO110" s="12"/>
      <c r="AP110" s="12"/>
      <c r="AQ110" s="13"/>
      <c r="AR110" s="11"/>
      <c r="AS110" s="11"/>
      <c r="AT110" s="11"/>
      <c r="AU110" s="12"/>
      <c r="AV110" s="12"/>
      <c r="AW110" s="13"/>
      <c r="AX110" s="11"/>
      <c r="AY110" s="11"/>
      <c r="AZ110" s="11"/>
      <c r="BA110" s="12"/>
      <c r="BB110" s="12"/>
      <c r="BC110" s="13"/>
      <c r="BD110" s="11"/>
      <c r="BE110" s="11"/>
      <c r="BF110" s="11"/>
      <c r="BG110" s="12"/>
      <c r="BH110" s="12"/>
      <c r="BI110" s="13"/>
      <c r="BJ110" s="11"/>
      <c r="BK110" s="11"/>
      <c r="BL110" s="11"/>
      <c r="BM110" s="12"/>
      <c r="BN110" s="12"/>
      <c r="BO110" s="13"/>
      <c r="BP110" s="11"/>
      <c r="BQ110" s="11"/>
      <c r="BR110" s="11"/>
      <c r="BS110" s="12"/>
      <c r="BT110" s="12"/>
      <c r="BU110" s="13"/>
      <c r="BV110" s="11"/>
      <c r="BW110" s="11"/>
      <c r="BX110" s="11"/>
      <c r="BY110" s="12"/>
      <c r="BZ110" s="12"/>
      <c r="CA110" s="13"/>
      <c r="CB110" s="11"/>
      <c r="CC110" s="11"/>
      <c r="CD110" s="11"/>
      <c r="CE110" s="12"/>
      <c r="CF110" s="12"/>
      <c r="CG110" s="13"/>
      <c r="CJ110" s="11"/>
      <c r="CK110" s="12"/>
      <c r="CL110" s="12"/>
      <c r="CM110" s="13"/>
      <c r="CN110" s="11"/>
      <c r="CO110" s="11"/>
      <c r="CP110" s="11"/>
    </row>
    <row r="111" spans="1:94" x14ac:dyDescent="0.25">
      <c r="A111" s="21" t="s">
        <v>105</v>
      </c>
      <c r="B111" s="8">
        <v>1321861.8388888889</v>
      </c>
      <c r="C111" s="8">
        <v>7112.8888888888887</v>
      </c>
      <c r="D111" s="8">
        <v>266</v>
      </c>
      <c r="E111" s="9">
        <v>134173.9460526316</v>
      </c>
      <c r="F111" s="9">
        <v>721.98496240601503</v>
      </c>
      <c r="G111" s="10">
        <v>0.93158674485757587</v>
      </c>
      <c r="H111" s="8">
        <v>4636990.25</v>
      </c>
      <c r="I111" s="8">
        <v>23833.916666666668</v>
      </c>
      <c r="J111" s="8">
        <v>867</v>
      </c>
      <c r="K111" s="9">
        <v>192539.38754325261</v>
      </c>
      <c r="L111" s="9">
        <v>989.64359861591697</v>
      </c>
      <c r="M111" s="10">
        <v>0.90660917921656958</v>
      </c>
      <c r="N111" s="8">
        <f t="shared" si="18"/>
        <v>3610703</v>
      </c>
      <c r="O111" s="8">
        <f t="shared" si="19"/>
        <v>15071</v>
      </c>
      <c r="P111" s="8">
        <f t="shared" si="20"/>
        <v>217</v>
      </c>
      <c r="Q111" s="9">
        <f t="shared" si="24"/>
        <v>149752.65898617511</v>
      </c>
      <c r="R111" s="9">
        <f t="shared" si="22"/>
        <v>625.0645161290322</v>
      </c>
      <c r="S111" s="10">
        <f t="shared" si="23"/>
        <v>0.82141373609697077</v>
      </c>
      <c r="T111" s="11">
        <v>3953686</v>
      </c>
      <c r="U111" s="11">
        <v>16926</v>
      </c>
      <c r="V111" s="11">
        <v>80</v>
      </c>
      <c r="W111" s="12">
        <v>148263.22500000001</v>
      </c>
      <c r="X111" s="12">
        <v>634.72499999999991</v>
      </c>
      <c r="Y111" s="13">
        <v>0.82891442245754143</v>
      </c>
      <c r="Z111" s="11">
        <v>3759348</v>
      </c>
      <c r="AA111" s="11">
        <v>14031</v>
      </c>
      <c r="AB111" s="11">
        <v>71</v>
      </c>
      <c r="AC111" s="12">
        <v>158845.69014084511</v>
      </c>
      <c r="AD111" s="12">
        <v>592.85915492957747</v>
      </c>
      <c r="AE111" s="13">
        <v>0.77585962276247344</v>
      </c>
      <c r="AF111" s="11">
        <v>3119075</v>
      </c>
      <c r="AG111" s="11">
        <v>14256</v>
      </c>
      <c r="AH111" s="11">
        <v>66</v>
      </c>
      <c r="AI111" s="12">
        <v>141776.13636363641</v>
      </c>
      <c r="AJ111" s="12">
        <v>648</v>
      </c>
      <c r="AK111" s="13">
        <v>0.85946716307089766</v>
      </c>
      <c r="AL111" s="11"/>
      <c r="AM111" s="11"/>
      <c r="AN111" s="11"/>
      <c r="AO111" s="12"/>
      <c r="AP111" s="12"/>
      <c r="AQ111" s="13"/>
      <c r="AR111" s="11"/>
      <c r="AS111" s="11"/>
      <c r="AT111" s="11"/>
      <c r="AU111" s="12"/>
      <c r="AV111" s="12"/>
      <c r="AW111" s="13"/>
      <c r="AX111" s="11"/>
      <c r="AY111" s="11"/>
      <c r="AZ111" s="11"/>
      <c r="BA111" s="12"/>
      <c r="BB111" s="12"/>
      <c r="BC111" s="13"/>
      <c r="BD111" s="11"/>
      <c r="BE111" s="11"/>
      <c r="BF111" s="11"/>
      <c r="BG111" s="12"/>
      <c r="BH111" s="12"/>
      <c r="BI111" s="13"/>
      <c r="BJ111" s="11"/>
      <c r="BK111" s="11"/>
      <c r="BL111" s="11"/>
      <c r="BM111" s="12"/>
      <c r="BN111" s="12"/>
      <c r="BO111" s="13"/>
      <c r="BP111" s="11"/>
      <c r="BQ111" s="11"/>
      <c r="BR111" s="11"/>
      <c r="BS111" s="12"/>
      <c r="BT111" s="12"/>
      <c r="BU111" s="13"/>
      <c r="BV111" s="11"/>
      <c r="BW111" s="11"/>
      <c r="BX111" s="11"/>
      <c r="BY111" s="12"/>
      <c r="BZ111" s="12"/>
      <c r="CA111" s="13"/>
      <c r="CB111" s="11"/>
      <c r="CC111" s="11"/>
      <c r="CD111" s="11"/>
      <c r="CE111" s="12"/>
      <c r="CF111" s="12"/>
      <c r="CG111" s="13"/>
      <c r="CJ111" s="11"/>
      <c r="CK111" s="12"/>
      <c r="CL111" s="12"/>
      <c r="CM111" s="13"/>
      <c r="CN111" s="11"/>
      <c r="CO111" s="11"/>
      <c r="CP111" s="11"/>
    </row>
    <row r="112" spans="1:94" s="15" customFormat="1" x14ac:dyDescent="0.25">
      <c r="A112" s="2" t="s">
        <v>50</v>
      </c>
      <c r="B112" s="14">
        <v>186771055.38062772</v>
      </c>
      <c r="C112" s="14">
        <v>2717758.5773809534</v>
      </c>
      <c r="D112" s="14"/>
      <c r="E112" s="23"/>
      <c r="F112" s="23"/>
      <c r="G112" s="22"/>
      <c r="H112" s="14">
        <f>SUM(H57:H111)</f>
        <v>226307818.57876933</v>
      </c>
      <c r="I112" s="14">
        <f>SUM(I57:I111)</f>
        <v>3085295.0568181807</v>
      </c>
      <c r="J112" s="14"/>
      <c r="K112" s="14"/>
      <c r="L112" s="14"/>
      <c r="M112" s="22"/>
      <c r="N112" s="14">
        <f>SUM(N57:N111)</f>
        <v>220068776.02333334</v>
      </c>
      <c r="O112" s="14">
        <f>SUM(O57:O111)</f>
        <v>3011639.6666666665</v>
      </c>
      <c r="P112" s="14"/>
      <c r="Q112" s="14"/>
      <c r="R112" s="14"/>
      <c r="S112" s="14"/>
      <c r="T112" s="14">
        <f>SUM(T57:T111)</f>
        <v>226886818.82999998</v>
      </c>
      <c r="U112" s="14">
        <f>SUM(U57:U111)</f>
        <v>3373601</v>
      </c>
      <c r="V112" s="14"/>
      <c r="W112" s="14"/>
      <c r="X112" s="14"/>
      <c r="Y112" s="24"/>
      <c r="Z112" s="14">
        <f>SUM(Z57:Z111)</f>
        <v>217252853.99000001</v>
      </c>
      <c r="AA112" s="14">
        <f>SUM(AA57:AA111)</f>
        <v>3127968</v>
      </c>
      <c r="AB112" s="14"/>
      <c r="AC112" s="14"/>
      <c r="AD112" s="14"/>
      <c r="AE112" s="24"/>
      <c r="AF112" s="14">
        <f>SUM(AF57:AF111)</f>
        <v>209250528.75</v>
      </c>
      <c r="AG112" s="14">
        <f>SUM(AG57:AG111)</f>
        <v>2515442</v>
      </c>
      <c r="AH112" s="14"/>
      <c r="AI112" s="14"/>
      <c r="AJ112" s="14"/>
      <c r="AK112" s="24"/>
      <c r="AL112" s="14">
        <f>SUM(AL57:AL111)</f>
        <v>0</v>
      </c>
      <c r="AM112" s="14">
        <f>SUM(AM57:AM111)</f>
        <v>0</v>
      </c>
      <c r="AN112" s="14"/>
      <c r="AO112" s="14"/>
      <c r="AP112" s="14"/>
      <c r="AQ112" s="24"/>
      <c r="AR112" s="14">
        <f>SUM(AR57:AR111)</f>
        <v>0</v>
      </c>
      <c r="AS112" s="14">
        <f>SUM(AS57:AS111)</f>
        <v>0</v>
      </c>
      <c r="AT112" s="14"/>
      <c r="AU112" s="14"/>
      <c r="AV112" s="14"/>
      <c r="AW112" s="24"/>
      <c r="AX112" s="14">
        <f>SUM(AX57:AX111)</f>
        <v>0</v>
      </c>
      <c r="AY112" s="14">
        <f>SUM(AY57:AY111)</f>
        <v>0</v>
      </c>
      <c r="AZ112" s="14"/>
      <c r="BA112" s="14"/>
      <c r="BB112" s="14"/>
      <c r="BC112" s="24"/>
      <c r="BD112" s="14">
        <f>SUM(BD57:BD111)</f>
        <v>0</v>
      </c>
      <c r="BE112" s="14">
        <f>SUM(BE57:BE111)</f>
        <v>0</v>
      </c>
      <c r="BF112" s="14"/>
      <c r="BG112" s="14"/>
      <c r="BH112" s="14"/>
      <c r="BI112" s="24"/>
      <c r="BJ112" s="14">
        <f>SUM(BJ57:BJ111)</f>
        <v>0</v>
      </c>
      <c r="BK112" s="14">
        <f>SUM(BK57:BK111)</f>
        <v>0</v>
      </c>
      <c r="BL112" s="14"/>
      <c r="BM112" s="14"/>
      <c r="BN112" s="14"/>
      <c r="BO112" s="24"/>
      <c r="BP112" s="14">
        <f>SUM(BP57:BP111)</f>
        <v>0</v>
      </c>
      <c r="BQ112" s="14">
        <f>SUM(BQ57:BQ111)</f>
        <v>0</v>
      </c>
      <c r="BR112" s="14"/>
      <c r="BS112" s="14"/>
      <c r="BT112" s="14"/>
      <c r="BU112" s="24"/>
      <c r="BV112" s="14">
        <f>SUM(BV57:BV111)</f>
        <v>0</v>
      </c>
      <c r="BW112" s="14">
        <f>SUM(BW57:BW111)</f>
        <v>0</v>
      </c>
      <c r="BX112" s="14"/>
      <c r="BY112" s="14"/>
      <c r="BZ112" s="14"/>
      <c r="CA112" s="24"/>
      <c r="CB112" s="14">
        <f>SUM(CB57:CB111)</f>
        <v>0</v>
      </c>
      <c r="CC112" s="14">
        <f>SUM(CC57:CC111)</f>
        <v>0</v>
      </c>
      <c r="CD112" s="14"/>
      <c r="CE112" s="14"/>
      <c r="CF112" s="14"/>
      <c r="CG112" s="24"/>
      <c r="CH112" s="14">
        <f>SUM(CH57:CH111)</f>
        <v>0</v>
      </c>
      <c r="CI112" s="14">
        <f>SUM(CI57:CI111)</f>
        <v>0</v>
      </c>
      <c r="CJ112" s="14"/>
      <c r="CK112" s="14"/>
      <c r="CL112" s="14"/>
      <c r="CM112" s="24"/>
      <c r="CN112" s="11"/>
    </row>
    <row r="113" spans="1:92" x14ac:dyDescent="0.25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1"/>
      <c r="O113" s="11"/>
      <c r="P113" s="11"/>
      <c r="Q113" s="11"/>
      <c r="R113" s="17"/>
      <c r="S113" s="18"/>
    </row>
    <row r="114" spans="1:92" x14ac:dyDescent="0.25">
      <c r="A114" s="1"/>
      <c r="B114" s="26" t="s">
        <v>109</v>
      </c>
      <c r="C114" s="26"/>
      <c r="D114" s="26"/>
      <c r="E114" s="26"/>
      <c r="F114" s="26"/>
      <c r="G114" s="26"/>
      <c r="H114" s="26" t="s">
        <v>116</v>
      </c>
      <c r="I114" s="26"/>
      <c r="J114" s="26"/>
      <c r="K114" s="26"/>
      <c r="L114" s="26"/>
      <c r="M114" s="26"/>
      <c r="N114" s="26" t="s">
        <v>129</v>
      </c>
      <c r="O114" s="26"/>
      <c r="P114" s="26"/>
      <c r="Q114" s="26"/>
      <c r="R114" s="26"/>
      <c r="S114" s="26"/>
      <c r="T114" s="26" t="s">
        <v>117</v>
      </c>
      <c r="U114" s="26"/>
      <c r="V114" s="26"/>
      <c r="W114" s="26"/>
      <c r="X114" s="26"/>
      <c r="Y114" s="26"/>
      <c r="Z114" s="26" t="s">
        <v>118</v>
      </c>
      <c r="AA114" s="26"/>
      <c r="AB114" s="26"/>
      <c r="AC114" s="26"/>
      <c r="AD114" s="26"/>
      <c r="AE114" s="26"/>
      <c r="AF114" s="26" t="s">
        <v>119</v>
      </c>
      <c r="AG114" s="26"/>
      <c r="AH114" s="26"/>
      <c r="AI114" s="26"/>
      <c r="AJ114" s="26"/>
      <c r="AK114" s="26"/>
      <c r="AL114" s="26" t="s">
        <v>120</v>
      </c>
      <c r="AM114" s="26"/>
      <c r="AN114" s="26"/>
      <c r="AO114" s="26"/>
      <c r="AP114" s="26"/>
      <c r="AQ114" s="26"/>
      <c r="AR114" s="26" t="s">
        <v>121</v>
      </c>
      <c r="AS114" s="26"/>
      <c r="AT114" s="26"/>
      <c r="AU114" s="26"/>
      <c r="AV114" s="26"/>
      <c r="AW114" s="26"/>
      <c r="AX114" s="26" t="s">
        <v>122</v>
      </c>
      <c r="AY114" s="26"/>
      <c r="AZ114" s="26"/>
      <c r="BA114" s="26"/>
      <c r="BB114" s="26"/>
      <c r="BC114" s="26"/>
      <c r="BD114" s="26" t="s">
        <v>123</v>
      </c>
      <c r="BE114" s="26"/>
      <c r="BF114" s="26"/>
      <c r="BG114" s="26"/>
      <c r="BH114" s="26"/>
      <c r="BI114" s="26"/>
      <c r="BJ114" s="26" t="s">
        <v>124</v>
      </c>
      <c r="BK114" s="26"/>
      <c r="BL114" s="26"/>
      <c r="BM114" s="26"/>
      <c r="BN114" s="26"/>
      <c r="BO114" s="26"/>
      <c r="BP114" s="26" t="s">
        <v>125</v>
      </c>
      <c r="BQ114" s="26"/>
      <c r="BR114" s="26"/>
      <c r="BS114" s="26"/>
      <c r="BT114" s="26"/>
      <c r="BU114" s="26"/>
      <c r="BV114" s="26" t="s">
        <v>126</v>
      </c>
      <c r="BW114" s="26"/>
      <c r="BX114" s="26"/>
      <c r="BY114" s="26"/>
      <c r="BZ114" s="26"/>
      <c r="CA114" s="26"/>
      <c r="CB114" s="26" t="s">
        <v>127</v>
      </c>
      <c r="CC114" s="26"/>
      <c r="CD114" s="26"/>
      <c r="CE114" s="26"/>
      <c r="CF114" s="26"/>
      <c r="CG114" s="26"/>
      <c r="CH114" s="26" t="s">
        <v>128</v>
      </c>
      <c r="CI114" s="26"/>
      <c r="CJ114" s="26"/>
      <c r="CK114" s="26"/>
      <c r="CL114" s="26"/>
      <c r="CM114" s="26"/>
    </row>
    <row r="115" spans="1:92" s="6" customFormat="1" ht="75" x14ac:dyDescent="0.25">
      <c r="A115" s="4"/>
      <c r="B115" s="5" t="s">
        <v>111</v>
      </c>
      <c r="C115" s="5" t="s">
        <v>112</v>
      </c>
      <c r="D115" s="5" t="s">
        <v>113</v>
      </c>
      <c r="E115" s="5" t="s">
        <v>114</v>
      </c>
      <c r="F115" s="5" t="s">
        <v>115</v>
      </c>
      <c r="G115" s="5" t="s">
        <v>110</v>
      </c>
      <c r="H115" s="5" t="s">
        <v>111</v>
      </c>
      <c r="I115" s="5" t="s">
        <v>112</v>
      </c>
      <c r="J115" s="5" t="s">
        <v>113</v>
      </c>
      <c r="K115" s="5" t="s">
        <v>114</v>
      </c>
      <c r="L115" s="5" t="s">
        <v>115</v>
      </c>
      <c r="M115" s="5" t="s">
        <v>110</v>
      </c>
      <c r="N115" s="5" t="s">
        <v>111</v>
      </c>
      <c r="O115" s="5" t="s">
        <v>112</v>
      </c>
      <c r="P115" s="5" t="s">
        <v>113</v>
      </c>
      <c r="Q115" s="5" t="s">
        <v>114</v>
      </c>
      <c r="R115" s="5" t="s">
        <v>115</v>
      </c>
      <c r="S115" s="5" t="s">
        <v>110</v>
      </c>
      <c r="T115" s="5" t="s">
        <v>111</v>
      </c>
      <c r="U115" s="5" t="s">
        <v>112</v>
      </c>
      <c r="V115" s="5" t="s">
        <v>113</v>
      </c>
      <c r="W115" s="5" t="s">
        <v>114</v>
      </c>
      <c r="X115" s="5" t="s">
        <v>115</v>
      </c>
      <c r="Y115" s="5" t="s">
        <v>110</v>
      </c>
      <c r="Z115" s="5" t="s">
        <v>111</v>
      </c>
      <c r="AA115" s="5" t="s">
        <v>112</v>
      </c>
      <c r="AB115" s="5" t="s">
        <v>113</v>
      </c>
      <c r="AC115" s="5" t="s">
        <v>114</v>
      </c>
      <c r="AD115" s="5" t="s">
        <v>115</v>
      </c>
      <c r="AE115" s="5" t="s">
        <v>110</v>
      </c>
      <c r="AF115" s="5" t="s">
        <v>111</v>
      </c>
      <c r="AG115" s="5" t="s">
        <v>112</v>
      </c>
      <c r="AH115" s="5" t="s">
        <v>113</v>
      </c>
      <c r="AI115" s="5" t="s">
        <v>114</v>
      </c>
      <c r="AJ115" s="5" t="s">
        <v>115</v>
      </c>
      <c r="AK115" s="5" t="s">
        <v>110</v>
      </c>
      <c r="AL115" s="5" t="s">
        <v>111</v>
      </c>
      <c r="AM115" s="5" t="s">
        <v>112</v>
      </c>
      <c r="AN115" s="5" t="s">
        <v>113</v>
      </c>
      <c r="AO115" s="5" t="s">
        <v>114</v>
      </c>
      <c r="AP115" s="5" t="s">
        <v>115</v>
      </c>
      <c r="AQ115" s="5" t="s">
        <v>110</v>
      </c>
      <c r="AR115" s="5" t="s">
        <v>111</v>
      </c>
      <c r="AS115" s="5" t="s">
        <v>112</v>
      </c>
      <c r="AT115" s="5" t="s">
        <v>113</v>
      </c>
      <c r="AU115" s="5" t="s">
        <v>114</v>
      </c>
      <c r="AV115" s="5" t="s">
        <v>115</v>
      </c>
      <c r="AW115" s="5" t="s">
        <v>110</v>
      </c>
      <c r="AX115" s="5" t="s">
        <v>111</v>
      </c>
      <c r="AY115" s="5" t="s">
        <v>112</v>
      </c>
      <c r="AZ115" s="5" t="s">
        <v>113</v>
      </c>
      <c r="BA115" s="5" t="s">
        <v>114</v>
      </c>
      <c r="BB115" s="5" t="s">
        <v>115</v>
      </c>
      <c r="BC115" s="5" t="s">
        <v>110</v>
      </c>
      <c r="BD115" s="5" t="s">
        <v>111</v>
      </c>
      <c r="BE115" s="5" t="s">
        <v>112</v>
      </c>
      <c r="BF115" s="5" t="s">
        <v>113</v>
      </c>
      <c r="BG115" s="5" t="s">
        <v>114</v>
      </c>
      <c r="BH115" s="5" t="s">
        <v>115</v>
      </c>
      <c r="BI115" s="5" t="s">
        <v>110</v>
      </c>
      <c r="BJ115" s="5" t="s">
        <v>111</v>
      </c>
      <c r="BK115" s="5" t="s">
        <v>112</v>
      </c>
      <c r="BL115" s="5" t="s">
        <v>113</v>
      </c>
      <c r="BM115" s="5" t="s">
        <v>114</v>
      </c>
      <c r="BN115" s="5" t="s">
        <v>115</v>
      </c>
      <c r="BO115" s="5" t="s">
        <v>110</v>
      </c>
      <c r="BP115" s="5" t="s">
        <v>111</v>
      </c>
      <c r="BQ115" s="5" t="s">
        <v>112</v>
      </c>
      <c r="BR115" s="5" t="s">
        <v>113</v>
      </c>
      <c r="BS115" s="5" t="s">
        <v>114</v>
      </c>
      <c r="BT115" s="5" t="s">
        <v>115</v>
      </c>
      <c r="BU115" s="5" t="s">
        <v>110</v>
      </c>
      <c r="BV115" s="5" t="s">
        <v>111</v>
      </c>
      <c r="BW115" s="5" t="s">
        <v>112</v>
      </c>
      <c r="BX115" s="5" t="s">
        <v>113</v>
      </c>
      <c r="BY115" s="5" t="s">
        <v>114</v>
      </c>
      <c r="BZ115" s="5" t="s">
        <v>115</v>
      </c>
      <c r="CA115" s="5" t="s">
        <v>110</v>
      </c>
      <c r="CB115" s="5" t="s">
        <v>111</v>
      </c>
      <c r="CC115" s="5" t="s">
        <v>112</v>
      </c>
      <c r="CD115" s="5" t="s">
        <v>113</v>
      </c>
      <c r="CE115" s="5" t="s">
        <v>114</v>
      </c>
      <c r="CF115" s="5" t="s">
        <v>115</v>
      </c>
      <c r="CG115" s="5" t="s">
        <v>110</v>
      </c>
      <c r="CH115" s="5" t="s">
        <v>111</v>
      </c>
      <c r="CI115" s="5" t="s">
        <v>112</v>
      </c>
      <c r="CJ115" s="5" t="s">
        <v>113</v>
      </c>
      <c r="CK115" s="5" t="s">
        <v>114</v>
      </c>
      <c r="CL115" s="5" t="s">
        <v>115</v>
      </c>
      <c r="CM115" s="5" t="s">
        <v>110</v>
      </c>
    </row>
    <row r="116" spans="1:92" x14ac:dyDescent="0.25">
      <c r="A116" s="7" t="s">
        <v>106</v>
      </c>
      <c r="B116" s="8">
        <v>1363313.4166666667</v>
      </c>
      <c r="C116" s="8">
        <v>750635.5</v>
      </c>
      <c r="D116" s="8">
        <v>346</v>
      </c>
      <c r="E116" s="9">
        <v>141847.63872832368</v>
      </c>
      <c r="F116" s="9">
        <v>78100.803468208091</v>
      </c>
      <c r="G116" s="10">
        <v>4.9195843497597336</v>
      </c>
      <c r="H116" s="8">
        <v>2933686.8333333335</v>
      </c>
      <c r="I116" s="8">
        <v>431936.91666666669</v>
      </c>
      <c r="J116" s="8">
        <v>393</v>
      </c>
      <c r="K116" s="9">
        <v>268734.67175572517</v>
      </c>
      <c r="L116" s="9">
        <v>39566.740458015265</v>
      </c>
      <c r="M116" s="10">
        <v>4.8954616729076248</v>
      </c>
      <c r="N116" s="8">
        <f t="shared" ref="N116:O118" si="25">IFERROR(AVERAGE(T116,Z116,AF116,AL116,AR116,AX116,BD116,BJ116,BP116,BV116,CB116,CH116)," ")</f>
        <v>2546115.3333333335</v>
      </c>
      <c r="O116" s="8">
        <f t="shared" si="25"/>
        <v>385921.33333333331</v>
      </c>
      <c r="P116" s="8">
        <f>IFERROR(SUM(V116,AB116,AH116,AN116,AT116,AZ116,BF116,BL116,BR116,BX116,CD116,CJ116)," ")</f>
        <v>86</v>
      </c>
      <c r="Q116" s="9">
        <f>IFERROR(SUM(T116,Z116,AF116,AL116,AR116,AX116,BD116,BJ116,BP116,BV116,CB116,CH116)/P116*3," ")</f>
        <v>266453.93023255817</v>
      </c>
      <c r="R116" s="9">
        <f>IFERROR(SUM(U116,AA116,AG116,AM116,AS116,AY116,BE116,BK116,BQ116,BW116,CC116,CI116)/P116*3," ")</f>
        <v>40387.116279069771</v>
      </c>
      <c r="S116" s="10">
        <f>IFERROR(AVERAGE(Y116,AE116,AK116,AQ116,AW116,BC116,BI116,BO116,BU116,CA116,CG116,CM116)," ")</f>
        <v>5.0058401003055266</v>
      </c>
      <c r="T116" s="11">
        <v>3772092</v>
      </c>
      <c r="U116" s="11">
        <v>535876</v>
      </c>
      <c r="V116" s="11">
        <v>44</v>
      </c>
      <c r="W116" s="12">
        <v>257188.09090909091</v>
      </c>
      <c r="X116" s="12">
        <v>36537</v>
      </c>
      <c r="Y116" s="13">
        <v>4.7988678543604726</v>
      </c>
      <c r="Z116" s="11">
        <v>3070229</v>
      </c>
      <c r="AA116" s="11">
        <v>493493</v>
      </c>
      <c r="AB116" s="11">
        <v>33</v>
      </c>
      <c r="AC116" s="12">
        <v>279111.72727272729</v>
      </c>
      <c r="AD116" s="12">
        <v>44863</v>
      </c>
      <c r="AE116" s="13">
        <v>5.1048279347889887</v>
      </c>
      <c r="AF116" s="11">
        <v>796025</v>
      </c>
      <c r="AG116" s="11">
        <v>128395</v>
      </c>
      <c r="AH116" s="11">
        <v>9</v>
      </c>
      <c r="AI116" s="12">
        <v>265341.66666666663</v>
      </c>
      <c r="AJ116" s="12">
        <v>42798.333333333343</v>
      </c>
      <c r="AK116" s="13">
        <v>5.1138245117671186</v>
      </c>
      <c r="AL116" s="11"/>
      <c r="AM116" s="11"/>
      <c r="AN116" s="11"/>
      <c r="AO116" s="12"/>
      <c r="AP116" s="12"/>
      <c r="AQ116" s="13"/>
      <c r="AR116" s="11"/>
      <c r="AS116" s="11"/>
      <c r="AT116" s="11"/>
      <c r="AU116" s="12"/>
      <c r="AV116" s="12"/>
      <c r="AW116" s="13"/>
      <c r="AX116" s="11"/>
      <c r="AY116" s="11"/>
      <c r="AZ116" s="11"/>
      <c r="BA116" s="12"/>
      <c r="BB116" s="12"/>
      <c r="BC116" s="13"/>
      <c r="BD116" s="11"/>
      <c r="BE116" s="11"/>
      <c r="BF116" s="11"/>
      <c r="BG116" s="12"/>
      <c r="BH116" s="12"/>
      <c r="BI116" s="13"/>
      <c r="BJ116" s="11"/>
      <c r="BK116" s="11"/>
      <c r="BL116" s="11"/>
      <c r="BM116" s="12"/>
      <c r="BN116" s="12"/>
      <c r="BO116" s="13"/>
      <c r="BP116" s="11"/>
      <c r="BQ116" s="11"/>
      <c r="BR116" s="11"/>
      <c r="BS116" s="12"/>
      <c r="BT116" s="12"/>
      <c r="BU116" s="13"/>
      <c r="BV116" s="11"/>
      <c r="BW116" s="11"/>
      <c r="BX116" s="11"/>
      <c r="BY116" s="12"/>
      <c r="BZ116" s="12"/>
      <c r="CA116" s="13"/>
      <c r="CB116" s="11"/>
      <c r="CC116" s="11"/>
      <c r="CD116" s="11"/>
      <c r="CE116" s="12"/>
      <c r="CF116" s="12"/>
      <c r="CG116" s="13"/>
      <c r="CJ116" s="11"/>
      <c r="CK116" s="12"/>
      <c r="CL116" s="12"/>
      <c r="CM116" s="13"/>
      <c r="CN116" s="11"/>
    </row>
    <row r="117" spans="1:92" x14ac:dyDescent="0.25">
      <c r="A117" s="7" t="s">
        <v>107</v>
      </c>
      <c r="B117" s="8">
        <v>3116979.1666666665</v>
      </c>
      <c r="C117" s="8">
        <v>463607.41666666669</v>
      </c>
      <c r="D117" s="8">
        <v>374</v>
      </c>
      <c r="E117" s="9">
        <v>300030.08021390374</v>
      </c>
      <c r="F117" s="9">
        <v>44625.312834224598</v>
      </c>
      <c r="G117" s="10">
        <v>4.899061328719867</v>
      </c>
      <c r="H117" s="8">
        <v>2985959.6666666665</v>
      </c>
      <c r="I117" s="8">
        <v>441200.91666666669</v>
      </c>
      <c r="J117" s="8">
        <v>387</v>
      </c>
      <c r="K117" s="9">
        <v>277763.68992248061</v>
      </c>
      <c r="L117" s="9">
        <v>41041.945736434107</v>
      </c>
      <c r="M117" s="10">
        <v>4.8921259428661426</v>
      </c>
      <c r="N117" s="8">
        <f t="shared" si="25"/>
        <v>2749662.6666666665</v>
      </c>
      <c r="O117" s="8">
        <f t="shared" si="25"/>
        <v>414968</v>
      </c>
      <c r="P117" s="8">
        <f>IFERROR(SUM(V117,AB117,AH117,AN117,AT117,AZ117,BF117,BL117,BR117,BX117,CD117,CJ117)," ")</f>
        <v>93</v>
      </c>
      <c r="Q117" s="9">
        <f>IFERROR(SUM(T117,Z117,AF117,AL117,AR117,AX117,BD117,BJ117,BP117,BV117,CB117,CH117)/P117*3," ")</f>
        <v>266096.38709677418</v>
      </c>
      <c r="R117" s="9">
        <f>IFERROR(SUM(U117,AA117,AG117,AM117,AS117,AY117,BE117,BK117,BQ117,BW117,CC117,CI117)/P117*3," ")</f>
        <v>40158.193548387098</v>
      </c>
      <c r="S117" s="10">
        <f>IFERROR(AVERAGE(Y117,AE117,AK117,AQ117,AW117,BC117,BI117,BO117,BU117,CA117,CG117,CM117)," ")</f>
        <v>4.9930002441052137</v>
      </c>
      <c r="T117" s="11">
        <v>4072469</v>
      </c>
      <c r="U117" s="11">
        <v>580078</v>
      </c>
      <c r="V117" s="11">
        <v>43</v>
      </c>
      <c r="W117" s="12">
        <v>284125.74418604648</v>
      </c>
      <c r="X117" s="12">
        <v>40470.558139534893</v>
      </c>
      <c r="Y117" s="13">
        <v>4.8052281679300783</v>
      </c>
      <c r="Z117" s="11">
        <v>3320810</v>
      </c>
      <c r="AA117" s="11">
        <v>527625</v>
      </c>
      <c r="AB117" s="11">
        <v>36</v>
      </c>
      <c r="AC117" s="12">
        <v>276734.16666666663</v>
      </c>
      <c r="AD117" s="12">
        <v>43968.75</v>
      </c>
      <c r="AE117" s="13">
        <v>5.0752607227278048</v>
      </c>
      <c r="AF117" s="11">
        <v>855709</v>
      </c>
      <c r="AG117" s="11">
        <v>137201</v>
      </c>
      <c r="AH117" s="11">
        <v>14</v>
      </c>
      <c r="AI117" s="12">
        <v>183366.21428571429</v>
      </c>
      <c r="AJ117" s="12">
        <v>29400.21428571429</v>
      </c>
      <c r="AK117" s="13">
        <v>5.0985118416577562</v>
      </c>
      <c r="AL117" s="11"/>
      <c r="AM117" s="11"/>
      <c r="AN117" s="11"/>
      <c r="AO117" s="12"/>
      <c r="AP117" s="12"/>
      <c r="AQ117" s="13"/>
      <c r="AR117" s="11"/>
      <c r="AS117" s="11"/>
      <c r="AT117" s="11"/>
      <c r="AU117" s="12"/>
      <c r="AV117" s="12"/>
      <c r="AW117" s="13"/>
      <c r="AX117" s="11"/>
      <c r="AY117" s="11"/>
      <c r="AZ117" s="11"/>
      <c r="BA117" s="12"/>
      <c r="BB117" s="12"/>
      <c r="BC117" s="13"/>
      <c r="BD117" s="11"/>
      <c r="BE117" s="11"/>
      <c r="BF117" s="11"/>
      <c r="BG117" s="12"/>
      <c r="BH117" s="12"/>
      <c r="BI117" s="13"/>
      <c r="BJ117" s="11"/>
      <c r="BK117" s="11"/>
      <c r="BL117" s="11"/>
      <c r="BM117" s="12"/>
      <c r="BN117" s="12"/>
      <c r="BO117" s="13"/>
      <c r="BP117" s="11"/>
      <c r="BQ117" s="11"/>
      <c r="BR117" s="11"/>
      <c r="BS117" s="12"/>
      <c r="BT117" s="12"/>
      <c r="BU117" s="13"/>
      <c r="BV117" s="11"/>
      <c r="BW117" s="11"/>
      <c r="BX117" s="11"/>
      <c r="BY117" s="12"/>
      <c r="BZ117" s="12"/>
      <c r="CA117" s="13"/>
      <c r="CB117" s="11"/>
      <c r="CC117" s="11"/>
      <c r="CD117" s="11"/>
      <c r="CE117" s="12"/>
      <c r="CF117" s="12"/>
      <c r="CG117" s="13"/>
      <c r="CJ117" s="11"/>
      <c r="CK117" s="12"/>
      <c r="CL117" s="12"/>
      <c r="CM117" s="13"/>
    </row>
    <row r="118" spans="1:92" x14ac:dyDescent="0.25">
      <c r="A118" s="7" t="s">
        <v>108</v>
      </c>
      <c r="B118" s="8">
        <v>2624881.4166666665</v>
      </c>
      <c r="C118" s="8">
        <v>583700.58333333337</v>
      </c>
      <c r="D118" s="8">
        <v>371</v>
      </c>
      <c r="E118" s="9">
        <v>254705.47439353101</v>
      </c>
      <c r="F118" s="9">
        <v>56639.409703504047</v>
      </c>
      <c r="G118" s="10">
        <v>14.746029969905649</v>
      </c>
      <c r="H118" s="8">
        <v>835120.91666666663</v>
      </c>
      <c r="I118" s="8">
        <v>882924.5</v>
      </c>
      <c r="J118" s="8">
        <v>400</v>
      </c>
      <c r="K118" s="9">
        <v>75160.882499999992</v>
      </c>
      <c r="L118" s="9">
        <v>79463.205000000002</v>
      </c>
      <c r="M118" s="10">
        <v>14.699129727073183</v>
      </c>
      <c r="N118" s="8">
        <f t="shared" si="25"/>
        <v>729984.46666666667</v>
      </c>
      <c r="O118" s="8">
        <f t="shared" si="25"/>
        <v>804820.33333333337</v>
      </c>
      <c r="P118" s="8">
        <f>IFERROR(SUM(V118,AB118,AH118,AN118,AT118,AZ118,BF118,BL118,BR118,BX118,CD118,CJ118)," ")</f>
        <v>77</v>
      </c>
      <c r="Q118" s="9">
        <f>IFERROR(SUM(T118,Z118,AF118,AL118,AR118,AX118,BD118,BJ118,BP118,BV118,CB118,CH118)/P118*3," ")</f>
        <v>85322.859740259737</v>
      </c>
      <c r="R118" s="9">
        <f>IFERROR(SUM(U118,AA118,AG118,AM118,AS118,AY118,BE118,BK118,BQ118,BW118,CC118,CI118)/P118*3," ")</f>
        <v>94069.909090909088</v>
      </c>
      <c r="S118" s="10">
        <f>IFERROR(AVERAGE(Y118,AE118,AK118,AQ118,AW118,BC118,BI118,BO118,BU118,CA118,CG118,CM118)," ")</f>
        <v>14.983498162021911</v>
      </c>
      <c r="T118" s="11">
        <v>1050265</v>
      </c>
      <c r="U118" s="11">
        <v>1091372</v>
      </c>
      <c r="V118" s="11">
        <v>35</v>
      </c>
      <c r="W118" s="12">
        <v>90022.71428571429</v>
      </c>
      <c r="X118" s="12">
        <v>93546.171428571426</v>
      </c>
      <c r="Y118" s="13">
        <v>14.418601907276569</v>
      </c>
      <c r="Z118" s="11">
        <v>948088.4</v>
      </c>
      <c r="AA118" s="11">
        <v>1098718</v>
      </c>
      <c r="AB118" s="11">
        <v>34</v>
      </c>
      <c r="AC118" s="12">
        <v>83654.858823529416</v>
      </c>
      <c r="AD118" s="12">
        <v>96945.705882352937</v>
      </c>
      <c r="AE118" s="13">
        <v>15.225921194021881</v>
      </c>
      <c r="AF118" s="11">
        <v>191600</v>
      </c>
      <c r="AG118" s="11">
        <v>224371</v>
      </c>
      <c r="AH118" s="11">
        <v>8</v>
      </c>
      <c r="AI118" s="12">
        <v>71850</v>
      </c>
      <c r="AJ118" s="12">
        <v>84139.125</v>
      </c>
      <c r="AK118" s="13">
        <v>15.30597138476729</v>
      </c>
      <c r="AL118" s="11"/>
      <c r="AM118" s="11"/>
      <c r="AN118" s="11"/>
      <c r="AO118" s="12"/>
      <c r="AP118" s="12"/>
      <c r="AQ118" s="13"/>
      <c r="AR118" s="11"/>
      <c r="AS118" s="11"/>
      <c r="AT118" s="11"/>
      <c r="AU118" s="12"/>
      <c r="AV118" s="12"/>
      <c r="AW118" s="13"/>
      <c r="AX118" s="11"/>
      <c r="AY118" s="11"/>
      <c r="AZ118" s="11"/>
      <c r="BA118" s="12"/>
      <c r="BB118" s="12"/>
      <c r="BC118" s="13"/>
      <c r="BD118" s="11"/>
      <c r="BE118" s="11"/>
      <c r="BF118" s="11"/>
      <c r="BG118" s="12"/>
      <c r="BH118" s="12"/>
      <c r="BI118" s="13"/>
      <c r="BJ118" s="11"/>
      <c r="BK118" s="11"/>
      <c r="BL118" s="11"/>
      <c r="BM118" s="12"/>
      <c r="BN118" s="12"/>
      <c r="BO118" s="13"/>
      <c r="BP118" s="11"/>
      <c r="BQ118" s="11"/>
      <c r="BR118" s="11"/>
      <c r="BS118" s="12"/>
      <c r="BT118" s="12"/>
      <c r="BU118" s="13"/>
      <c r="BV118" s="11"/>
      <c r="BW118" s="11"/>
      <c r="BX118" s="11"/>
      <c r="BY118" s="12"/>
      <c r="BZ118" s="12"/>
      <c r="CA118" s="13"/>
      <c r="CB118" s="11"/>
      <c r="CC118" s="11"/>
      <c r="CD118" s="11"/>
      <c r="CE118" s="12"/>
      <c r="CF118" s="12"/>
      <c r="CG118" s="13"/>
      <c r="CJ118" s="11"/>
      <c r="CK118" s="12"/>
      <c r="CL118" s="12"/>
      <c r="CM118" s="13"/>
    </row>
    <row r="119" spans="1:92" s="15" customFormat="1" x14ac:dyDescent="0.25">
      <c r="A119" s="2" t="s">
        <v>50</v>
      </c>
      <c r="B119" s="14">
        <v>12829984.4</v>
      </c>
      <c r="C119" s="14">
        <v>3287854.2</v>
      </c>
      <c r="D119" s="14"/>
      <c r="E119" s="25"/>
      <c r="F119" s="25"/>
      <c r="G119" s="22"/>
      <c r="H119" s="14">
        <f>SUM(H116:H118)</f>
        <v>6754767.416666667</v>
      </c>
      <c r="I119" s="14">
        <f t="shared" ref="I119" si="26">SUM(I116:I118)</f>
        <v>1756062.3333333335</v>
      </c>
      <c r="J119" s="14"/>
      <c r="K119" s="14"/>
      <c r="L119" s="14"/>
      <c r="M119" s="22"/>
      <c r="N119" s="14">
        <f>SUM(N116:N118)</f>
        <v>6025762.4666666668</v>
      </c>
      <c r="O119" s="14">
        <f>SUM(O116:O118)</f>
        <v>1605709.6666666665</v>
      </c>
      <c r="P119" s="14"/>
      <c r="Q119" s="14"/>
      <c r="R119" s="14"/>
      <c r="S119" s="14"/>
      <c r="T119" s="14">
        <f>SUM(T116:T118)</f>
        <v>8894826</v>
      </c>
      <c r="U119" s="14">
        <f>SUM(U116:U118)</f>
        <v>2207326</v>
      </c>
      <c r="V119" s="14"/>
      <c r="W119" s="14"/>
      <c r="X119" s="22"/>
      <c r="Y119" s="14"/>
      <c r="Z119" s="14">
        <f>SUM(Z116:Z118)</f>
        <v>7339127.4000000004</v>
      </c>
      <c r="AA119" s="14">
        <f>SUM(AA116:AA118)</f>
        <v>2119836</v>
      </c>
      <c r="AB119" s="14"/>
      <c r="AC119" s="14"/>
      <c r="AD119" s="22"/>
      <c r="AE119" s="14"/>
      <c r="AF119" s="14">
        <f>SUM(AF116:AF118)</f>
        <v>1843334</v>
      </c>
      <c r="AG119" s="14">
        <f>SUM(AG116:AG118)</f>
        <v>489967</v>
      </c>
      <c r="AH119" s="14"/>
      <c r="AI119" s="14"/>
      <c r="AJ119" s="22"/>
      <c r="AK119" s="14"/>
      <c r="AL119" s="14">
        <f>SUM(AL116:AL118)</f>
        <v>0</v>
      </c>
      <c r="AM119" s="14">
        <f>SUM(AM116:AM118)</f>
        <v>0</v>
      </c>
      <c r="AN119" s="14"/>
      <c r="AO119" s="14"/>
      <c r="AP119" s="22"/>
      <c r="AQ119" s="14"/>
      <c r="AR119" s="14">
        <f>SUM(AR116:AR118)</f>
        <v>0</v>
      </c>
      <c r="AS119" s="14">
        <f>SUM(AS116:AS118)</f>
        <v>0</v>
      </c>
      <c r="AT119" s="14"/>
      <c r="AU119" s="14"/>
      <c r="AV119" s="22"/>
      <c r="AW119" s="14"/>
      <c r="AX119" s="14">
        <f>SUM(AX116:AX118)</f>
        <v>0</v>
      </c>
      <c r="AY119" s="14">
        <f>SUM(AY116:AY118)</f>
        <v>0</v>
      </c>
      <c r="AZ119" s="14"/>
      <c r="BA119" s="14"/>
      <c r="BB119" s="22"/>
      <c r="BC119" s="14"/>
      <c r="BD119" s="14">
        <f>SUM(BD116:BD118)</f>
        <v>0</v>
      </c>
      <c r="BE119" s="14">
        <f>SUM(BE116:BE118)</f>
        <v>0</v>
      </c>
      <c r="BF119" s="14"/>
      <c r="BG119" s="14"/>
      <c r="BH119" s="22"/>
      <c r="BI119" s="14"/>
      <c r="BJ119" s="14">
        <f>SUM(BJ116:BJ118)</f>
        <v>0</v>
      </c>
      <c r="BK119" s="14">
        <f>SUM(BK116:BK118)</f>
        <v>0</v>
      </c>
      <c r="BL119" s="14"/>
      <c r="BM119" s="14"/>
      <c r="BN119" s="22"/>
      <c r="BO119" s="14"/>
      <c r="BP119" s="14">
        <f>SUM(BP116:BP118)</f>
        <v>0</v>
      </c>
      <c r="BQ119" s="14">
        <f>SUM(BQ116:BQ118)</f>
        <v>0</v>
      </c>
      <c r="BR119" s="14"/>
      <c r="BS119" s="14"/>
      <c r="BT119" s="22"/>
      <c r="BU119" s="14"/>
      <c r="BV119" s="14">
        <f>SUM(BV116:BV118)</f>
        <v>0</v>
      </c>
      <c r="BW119" s="14">
        <f>SUM(BW116:BW118)</f>
        <v>0</v>
      </c>
      <c r="BX119" s="14"/>
      <c r="BY119" s="14"/>
      <c r="BZ119" s="22"/>
      <c r="CA119" s="14"/>
      <c r="CB119" s="14">
        <f>SUM(CB116:CB118)</f>
        <v>0</v>
      </c>
      <c r="CC119" s="14">
        <f>SUM(CC116:CC118)</f>
        <v>0</v>
      </c>
      <c r="CD119" s="14"/>
      <c r="CE119" s="14"/>
      <c r="CF119" s="22"/>
      <c r="CG119" s="14"/>
      <c r="CH119" s="14">
        <f>SUM(CH116:CH118)</f>
        <v>0</v>
      </c>
      <c r="CI119" s="14">
        <f>SUM(CI116:CI118)</f>
        <v>0</v>
      </c>
      <c r="CJ119" s="14"/>
      <c r="CK119" s="14"/>
      <c r="CL119" s="22"/>
      <c r="CM119" s="14"/>
    </row>
    <row r="122" spans="1:92" x14ac:dyDescent="0.25">
      <c r="BK122" s="11"/>
      <c r="BM122" s="11"/>
    </row>
    <row r="125" spans="1:92" x14ac:dyDescent="0.25">
      <c r="V125" s="11"/>
      <c r="W125" s="11"/>
      <c r="X125" s="11"/>
      <c r="Y125" s="11"/>
      <c r="Z125" s="11"/>
      <c r="AA125" s="11"/>
    </row>
  </sheetData>
  <autoFilter ref="A2:CM53" xr:uid="{B264AC42-3408-4CC4-A254-80BEFA0AA9F5}"/>
  <mergeCells count="45">
    <mergeCell ref="CB114:CG114"/>
    <mergeCell ref="CH114:CM114"/>
    <mergeCell ref="N114:S114"/>
    <mergeCell ref="AX114:BC114"/>
    <mergeCell ref="BD114:BI114"/>
    <mergeCell ref="BJ114:BO114"/>
    <mergeCell ref="BP114:BU114"/>
    <mergeCell ref="BV114:CA114"/>
    <mergeCell ref="T114:Y114"/>
    <mergeCell ref="Z114:AE114"/>
    <mergeCell ref="AF114:AK114"/>
    <mergeCell ref="AL114:AQ114"/>
    <mergeCell ref="AR114:AW114"/>
    <mergeCell ref="BP55:BU55"/>
    <mergeCell ref="BV55:CA55"/>
    <mergeCell ref="CB55:CG55"/>
    <mergeCell ref="CH55:CM55"/>
    <mergeCell ref="N55:S55"/>
    <mergeCell ref="AL55:AQ55"/>
    <mergeCell ref="AR55:AW55"/>
    <mergeCell ref="AX55:BC55"/>
    <mergeCell ref="BD55:BI55"/>
    <mergeCell ref="BJ55:BO55"/>
    <mergeCell ref="T1:Y1"/>
    <mergeCell ref="Z1:AE1"/>
    <mergeCell ref="AF1:AK1"/>
    <mergeCell ref="T55:Y55"/>
    <mergeCell ref="Z55:AE55"/>
    <mergeCell ref="AF55:AK55"/>
    <mergeCell ref="B114:G114"/>
    <mergeCell ref="H114:M114"/>
    <mergeCell ref="CB1:CG1"/>
    <mergeCell ref="CH1:CM1"/>
    <mergeCell ref="N1:S1"/>
    <mergeCell ref="B55:G55"/>
    <mergeCell ref="H55:M55"/>
    <mergeCell ref="AR1:AW1"/>
    <mergeCell ref="AX1:BC1"/>
    <mergeCell ref="BD1:BI1"/>
    <mergeCell ref="BJ1:BO1"/>
    <mergeCell ref="BP1:BU1"/>
    <mergeCell ref="BV1:CA1"/>
    <mergeCell ref="AL1:AQ1"/>
    <mergeCell ref="B1:G1"/>
    <mergeCell ref="H1:M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Günlük Ortalama Üretim</vt:lpstr>
      <vt:lpstr>'Günlük Ortalama Üretim'!_VeritabaniniFiltrele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2025-01-07T14:18:46Z</dcterms:created>
  <dcterms:modified xsi:type="dcterms:W3CDTF">2026-04-22T11:10:49Z</dcterms:modified>
</cp:coreProperties>
</file>