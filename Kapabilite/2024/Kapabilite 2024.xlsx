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ocuments\"/>
    </mc:Choice>
  </mc:AlternateContent>
  <xr:revisionPtr revIDLastSave="0" documentId="13_ncr:1_{9BC5C1A3-4C65-43A0-9BB9-CA8A1948D608}" xr6:coauthVersionLast="47" xr6:coauthVersionMax="47" xr10:uidLastSave="{00000000-0000-0000-0000-000000000000}"/>
  <bookViews>
    <workbookView xWindow="-108" yWindow="-108" windowWidth="23256" windowHeight="12456" xr2:uid="{8FA9AADE-0AF1-42A7-AB4A-1A5F3041D90E}"/>
  </bookViews>
  <sheets>
    <sheet name="Avarage Production Per Day" sheetId="1" r:id="rId1"/>
  </sheets>
  <definedNames>
    <definedName name="_xlnm._FilterDatabase" localSheetId="0" hidden="1">'Avarage Production Per Day'!$A$2:$CL$63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40" i="1" l="1"/>
  <c r="CC140" i="1"/>
  <c r="CB140" i="1"/>
  <c r="BW140" i="1"/>
  <c r="BV140" i="1"/>
  <c r="BQ140" i="1"/>
  <c r="BP140" i="1"/>
  <c r="BK140" i="1"/>
  <c r="BJ140" i="1"/>
  <c r="BE140" i="1"/>
  <c r="BD140" i="1"/>
  <c r="AY140" i="1"/>
  <c r="AX140" i="1"/>
  <c r="AS140" i="1"/>
  <c r="AR140" i="1"/>
  <c r="AM140" i="1"/>
  <c r="AL140" i="1"/>
  <c r="AG140" i="1"/>
  <c r="AF140" i="1"/>
  <c r="AA140" i="1"/>
  <c r="Z140" i="1"/>
  <c r="U140" i="1"/>
  <c r="T140" i="1"/>
  <c r="O140" i="1"/>
  <c r="N140" i="1"/>
  <c r="CL139" i="1"/>
  <c r="CK139" i="1"/>
  <c r="CJ139" i="1"/>
  <c r="CI139" i="1"/>
  <c r="CH139" i="1"/>
  <c r="CF139" i="1"/>
  <c r="CE139" i="1"/>
  <c r="BZ139" i="1"/>
  <c r="BY139" i="1"/>
  <c r="BT139" i="1"/>
  <c r="BS139" i="1"/>
  <c r="BN139" i="1"/>
  <c r="BM139" i="1"/>
  <c r="CM139" i="1"/>
  <c r="BH139" i="1"/>
  <c r="BG139" i="1"/>
  <c r="BB139" i="1"/>
  <c r="BA139" i="1"/>
  <c r="AV139" i="1"/>
  <c r="AU139" i="1"/>
  <c r="AP139" i="1"/>
  <c r="AO139" i="1"/>
  <c r="AJ139" i="1"/>
  <c r="AI139" i="1"/>
  <c r="AD139" i="1"/>
  <c r="AC139" i="1"/>
  <c r="X139" i="1"/>
  <c r="W139" i="1"/>
  <c r="R139" i="1"/>
  <c r="Q139" i="1"/>
  <c r="CL138" i="1"/>
  <c r="CK138" i="1"/>
  <c r="CJ138" i="1"/>
  <c r="CI138" i="1"/>
  <c r="CH138" i="1"/>
  <c r="CF138" i="1"/>
  <c r="CE138" i="1"/>
  <c r="BZ138" i="1"/>
  <c r="BY138" i="1"/>
  <c r="BT138" i="1"/>
  <c r="BS138" i="1"/>
  <c r="BN138" i="1"/>
  <c r="BM138" i="1"/>
  <c r="CM138" i="1"/>
  <c r="BH138" i="1"/>
  <c r="BG138" i="1"/>
  <c r="BB138" i="1"/>
  <c r="BA138" i="1"/>
  <c r="AV138" i="1"/>
  <c r="AU138" i="1"/>
  <c r="AP138" i="1"/>
  <c r="AO138" i="1"/>
  <c r="AJ138" i="1"/>
  <c r="AI138" i="1"/>
  <c r="AD138" i="1"/>
  <c r="AC138" i="1"/>
  <c r="X138" i="1"/>
  <c r="W138" i="1"/>
  <c r="R138" i="1"/>
  <c r="Q138" i="1"/>
  <c r="CL137" i="1"/>
  <c r="CL140" i="1" s="1"/>
  <c r="CK137" i="1"/>
  <c r="CK140" i="1" s="1"/>
  <c r="CJ137" i="1"/>
  <c r="CJ140" i="1" s="1"/>
  <c r="CI137" i="1"/>
  <c r="CI140" i="1" s="1"/>
  <c r="CH137" i="1"/>
  <c r="CF137" i="1"/>
  <c r="CE137" i="1"/>
  <c r="BZ137" i="1"/>
  <c r="BY137" i="1"/>
  <c r="BT137" i="1"/>
  <c r="BS137" i="1"/>
  <c r="BN137" i="1"/>
  <c r="BM137" i="1"/>
  <c r="CM137" i="1"/>
  <c r="BH137" i="1"/>
  <c r="BG137" i="1"/>
  <c r="BB137" i="1"/>
  <c r="BA137" i="1"/>
  <c r="AV137" i="1"/>
  <c r="AU137" i="1"/>
  <c r="AP137" i="1"/>
  <c r="AO137" i="1"/>
  <c r="AJ137" i="1"/>
  <c r="AI137" i="1"/>
  <c r="AD137" i="1"/>
  <c r="AC137" i="1"/>
  <c r="X137" i="1"/>
  <c r="W137" i="1"/>
  <c r="R137" i="1"/>
  <c r="Q137" i="1"/>
  <c r="CC133" i="1"/>
  <c r="CB133" i="1"/>
  <c r="BW133" i="1"/>
  <c r="BV133" i="1"/>
  <c r="BQ133" i="1"/>
  <c r="BP133" i="1"/>
  <c r="BK133" i="1"/>
  <c r="BJ133" i="1"/>
  <c r="BE133" i="1"/>
  <c r="BD133" i="1"/>
  <c r="AY133" i="1"/>
  <c r="AX133" i="1"/>
  <c r="AS133" i="1"/>
  <c r="AR133" i="1"/>
  <c r="AM133" i="1"/>
  <c r="AL133" i="1"/>
  <c r="AG133" i="1"/>
  <c r="AF133" i="1"/>
  <c r="AA133" i="1"/>
  <c r="Z133" i="1"/>
  <c r="U133" i="1"/>
  <c r="T133" i="1"/>
  <c r="O133" i="1"/>
  <c r="N133" i="1"/>
  <c r="CL132" i="1"/>
  <c r="CK132" i="1"/>
  <c r="CJ132" i="1"/>
  <c r="CI132" i="1"/>
  <c r="CH132" i="1"/>
  <c r="CM132" i="1"/>
  <c r="CF132" i="1"/>
  <c r="CE132" i="1"/>
  <c r="BZ132" i="1"/>
  <c r="BY132" i="1"/>
  <c r="BT132" i="1"/>
  <c r="BS132" i="1"/>
  <c r="BN132" i="1"/>
  <c r="BM132" i="1"/>
  <c r="BH132" i="1"/>
  <c r="BG132" i="1"/>
  <c r="BB132" i="1"/>
  <c r="BA132" i="1"/>
  <c r="AV132" i="1"/>
  <c r="AU132" i="1"/>
  <c r="AP132" i="1"/>
  <c r="AO132" i="1"/>
  <c r="AJ132" i="1"/>
  <c r="AI132" i="1"/>
  <c r="AD132" i="1"/>
  <c r="AC132" i="1"/>
  <c r="X132" i="1"/>
  <c r="W132" i="1"/>
  <c r="R132" i="1"/>
  <c r="Q132" i="1"/>
  <c r="CJ131" i="1"/>
  <c r="CL131" i="1" s="1"/>
  <c r="CI131" i="1"/>
  <c r="CH131" i="1"/>
  <c r="CM131" i="1"/>
  <c r="CF131" i="1"/>
  <c r="CE131" i="1"/>
  <c r="BZ131" i="1"/>
  <c r="BY131" i="1"/>
  <c r="BT131" i="1"/>
  <c r="BS131" i="1"/>
  <c r="BN131" i="1"/>
  <c r="BM131" i="1"/>
  <c r="BH131" i="1"/>
  <c r="BG131" i="1"/>
  <c r="BB131" i="1"/>
  <c r="BA131" i="1"/>
  <c r="AV131" i="1"/>
  <c r="AU131" i="1"/>
  <c r="AP131" i="1"/>
  <c r="AO131" i="1"/>
  <c r="AJ131" i="1"/>
  <c r="AI131" i="1"/>
  <c r="AD131" i="1"/>
  <c r="AC131" i="1"/>
  <c r="X131" i="1"/>
  <c r="W131" i="1"/>
  <c r="R131" i="1"/>
  <c r="Q131" i="1"/>
  <c r="CJ130" i="1"/>
  <c r="CL130" i="1" s="1"/>
  <c r="CI130" i="1"/>
  <c r="CH130" i="1"/>
  <c r="CM130" i="1"/>
  <c r="CF130" i="1"/>
  <c r="CE130" i="1"/>
  <c r="BZ130" i="1"/>
  <c r="BY130" i="1"/>
  <c r="BT130" i="1"/>
  <c r="BS130" i="1"/>
  <c r="BN130" i="1"/>
  <c r="BM130" i="1"/>
  <c r="BH130" i="1"/>
  <c r="BG130" i="1"/>
  <c r="BB130" i="1"/>
  <c r="BA130" i="1"/>
  <c r="AV130" i="1"/>
  <c r="AU130" i="1"/>
  <c r="AP130" i="1"/>
  <c r="AO130" i="1"/>
  <c r="AJ130" i="1"/>
  <c r="AI130" i="1"/>
  <c r="AD130" i="1"/>
  <c r="AC130" i="1"/>
  <c r="X130" i="1"/>
  <c r="W130" i="1"/>
  <c r="R130" i="1"/>
  <c r="Q130" i="1"/>
  <c r="CM129" i="1"/>
  <c r="CL129" i="1"/>
  <c r="CJ129" i="1"/>
  <c r="CK129" i="1" s="1"/>
  <c r="CI129" i="1"/>
  <c r="CH129" i="1"/>
  <c r="CF129" i="1"/>
  <c r="CE129" i="1"/>
  <c r="BZ129" i="1"/>
  <c r="BY129" i="1"/>
  <c r="BT129" i="1"/>
  <c r="BS129" i="1"/>
  <c r="BN129" i="1"/>
  <c r="BM129" i="1"/>
  <c r="BH129" i="1"/>
  <c r="BG129" i="1"/>
  <c r="BB129" i="1"/>
  <c r="BA129" i="1"/>
  <c r="AV129" i="1"/>
  <c r="AU129" i="1"/>
  <c r="AP129" i="1"/>
  <c r="AO129" i="1"/>
  <c r="AJ129" i="1"/>
  <c r="AI129" i="1"/>
  <c r="AD129" i="1"/>
  <c r="AC129" i="1"/>
  <c r="X129" i="1"/>
  <c r="W129" i="1"/>
  <c r="R129" i="1"/>
  <c r="Q129" i="1"/>
  <c r="CL128" i="1"/>
  <c r="CK128" i="1"/>
  <c r="CJ128" i="1"/>
  <c r="CI128" i="1"/>
  <c r="CH128" i="1"/>
  <c r="CM128" i="1"/>
  <c r="CF128" i="1"/>
  <c r="CE128" i="1"/>
  <c r="BZ128" i="1"/>
  <c r="BY128" i="1"/>
  <c r="BT128" i="1"/>
  <c r="BS128" i="1"/>
  <c r="BN128" i="1"/>
  <c r="BM128" i="1"/>
  <c r="BH128" i="1"/>
  <c r="BG128" i="1"/>
  <c r="BB128" i="1"/>
  <c r="BA128" i="1"/>
  <c r="AV128" i="1"/>
  <c r="AU128" i="1"/>
  <c r="AP128" i="1"/>
  <c r="AO128" i="1"/>
  <c r="AJ128" i="1"/>
  <c r="AI128" i="1"/>
  <c r="AD128" i="1"/>
  <c r="AC128" i="1"/>
  <c r="X128" i="1"/>
  <c r="W128" i="1"/>
  <c r="R128" i="1"/>
  <c r="Q128" i="1"/>
  <c r="CL127" i="1"/>
  <c r="CK127" i="1"/>
  <c r="CJ127" i="1"/>
  <c r="CI127" i="1"/>
  <c r="CH127" i="1"/>
  <c r="CM127" i="1"/>
  <c r="CF127" i="1"/>
  <c r="CE127" i="1"/>
  <c r="BZ127" i="1"/>
  <c r="BY127" i="1"/>
  <c r="BT127" i="1"/>
  <c r="BS127" i="1"/>
  <c r="BN127" i="1"/>
  <c r="BM127" i="1"/>
  <c r="BH127" i="1"/>
  <c r="BG127" i="1"/>
  <c r="BB127" i="1"/>
  <c r="BA127" i="1"/>
  <c r="AV127" i="1"/>
  <c r="AU127" i="1"/>
  <c r="AP127" i="1"/>
  <c r="AO127" i="1"/>
  <c r="AJ127" i="1"/>
  <c r="AI127" i="1"/>
  <c r="AD127" i="1"/>
  <c r="AC127" i="1"/>
  <c r="X127" i="1"/>
  <c r="W127" i="1"/>
  <c r="R127" i="1"/>
  <c r="Q127" i="1"/>
  <c r="CM126" i="1"/>
  <c r="CJ126" i="1"/>
  <c r="CL126" i="1" s="1"/>
  <c r="CI126" i="1"/>
  <c r="CH126" i="1"/>
  <c r="CF126" i="1"/>
  <c r="CE126" i="1"/>
  <c r="BZ126" i="1"/>
  <c r="BY126" i="1"/>
  <c r="BT126" i="1"/>
  <c r="BS126" i="1"/>
  <c r="BN126" i="1"/>
  <c r="BM126" i="1"/>
  <c r="BH126" i="1"/>
  <c r="BG126" i="1"/>
  <c r="BB126" i="1"/>
  <c r="BA126" i="1"/>
  <c r="AV126" i="1"/>
  <c r="AU126" i="1"/>
  <c r="AP126" i="1"/>
  <c r="AO126" i="1"/>
  <c r="AJ126" i="1"/>
  <c r="AI126" i="1"/>
  <c r="AD126" i="1"/>
  <c r="AC126" i="1"/>
  <c r="X126" i="1"/>
  <c r="W126" i="1"/>
  <c r="R126" i="1"/>
  <c r="Q126" i="1"/>
  <c r="CM125" i="1"/>
  <c r="CL125" i="1"/>
  <c r="CK125" i="1"/>
  <c r="CJ125" i="1"/>
  <c r="CI125" i="1"/>
  <c r="CH125" i="1"/>
  <c r="CF125" i="1"/>
  <c r="CE125" i="1"/>
  <c r="BZ125" i="1"/>
  <c r="BY125" i="1"/>
  <c r="BT125" i="1"/>
  <c r="BS125" i="1"/>
  <c r="BN125" i="1"/>
  <c r="BM125" i="1"/>
  <c r="BH125" i="1"/>
  <c r="BG125" i="1"/>
  <c r="BB125" i="1"/>
  <c r="BA125" i="1"/>
  <c r="AV125" i="1"/>
  <c r="AU125" i="1"/>
  <c r="AP125" i="1"/>
  <c r="AO125" i="1"/>
  <c r="AJ125" i="1"/>
  <c r="AI125" i="1"/>
  <c r="AD125" i="1"/>
  <c r="AC125" i="1"/>
  <c r="X125" i="1"/>
  <c r="W125" i="1"/>
  <c r="R125" i="1"/>
  <c r="Q125" i="1"/>
  <c r="CL124" i="1"/>
  <c r="CK124" i="1"/>
  <c r="CJ124" i="1"/>
  <c r="CI124" i="1"/>
  <c r="CH124" i="1"/>
  <c r="CM124" i="1"/>
  <c r="CF124" i="1"/>
  <c r="CE124" i="1"/>
  <c r="BZ124" i="1"/>
  <c r="BY124" i="1"/>
  <c r="BT124" i="1"/>
  <c r="BS124" i="1"/>
  <c r="BN124" i="1"/>
  <c r="BM124" i="1"/>
  <c r="BH124" i="1"/>
  <c r="BG124" i="1"/>
  <c r="BB124" i="1"/>
  <c r="BA124" i="1"/>
  <c r="AV124" i="1"/>
  <c r="AU124" i="1"/>
  <c r="AP124" i="1"/>
  <c r="AO124" i="1"/>
  <c r="AJ124" i="1"/>
  <c r="AI124" i="1"/>
  <c r="AD124" i="1"/>
  <c r="AC124" i="1"/>
  <c r="X124" i="1"/>
  <c r="W124" i="1"/>
  <c r="R124" i="1"/>
  <c r="Q124" i="1"/>
  <c r="CJ123" i="1"/>
  <c r="CL123" i="1" s="1"/>
  <c r="CI123" i="1"/>
  <c r="CH123" i="1"/>
  <c r="CM123" i="1"/>
  <c r="CF123" i="1"/>
  <c r="CE123" i="1"/>
  <c r="BZ123" i="1"/>
  <c r="BY123" i="1"/>
  <c r="BT123" i="1"/>
  <c r="BS123" i="1"/>
  <c r="BN123" i="1"/>
  <c r="BM123" i="1"/>
  <c r="BH123" i="1"/>
  <c r="BG123" i="1"/>
  <c r="BB123" i="1"/>
  <c r="BA123" i="1"/>
  <c r="AV123" i="1"/>
  <c r="AU123" i="1"/>
  <c r="AP123" i="1"/>
  <c r="AO123" i="1"/>
  <c r="AJ123" i="1"/>
  <c r="AI123" i="1"/>
  <c r="AD123" i="1"/>
  <c r="AC123" i="1"/>
  <c r="X123" i="1"/>
  <c r="W123" i="1"/>
  <c r="R123" i="1"/>
  <c r="Q123" i="1"/>
  <c r="CJ122" i="1"/>
  <c r="CL122" i="1" s="1"/>
  <c r="CI122" i="1"/>
  <c r="CH122" i="1"/>
  <c r="CM122" i="1"/>
  <c r="CF122" i="1"/>
  <c r="CE122" i="1"/>
  <c r="BZ122" i="1"/>
  <c r="BY122" i="1"/>
  <c r="BT122" i="1"/>
  <c r="BS122" i="1"/>
  <c r="BN122" i="1"/>
  <c r="BM122" i="1"/>
  <c r="BH122" i="1"/>
  <c r="BG122" i="1"/>
  <c r="BB122" i="1"/>
  <c r="BA122" i="1"/>
  <c r="AV122" i="1"/>
  <c r="AU122" i="1"/>
  <c r="AP122" i="1"/>
  <c r="AO122" i="1"/>
  <c r="AJ122" i="1"/>
  <c r="AI122" i="1"/>
  <c r="AD122" i="1"/>
  <c r="AC122" i="1"/>
  <c r="X122" i="1"/>
  <c r="W122" i="1"/>
  <c r="R122" i="1"/>
  <c r="Q122" i="1"/>
  <c r="CM121" i="1"/>
  <c r="CL121" i="1"/>
  <c r="CJ121" i="1"/>
  <c r="CK121" i="1" s="1"/>
  <c r="CI121" i="1"/>
  <c r="CH121" i="1"/>
  <c r="CF121" i="1"/>
  <c r="CE121" i="1"/>
  <c r="BZ121" i="1"/>
  <c r="BY121" i="1"/>
  <c r="BT121" i="1"/>
  <c r="BS121" i="1"/>
  <c r="BN121" i="1"/>
  <c r="BM121" i="1"/>
  <c r="BH121" i="1"/>
  <c r="BG121" i="1"/>
  <c r="BB121" i="1"/>
  <c r="BA121" i="1"/>
  <c r="AV121" i="1"/>
  <c r="AU121" i="1"/>
  <c r="AP121" i="1"/>
  <c r="AO121" i="1"/>
  <c r="AJ121" i="1"/>
  <c r="AI121" i="1"/>
  <c r="AD121" i="1"/>
  <c r="AC121" i="1"/>
  <c r="X121" i="1"/>
  <c r="W121" i="1"/>
  <c r="R121" i="1"/>
  <c r="Q121" i="1"/>
  <c r="CL120" i="1"/>
  <c r="CK120" i="1"/>
  <c r="CJ120" i="1"/>
  <c r="CI120" i="1"/>
  <c r="CH120" i="1"/>
  <c r="CM120" i="1"/>
  <c r="CF120" i="1"/>
  <c r="CE120" i="1"/>
  <c r="BZ120" i="1"/>
  <c r="BY120" i="1"/>
  <c r="BT120" i="1"/>
  <c r="BS120" i="1"/>
  <c r="BN120" i="1"/>
  <c r="BM120" i="1"/>
  <c r="BH120" i="1"/>
  <c r="BG120" i="1"/>
  <c r="BB120" i="1"/>
  <c r="BA120" i="1"/>
  <c r="AV120" i="1"/>
  <c r="AU120" i="1"/>
  <c r="AP120" i="1"/>
  <c r="AO120" i="1"/>
  <c r="AJ120" i="1"/>
  <c r="AI120" i="1"/>
  <c r="AD120" i="1"/>
  <c r="AC120" i="1"/>
  <c r="X120" i="1"/>
  <c r="W120" i="1"/>
  <c r="R120" i="1"/>
  <c r="Q120" i="1"/>
  <c r="CL119" i="1"/>
  <c r="CK119" i="1"/>
  <c r="CJ119" i="1"/>
  <c r="CI119" i="1"/>
  <c r="CH119" i="1"/>
  <c r="CM119" i="1"/>
  <c r="CF119" i="1"/>
  <c r="CE119" i="1"/>
  <c r="BZ119" i="1"/>
  <c r="BY119" i="1"/>
  <c r="BT119" i="1"/>
  <c r="BS119" i="1"/>
  <c r="BN119" i="1"/>
  <c r="BM119" i="1"/>
  <c r="BH119" i="1"/>
  <c r="BG119" i="1"/>
  <c r="BB119" i="1"/>
  <c r="BA119" i="1"/>
  <c r="AV119" i="1"/>
  <c r="AU119" i="1"/>
  <c r="AP119" i="1"/>
  <c r="AO119" i="1"/>
  <c r="AJ119" i="1"/>
  <c r="AI119" i="1"/>
  <c r="AD119" i="1"/>
  <c r="AC119" i="1"/>
  <c r="X119" i="1"/>
  <c r="W119" i="1"/>
  <c r="R119" i="1"/>
  <c r="Q119" i="1"/>
  <c r="CM118" i="1"/>
  <c r="CJ118" i="1"/>
  <c r="CL118" i="1" s="1"/>
  <c r="CI118" i="1"/>
  <c r="CH118" i="1"/>
  <c r="CF118" i="1"/>
  <c r="CE118" i="1"/>
  <c r="BZ118" i="1"/>
  <c r="BY118" i="1"/>
  <c r="BT118" i="1"/>
  <c r="BS118" i="1"/>
  <c r="BN118" i="1"/>
  <c r="BM118" i="1"/>
  <c r="BH118" i="1"/>
  <c r="BG118" i="1"/>
  <c r="BB118" i="1"/>
  <c r="BA118" i="1"/>
  <c r="AV118" i="1"/>
  <c r="AU118" i="1"/>
  <c r="AP118" i="1"/>
  <c r="AO118" i="1"/>
  <c r="AJ118" i="1"/>
  <c r="AI118" i="1"/>
  <c r="AD118" i="1"/>
  <c r="AC118" i="1"/>
  <c r="X118" i="1"/>
  <c r="W118" i="1"/>
  <c r="R118" i="1"/>
  <c r="Q118" i="1"/>
  <c r="CM117" i="1"/>
  <c r="CL117" i="1"/>
  <c r="CJ117" i="1"/>
  <c r="CK117" i="1" s="1"/>
  <c r="CI117" i="1"/>
  <c r="CH117" i="1"/>
  <c r="CF117" i="1"/>
  <c r="CE117" i="1"/>
  <c r="BZ117" i="1"/>
  <c r="BY117" i="1"/>
  <c r="BT117" i="1"/>
  <c r="BS117" i="1"/>
  <c r="BN117" i="1"/>
  <c r="BM117" i="1"/>
  <c r="BH117" i="1"/>
  <c r="BG117" i="1"/>
  <c r="BB117" i="1"/>
  <c r="BA117" i="1"/>
  <c r="AV117" i="1"/>
  <c r="AU117" i="1"/>
  <c r="AP117" i="1"/>
  <c r="AO117" i="1"/>
  <c r="AJ117" i="1"/>
  <c r="AI117" i="1"/>
  <c r="AD117" i="1"/>
  <c r="AC117" i="1"/>
  <c r="X117" i="1"/>
  <c r="W117" i="1"/>
  <c r="R117" i="1"/>
  <c r="Q117" i="1"/>
  <c r="CL116" i="1"/>
  <c r="CK116" i="1"/>
  <c r="CJ116" i="1"/>
  <c r="CI116" i="1"/>
  <c r="CH116" i="1"/>
  <c r="CM116" i="1"/>
  <c r="CF116" i="1"/>
  <c r="CE116" i="1"/>
  <c r="BZ116" i="1"/>
  <c r="BY116" i="1"/>
  <c r="BT116" i="1"/>
  <c r="BS116" i="1"/>
  <c r="BN116" i="1"/>
  <c r="BM116" i="1"/>
  <c r="BH116" i="1"/>
  <c r="BG116" i="1"/>
  <c r="BB116" i="1"/>
  <c r="BA116" i="1"/>
  <c r="AV116" i="1"/>
  <c r="AU116" i="1"/>
  <c r="AP116" i="1"/>
  <c r="AO116" i="1"/>
  <c r="AJ116" i="1"/>
  <c r="AI116" i="1"/>
  <c r="AD116" i="1"/>
  <c r="AC116" i="1"/>
  <c r="X116" i="1"/>
  <c r="W116" i="1"/>
  <c r="R116" i="1"/>
  <c r="Q116" i="1"/>
  <c r="CJ115" i="1"/>
  <c r="CL115" i="1" s="1"/>
  <c r="CI115" i="1"/>
  <c r="CH115" i="1"/>
  <c r="CM115" i="1"/>
  <c r="CF115" i="1"/>
  <c r="CE115" i="1"/>
  <c r="BZ115" i="1"/>
  <c r="BY115" i="1"/>
  <c r="BT115" i="1"/>
  <c r="BS115" i="1"/>
  <c r="BN115" i="1"/>
  <c r="BM115" i="1"/>
  <c r="BH115" i="1"/>
  <c r="BG115" i="1"/>
  <c r="BB115" i="1"/>
  <c r="BA115" i="1"/>
  <c r="AV115" i="1"/>
  <c r="AU115" i="1"/>
  <c r="AP115" i="1"/>
  <c r="AO115" i="1"/>
  <c r="AJ115" i="1"/>
  <c r="AI115" i="1"/>
  <c r="AD115" i="1"/>
  <c r="AC115" i="1"/>
  <c r="X115" i="1"/>
  <c r="W115" i="1"/>
  <c r="R115" i="1"/>
  <c r="Q115" i="1"/>
  <c r="CJ114" i="1"/>
  <c r="CL114" i="1" s="1"/>
  <c r="CI114" i="1"/>
  <c r="CH114" i="1"/>
  <c r="CM114" i="1"/>
  <c r="CF114" i="1"/>
  <c r="CE114" i="1"/>
  <c r="BZ114" i="1"/>
  <c r="BY114" i="1"/>
  <c r="BT114" i="1"/>
  <c r="BS114" i="1"/>
  <c r="BN114" i="1"/>
  <c r="BM114" i="1"/>
  <c r="BH114" i="1"/>
  <c r="BG114" i="1"/>
  <c r="BB114" i="1"/>
  <c r="BA114" i="1"/>
  <c r="AV114" i="1"/>
  <c r="AU114" i="1"/>
  <c r="AP114" i="1"/>
  <c r="AO114" i="1"/>
  <c r="AJ114" i="1"/>
  <c r="AI114" i="1"/>
  <c r="AD114" i="1"/>
  <c r="AC114" i="1"/>
  <c r="X114" i="1"/>
  <c r="W114" i="1"/>
  <c r="R114" i="1"/>
  <c r="Q114" i="1"/>
  <c r="CM113" i="1"/>
  <c r="CL113" i="1"/>
  <c r="CK113" i="1"/>
  <c r="CJ113" i="1"/>
  <c r="CI113" i="1"/>
  <c r="CH113" i="1"/>
  <c r="CF113" i="1"/>
  <c r="CE113" i="1"/>
  <c r="BZ113" i="1"/>
  <c r="BY113" i="1"/>
  <c r="BT113" i="1"/>
  <c r="BS113" i="1"/>
  <c r="BN113" i="1"/>
  <c r="BM113" i="1"/>
  <c r="BH113" i="1"/>
  <c r="BG113" i="1"/>
  <c r="BB113" i="1"/>
  <c r="BA113" i="1"/>
  <c r="AV113" i="1"/>
  <c r="AU113" i="1"/>
  <c r="AP113" i="1"/>
  <c r="AO113" i="1"/>
  <c r="AJ113" i="1"/>
  <c r="AI113" i="1"/>
  <c r="AD113" i="1"/>
  <c r="AC113" i="1"/>
  <c r="X113" i="1"/>
  <c r="W113" i="1"/>
  <c r="R113" i="1"/>
  <c r="Q113" i="1"/>
  <c r="CL112" i="1"/>
  <c r="CK112" i="1"/>
  <c r="CJ112" i="1"/>
  <c r="CI112" i="1"/>
  <c r="CH112" i="1"/>
  <c r="CM112" i="1"/>
  <c r="CF112" i="1"/>
  <c r="CE112" i="1"/>
  <c r="BZ112" i="1"/>
  <c r="BY112" i="1"/>
  <c r="BT112" i="1"/>
  <c r="BS112" i="1"/>
  <c r="BN112" i="1"/>
  <c r="BM112" i="1"/>
  <c r="BH112" i="1"/>
  <c r="BG112" i="1"/>
  <c r="BB112" i="1"/>
  <c r="BA112" i="1"/>
  <c r="AV112" i="1"/>
  <c r="AU112" i="1"/>
  <c r="AP112" i="1"/>
  <c r="AO112" i="1"/>
  <c r="AJ112" i="1"/>
  <c r="AI112" i="1"/>
  <c r="AD112" i="1"/>
  <c r="AC112" i="1"/>
  <c r="X112" i="1"/>
  <c r="W112" i="1"/>
  <c r="R112" i="1"/>
  <c r="Q112" i="1"/>
  <c r="CL111" i="1"/>
  <c r="CK111" i="1"/>
  <c r="CJ111" i="1"/>
  <c r="CI111" i="1"/>
  <c r="CH111" i="1"/>
  <c r="CM111" i="1"/>
  <c r="CF111" i="1"/>
  <c r="CE111" i="1"/>
  <c r="BZ111" i="1"/>
  <c r="BY111" i="1"/>
  <c r="BT111" i="1"/>
  <c r="BS111" i="1"/>
  <c r="BN111" i="1"/>
  <c r="BM111" i="1"/>
  <c r="BH111" i="1"/>
  <c r="BG111" i="1"/>
  <c r="BB111" i="1"/>
  <c r="BA111" i="1"/>
  <c r="AV111" i="1"/>
  <c r="AU111" i="1"/>
  <c r="AP111" i="1"/>
  <c r="AO111" i="1"/>
  <c r="AJ111" i="1"/>
  <c r="AI111" i="1"/>
  <c r="AD111" i="1"/>
  <c r="AC111" i="1"/>
  <c r="X111" i="1"/>
  <c r="W111" i="1"/>
  <c r="R111" i="1"/>
  <c r="Q111" i="1"/>
  <c r="CM110" i="1"/>
  <c r="CJ110" i="1"/>
  <c r="CL110" i="1" s="1"/>
  <c r="CI110" i="1"/>
  <c r="CH110" i="1"/>
  <c r="CF110" i="1"/>
  <c r="CE110" i="1"/>
  <c r="BZ110" i="1"/>
  <c r="BY110" i="1"/>
  <c r="BT110" i="1"/>
  <c r="BS110" i="1"/>
  <c r="BN110" i="1"/>
  <c r="BM110" i="1"/>
  <c r="BH110" i="1"/>
  <c r="BG110" i="1"/>
  <c r="BB110" i="1"/>
  <c r="BA110" i="1"/>
  <c r="AV110" i="1"/>
  <c r="AU110" i="1"/>
  <c r="AP110" i="1"/>
  <c r="AO110" i="1"/>
  <c r="AJ110" i="1"/>
  <c r="AI110" i="1"/>
  <c r="AD110" i="1"/>
  <c r="AC110" i="1"/>
  <c r="X110" i="1"/>
  <c r="W110" i="1"/>
  <c r="R110" i="1"/>
  <c r="Q110" i="1"/>
  <c r="CM109" i="1"/>
  <c r="CL109" i="1"/>
  <c r="CJ109" i="1"/>
  <c r="CK109" i="1" s="1"/>
  <c r="CI109" i="1"/>
  <c r="CH109" i="1"/>
  <c r="CF109" i="1"/>
  <c r="CE109" i="1"/>
  <c r="BZ109" i="1"/>
  <c r="BY109" i="1"/>
  <c r="BT109" i="1"/>
  <c r="BS109" i="1"/>
  <c r="BN109" i="1"/>
  <c r="BM109" i="1"/>
  <c r="BH109" i="1"/>
  <c r="BG109" i="1"/>
  <c r="BB109" i="1"/>
  <c r="BA109" i="1"/>
  <c r="AV109" i="1"/>
  <c r="AU109" i="1"/>
  <c r="AP109" i="1"/>
  <c r="AO109" i="1"/>
  <c r="AJ109" i="1"/>
  <c r="AI109" i="1"/>
  <c r="AD109" i="1"/>
  <c r="AC109" i="1"/>
  <c r="X109" i="1"/>
  <c r="W109" i="1"/>
  <c r="R109" i="1"/>
  <c r="Q109" i="1"/>
  <c r="CL108" i="1"/>
  <c r="CK108" i="1"/>
  <c r="CJ108" i="1"/>
  <c r="CI108" i="1"/>
  <c r="CH108" i="1"/>
  <c r="CM108" i="1"/>
  <c r="CF108" i="1"/>
  <c r="CE108" i="1"/>
  <c r="BZ108" i="1"/>
  <c r="BY108" i="1"/>
  <c r="BT108" i="1"/>
  <c r="BS108" i="1"/>
  <c r="BN108" i="1"/>
  <c r="BM108" i="1"/>
  <c r="BH108" i="1"/>
  <c r="BG108" i="1"/>
  <c r="BB108" i="1"/>
  <c r="BA108" i="1"/>
  <c r="AV108" i="1"/>
  <c r="AU108" i="1"/>
  <c r="AP108" i="1"/>
  <c r="AO108" i="1"/>
  <c r="AJ108" i="1"/>
  <c r="AI108" i="1"/>
  <c r="AD108" i="1"/>
  <c r="AC108" i="1"/>
  <c r="X108" i="1"/>
  <c r="W108" i="1"/>
  <c r="R108" i="1"/>
  <c r="Q108" i="1"/>
  <c r="CJ107" i="1"/>
  <c r="CL107" i="1" s="1"/>
  <c r="CI107" i="1"/>
  <c r="CH107" i="1"/>
  <c r="CM107" i="1"/>
  <c r="CF107" i="1"/>
  <c r="CE107" i="1"/>
  <c r="BZ107" i="1"/>
  <c r="BY107" i="1"/>
  <c r="BT107" i="1"/>
  <c r="BS107" i="1"/>
  <c r="BN107" i="1"/>
  <c r="BM107" i="1"/>
  <c r="BH107" i="1"/>
  <c r="BG107" i="1"/>
  <c r="BB107" i="1"/>
  <c r="BA107" i="1"/>
  <c r="AV107" i="1"/>
  <c r="AU107" i="1"/>
  <c r="AP107" i="1"/>
  <c r="AO107" i="1"/>
  <c r="AJ107" i="1"/>
  <c r="AI107" i="1"/>
  <c r="AD107" i="1"/>
  <c r="AC107" i="1"/>
  <c r="X107" i="1"/>
  <c r="W107" i="1"/>
  <c r="R107" i="1"/>
  <c r="Q107" i="1"/>
  <c r="CJ106" i="1"/>
  <c r="CL106" i="1" s="1"/>
  <c r="CI106" i="1"/>
  <c r="CH106" i="1"/>
  <c r="CM106" i="1"/>
  <c r="CF106" i="1"/>
  <c r="CE106" i="1"/>
  <c r="BZ106" i="1"/>
  <c r="BY106" i="1"/>
  <c r="BT106" i="1"/>
  <c r="BS106" i="1"/>
  <c r="BN106" i="1"/>
  <c r="BM106" i="1"/>
  <c r="BH106" i="1"/>
  <c r="BG106" i="1"/>
  <c r="BB106" i="1"/>
  <c r="BA106" i="1"/>
  <c r="AV106" i="1"/>
  <c r="AU106" i="1"/>
  <c r="AP106" i="1"/>
  <c r="AO106" i="1"/>
  <c r="AJ106" i="1"/>
  <c r="AI106" i="1"/>
  <c r="AD106" i="1"/>
  <c r="AC106" i="1"/>
  <c r="X106" i="1"/>
  <c r="W106" i="1"/>
  <c r="R106" i="1"/>
  <c r="Q106" i="1"/>
  <c r="CM105" i="1"/>
  <c r="CL105" i="1"/>
  <c r="CK105" i="1"/>
  <c r="CJ105" i="1"/>
  <c r="CI105" i="1"/>
  <c r="CH105" i="1"/>
  <c r="CF105" i="1"/>
  <c r="CE105" i="1"/>
  <c r="BZ105" i="1"/>
  <c r="BY105" i="1"/>
  <c r="BT105" i="1"/>
  <c r="BS105" i="1"/>
  <c r="BN105" i="1"/>
  <c r="BM105" i="1"/>
  <c r="BH105" i="1"/>
  <c r="BG105" i="1"/>
  <c r="BB105" i="1"/>
  <c r="BA105" i="1"/>
  <c r="AV105" i="1"/>
  <c r="AU105" i="1"/>
  <c r="AP105" i="1"/>
  <c r="AO105" i="1"/>
  <c r="AJ105" i="1"/>
  <c r="AI105" i="1"/>
  <c r="AD105" i="1"/>
  <c r="AC105" i="1"/>
  <c r="X105" i="1"/>
  <c r="W105" i="1"/>
  <c r="R105" i="1"/>
  <c r="Q105" i="1"/>
  <c r="CL104" i="1"/>
  <c r="CK104" i="1"/>
  <c r="CJ104" i="1"/>
  <c r="CI104" i="1"/>
  <c r="CH104" i="1"/>
  <c r="CM104" i="1"/>
  <c r="CF104" i="1"/>
  <c r="CE104" i="1"/>
  <c r="BZ104" i="1"/>
  <c r="BY104" i="1"/>
  <c r="BT104" i="1"/>
  <c r="BS104" i="1"/>
  <c r="BN104" i="1"/>
  <c r="BM104" i="1"/>
  <c r="BH104" i="1"/>
  <c r="BG104" i="1"/>
  <c r="BB104" i="1"/>
  <c r="BA104" i="1"/>
  <c r="AV104" i="1"/>
  <c r="AU104" i="1"/>
  <c r="AP104" i="1"/>
  <c r="AO104" i="1"/>
  <c r="AJ104" i="1"/>
  <c r="AI104" i="1"/>
  <c r="AD104" i="1"/>
  <c r="AC104" i="1"/>
  <c r="X104" i="1"/>
  <c r="W104" i="1"/>
  <c r="R104" i="1"/>
  <c r="Q104" i="1"/>
  <c r="CL103" i="1"/>
  <c r="CK103" i="1"/>
  <c r="CJ103" i="1"/>
  <c r="CI103" i="1"/>
  <c r="CH103" i="1"/>
  <c r="CM103" i="1"/>
  <c r="CF103" i="1"/>
  <c r="CE103" i="1"/>
  <c r="BZ103" i="1"/>
  <c r="BY103" i="1"/>
  <c r="BT103" i="1"/>
  <c r="BS103" i="1"/>
  <c r="BN103" i="1"/>
  <c r="BM103" i="1"/>
  <c r="BH103" i="1"/>
  <c r="BG103" i="1"/>
  <c r="BB103" i="1"/>
  <c r="BA103" i="1"/>
  <c r="AV103" i="1"/>
  <c r="AU103" i="1"/>
  <c r="AP103" i="1"/>
  <c r="AO103" i="1"/>
  <c r="AJ103" i="1"/>
  <c r="AI103" i="1"/>
  <c r="AD103" i="1"/>
  <c r="AC103" i="1"/>
  <c r="X103" i="1"/>
  <c r="W103" i="1"/>
  <c r="R103" i="1"/>
  <c r="Q103" i="1"/>
  <c r="CM102" i="1"/>
  <c r="CJ102" i="1"/>
  <c r="CL102" i="1" s="1"/>
  <c r="CI102" i="1"/>
  <c r="CH102" i="1"/>
  <c r="CF102" i="1"/>
  <c r="CE102" i="1"/>
  <c r="BZ102" i="1"/>
  <c r="BY102" i="1"/>
  <c r="BT102" i="1"/>
  <c r="BS102" i="1"/>
  <c r="BN102" i="1"/>
  <c r="BM102" i="1"/>
  <c r="BH102" i="1"/>
  <c r="BG102" i="1"/>
  <c r="BB102" i="1"/>
  <c r="BA102" i="1"/>
  <c r="AV102" i="1"/>
  <c r="AU102" i="1"/>
  <c r="AP102" i="1"/>
  <c r="AO102" i="1"/>
  <c r="AJ102" i="1"/>
  <c r="AI102" i="1"/>
  <c r="AD102" i="1"/>
  <c r="AC102" i="1"/>
  <c r="X102" i="1"/>
  <c r="W102" i="1"/>
  <c r="R102" i="1"/>
  <c r="Q102" i="1"/>
  <c r="CM101" i="1"/>
  <c r="CL101" i="1"/>
  <c r="CJ101" i="1"/>
  <c r="CK101" i="1" s="1"/>
  <c r="CI101" i="1"/>
  <c r="CH101" i="1"/>
  <c r="CF101" i="1"/>
  <c r="CE101" i="1"/>
  <c r="BZ101" i="1"/>
  <c r="BY101" i="1"/>
  <c r="BT101" i="1"/>
  <c r="BS101" i="1"/>
  <c r="BN101" i="1"/>
  <c r="BM101" i="1"/>
  <c r="BH101" i="1"/>
  <c r="BG101" i="1"/>
  <c r="BB101" i="1"/>
  <c r="BA101" i="1"/>
  <c r="AV101" i="1"/>
  <c r="AU101" i="1"/>
  <c r="AP101" i="1"/>
  <c r="AO101" i="1"/>
  <c r="AJ101" i="1"/>
  <c r="AI101" i="1"/>
  <c r="AD101" i="1"/>
  <c r="AC101" i="1"/>
  <c r="X101" i="1"/>
  <c r="W101" i="1"/>
  <c r="R101" i="1"/>
  <c r="Q101" i="1"/>
  <c r="CL100" i="1"/>
  <c r="CK100" i="1"/>
  <c r="CJ100" i="1"/>
  <c r="CI100" i="1"/>
  <c r="CH100" i="1"/>
  <c r="CM100" i="1"/>
  <c r="CF100" i="1"/>
  <c r="CE100" i="1"/>
  <c r="BZ100" i="1"/>
  <c r="BY100" i="1"/>
  <c r="BT100" i="1"/>
  <c r="BS100" i="1"/>
  <c r="BN100" i="1"/>
  <c r="BM100" i="1"/>
  <c r="BH100" i="1"/>
  <c r="BG100" i="1"/>
  <c r="BB100" i="1"/>
  <c r="BA100" i="1"/>
  <c r="AV100" i="1"/>
  <c r="AU100" i="1"/>
  <c r="AP100" i="1"/>
  <c r="AO100" i="1"/>
  <c r="AJ100" i="1"/>
  <c r="AI100" i="1"/>
  <c r="AD100" i="1"/>
  <c r="AC100" i="1"/>
  <c r="X100" i="1"/>
  <c r="W100" i="1"/>
  <c r="R100" i="1"/>
  <c r="Q100" i="1"/>
  <c r="CJ99" i="1"/>
  <c r="CL99" i="1" s="1"/>
  <c r="CI99" i="1"/>
  <c r="CH99" i="1"/>
  <c r="CM99" i="1"/>
  <c r="CF99" i="1"/>
  <c r="CE99" i="1"/>
  <c r="BZ99" i="1"/>
  <c r="BY99" i="1"/>
  <c r="BT99" i="1"/>
  <c r="BS99" i="1"/>
  <c r="BN99" i="1"/>
  <c r="BM99" i="1"/>
  <c r="BH99" i="1"/>
  <c r="BG99" i="1"/>
  <c r="BB99" i="1"/>
  <c r="BA99" i="1"/>
  <c r="AV99" i="1"/>
  <c r="AU99" i="1"/>
  <c r="AP99" i="1"/>
  <c r="AO99" i="1"/>
  <c r="AJ99" i="1"/>
  <c r="AI99" i="1"/>
  <c r="AD99" i="1"/>
  <c r="AC99" i="1"/>
  <c r="X99" i="1"/>
  <c r="W99" i="1"/>
  <c r="R99" i="1"/>
  <c r="Q99" i="1"/>
  <c r="CJ98" i="1"/>
  <c r="CL98" i="1" s="1"/>
  <c r="CI98" i="1"/>
  <c r="CH98" i="1"/>
  <c r="CM98" i="1"/>
  <c r="CF98" i="1"/>
  <c r="CE98" i="1"/>
  <c r="BZ98" i="1"/>
  <c r="BY98" i="1"/>
  <c r="BT98" i="1"/>
  <c r="BS98" i="1"/>
  <c r="BN98" i="1"/>
  <c r="BM98" i="1"/>
  <c r="BH98" i="1"/>
  <c r="BG98" i="1"/>
  <c r="BB98" i="1"/>
  <c r="BA98" i="1"/>
  <c r="AV98" i="1"/>
  <c r="AU98" i="1"/>
  <c r="AP98" i="1"/>
  <c r="AO98" i="1"/>
  <c r="AJ98" i="1"/>
  <c r="AI98" i="1"/>
  <c r="AD98" i="1"/>
  <c r="AC98" i="1"/>
  <c r="X98" i="1"/>
  <c r="W98" i="1"/>
  <c r="R98" i="1"/>
  <c r="Q98" i="1"/>
  <c r="CM97" i="1"/>
  <c r="CL97" i="1"/>
  <c r="CK97" i="1"/>
  <c r="CJ97" i="1"/>
  <c r="CI97" i="1"/>
  <c r="CH97" i="1"/>
  <c r="CF97" i="1"/>
  <c r="CE97" i="1"/>
  <c r="BZ97" i="1"/>
  <c r="BY97" i="1"/>
  <c r="BT97" i="1"/>
  <c r="BS97" i="1"/>
  <c r="BN97" i="1"/>
  <c r="BM97" i="1"/>
  <c r="BH97" i="1"/>
  <c r="BG97" i="1"/>
  <c r="BB97" i="1"/>
  <c r="BA97" i="1"/>
  <c r="AV97" i="1"/>
  <c r="AU97" i="1"/>
  <c r="AP97" i="1"/>
  <c r="AO97" i="1"/>
  <c r="AJ97" i="1"/>
  <c r="AI97" i="1"/>
  <c r="AD97" i="1"/>
  <c r="AC97" i="1"/>
  <c r="X97" i="1"/>
  <c r="W97" i="1"/>
  <c r="R97" i="1"/>
  <c r="Q97" i="1"/>
  <c r="CL96" i="1"/>
  <c r="CJ96" i="1"/>
  <c r="CK96" i="1" s="1"/>
  <c r="CI96" i="1"/>
  <c r="CH96" i="1"/>
  <c r="CM96" i="1"/>
  <c r="CF96" i="1"/>
  <c r="CE96" i="1"/>
  <c r="BZ96" i="1"/>
  <c r="BY96" i="1"/>
  <c r="BT96" i="1"/>
  <c r="BS96" i="1"/>
  <c r="BN96" i="1"/>
  <c r="BM96" i="1"/>
  <c r="BH96" i="1"/>
  <c r="BG96" i="1"/>
  <c r="BB96" i="1"/>
  <c r="BA96" i="1"/>
  <c r="AV96" i="1"/>
  <c r="AU96" i="1"/>
  <c r="AP96" i="1"/>
  <c r="AO96" i="1"/>
  <c r="AJ96" i="1"/>
  <c r="AI96" i="1"/>
  <c r="AD96" i="1"/>
  <c r="AC96" i="1"/>
  <c r="X96" i="1"/>
  <c r="W96" i="1"/>
  <c r="R96" i="1"/>
  <c r="Q96" i="1"/>
  <c r="CL95" i="1"/>
  <c r="CK95" i="1"/>
  <c r="CJ95" i="1"/>
  <c r="CI95" i="1"/>
  <c r="CH95" i="1"/>
  <c r="CM95" i="1"/>
  <c r="CF95" i="1"/>
  <c r="CE95" i="1"/>
  <c r="BZ95" i="1"/>
  <c r="BY95" i="1"/>
  <c r="BT95" i="1"/>
  <c r="BS95" i="1"/>
  <c r="BN95" i="1"/>
  <c r="BM95" i="1"/>
  <c r="BH95" i="1"/>
  <c r="BG95" i="1"/>
  <c r="BB95" i="1"/>
  <c r="BA95" i="1"/>
  <c r="AV95" i="1"/>
  <c r="AU95" i="1"/>
  <c r="AP95" i="1"/>
  <c r="AO95" i="1"/>
  <c r="AJ95" i="1"/>
  <c r="AI95" i="1"/>
  <c r="AD95" i="1"/>
  <c r="AC95" i="1"/>
  <c r="X95" i="1"/>
  <c r="W95" i="1"/>
  <c r="R95" i="1"/>
  <c r="Q95" i="1"/>
  <c r="CM94" i="1"/>
  <c r="CJ94" i="1"/>
  <c r="CL94" i="1" s="1"/>
  <c r="CI94" i="1"/>
  <c r="CH94" i="1"/>
  <c r="CF94" i="1"/>
  <c r="CE94" i="1"/>
  <c r="BZ94" i="1"/>
  <c r="BY94" i="1"/>
  <c r="BT94" i="1"/>
  <c r="BS94" i="1"/>
  <c r="BN94" i="1"/>
  <c r="BM94" i="1"/>
  <c r="BH94" i="1"/>
  <c r="BG94" i="1"/>
  <c r="BB94" i="1"/>
  <c r="BA94" i="1"/>
  <c r="AV94" i="1"/>
  <c r="AU94" i="1"/>
  <c r="AP94" i="1"/>
  <c r="AO94" i="1"/>
  <c r="AJ94" i="1"/>
  <c r="AI94" i="1"/>
  <c r="AD94" i="1"/>
  <c r="AC94" i="1"/>
  <c r="X94" i="1"/>
  <c r="W94" i="1"/>
  <c r="R94" i="1"/>
  <c r="Q94" i="1"/>
  <c r="CM93" i="1"/>
  <c r="CL93" i="1"/>
  <c r="CJ93" i="1"/>
  <c r="CK93" i="1" s="1"/>
  <c r="CI93" i="1"/>
  <c r="CH93" i="1"/>
  <c r="CF93" i="1"/>
  <c r="CE93" i="1"/>
  <c r="BZ93" i="1"/>
  <c r="BY93" i="1"/>
  <c r="BT93" i="1"/>
  <c r="BS93" i="1"/>
  <c r="BN93" i="1"/>
  <c r="BM93" i="1"/>
  <c r="BH93" i="1"/>
  <c r="BG93" i="1"/>
  <c r="BB93" i="1"/>
  <c r="BA93" i="1"/>
  <c r="AV93" i="1"/>
  <c r="AU93" i="1"/>
  <c r="AP93" i="1"/>
  <c r="AO93" i="1"/>
  <c r="AJ93" i="1"/>
  <c r="AI93" i="1"/>
  <c r="AD93" i="1"/>
  <c r="AC93" i="1"/>
  <c r="X93" i="1"/>
  <c r="W93" i="1"/>
  <c r="R93" i="1"/>
  <c r="Q93" i="1"/>
  <c r="CL92" i="1"/>
  <c r="CK92" i="1"/>
  <c r="CJ92" i="1"/>
  <c r="CI92" i="1"/>
  <c r="CH92" i="1"/>
  <c r="CM92" i="1"/>
  <c r="CF92" i="1"/>
  <c r="CE92" i="1"/>
  <c r="BZ92" i="1"/>
  <c r="BY92" i="1"/>
  <c r="BT92" i="1"/>
  <c r="BS92" i="1"/>
  <c r="BN92" i="1"/>
  <c r="BM92" i="1"/>
  <c r="BH92" i="1"/>
  <c r="BG92" i="1"/>
  <c r="BB92" i="1"/>
  <c r="BA92" i="1"/>
  <c r="AV92" i="1"/>
  <c r="AU92" i="1"/>
  <c r="AP92" i="1"/>
  <c r="AO92" i="1"/>
  <c r="AJ92" i="1"/>
  <c r="AI92" i="1"/>
  <c r="AD92" i="1"/>
  <c r="AC92" i="1"/>
  <c r="X92" i="1"/>
  <c r="W92" i="1"/>
  <c r="R92" i="1"/>
  <c r="Q92" i="1"/>
  <c r="CJ91" i="1"/>
  <c r="CL91" i="1" s="1"/>
  <c r="CI91" i="1"/>
  <c r="CH91" i="1"/>
  <c r="CM91" i="1"/>
  <c r="CF91" i="1"/>
  <c r="CE91" i="1"/>
  <c r="BZ91" i="1"/>
  <c r="BY91" i="1"/>
  <c r="BT91" i="1"/>
  <c r="BS91" i="1"/>
  <c r="BN91" i="1"/>
  <c r="BM91" i="1"/>
  <c r="BH91" i="1"/>
  <c r="BG91" i="1"/>
  <c r="BB91" i="1"/>
  <c r="BA91" i="1"/>
  <c r="AV91" i="1"/>
  <c r="AU91" i="1"/>
  <c r="AP91" i="1"/>
  <c r="AO91" i="1"/>
  <c r="AJ91" i="1"/>
  <c r="AI91" i="1"/>
  <c r="AD91" i="1"/>
  <c r="AC91" i="1"/>
  <c r="X91" i="1"/>
  <c r="W91" i="1"/>
  <c r="R91" i="1"/>
  <c r="Q91" i="1"/>
  <c r="CJ90" i="1"/>
  <c r="CL90" i="1" s="1"/>
  <c r="CI90" i="1"/>
  <c r="CH90" i="1"/>
  <c r="CM90" i="1"/>
  <c r="CF90" i="1"/>
  <c r="CE90" i="1"/>
  <c r="BZ90" i="1"/>
  <c r="BY90" i="1"/>
  <c r="BT90" i="1"/>
  <c r="BS90" i="1"/>
  <c r="BN90" i="1"/>
  <c r="BM90" i="1"/>
  <c r="BH90" i="1"/>
  <c r="BG90" i="1"/>
  <c r="BB90" i="1"/>
  <c r="BA90" i="1"/>
  <c r="AV90" i="1"/>
  <c r="AU90" i="1"/>
  <c r="AP90" i="1"/>
  <c r="AO90" i="1"/>
  <c r="AJ90" i="1"/>
  <c r="AI90" i="1"/>
  <c r="AD90" i="1"/>
  <c r="AC90" i="1"/>
  <c r="X90" i="1"/>
  <c r="W90" i="1"/>
  <c r="R90" i="1"/>
  <c r="Q90" i="1"/>
  <c r="CM89" i="1"/>
  <c r="CL89" i="1"/>
  <c r="CK89" i="1"/>
  <c r="CJ89" i="1"/>
  <c r="CI89" i="1"/>
  <c r="CH89" i="1"/>
  <c r="CF89" i="1"/>
  <c r="CE89" i="1"/>
  <c r="BZ89" i="1"/>
  <c r="BY89" i="1"/>
  <c r="BT89" i="1"/>
  <c r="BS89" i="1"/>
  <c r="BN89" i="1"/>
  <c r="BM89" i="1"/>
  <c r="BH89" i="1"/>
  <c r="BG89" i="1"/>
  <c r="BB89" i="1"/>
  <c r="BA89" i="1"/>
  <c r="AV89" i="1"/>
  <c r="AU89" i="1"/>
  <c r="AP89" i="1"/>
  <c r="AO89" i="1"/>
  <c r="AJ89" i="1"/>
  <c r="AI89" i="1"/>
  <c r="AD89" i="1"/>
  <c r="AC89" i="1"/>
  <c r="X89" i="1"/>
  <c r="W89" i="1"/>
  <c r="R89" i="1"/>
  <c r="Q89" i="1"/>
  <c r="CM88" i="1"/>
  <c r="CL88" i="1"/>
  <c r="CJ88" i="1"/>
  <c r="CK88" i="1" s="1"/>
  <c r="CI88" i="1"/>
  <c r="CH88" i="1"/>
  <c r="CF88" i="1"/>
  <c r="CE88" i="1"/>
  <c r="BZ88" i="1"/>
  <c r="BY88" i="1"/>
  <c r="BT88" i="1"/>
  <c r="BS88" i="1"/>
  <c r="BN88" i="1"/>
  <c r="BM88" i="1"/>
  <c r="BH88" i="1"/>
  <c r="BG88" i="1"/>
  <c r="BB88" i="1"/>
  <c r="BA88" i="1"/>
  <c r="AV88" i="1"/>
  <c r="AU88" i="1"/>
  <c r="AP88" i="1"/>
  <c r="AO88" i="1"/>
  <c r="AJ88" i="1"/>
  <c r="AI88" i="1"/>
  <c r="AD88" i="1"/>
  <c r="AC88" i="1"/>
  <c r="X88" i="1"/>
  <c r="W88" i="1"/>
  <c r="R88" i="1"/>
  <c r="Q88" i="1"/>
  <c r="CL87" i="1"/>
  <c r="CK87" i="1"/>
  <c r="CJ87" i="1"/>
  <c r="CI87" i="1"/>
  <c r="CH87" i="1"/>
  <c r="CM87" i="1"/>
  <c r="CF87" i="1"/>
  <c r="CE87" i="1"/>
  <c r="BZ87" i="1"/>
  <c r="BY87" i="1"/>
  <c r="BT87" i="1"/>
  <c r="BS87" i="1"/>
  <c r="BN87" i="1"/>
  <c r="BM87" i="1"/>
  <c r="BH87" i="1"/>
  <c r="BG87" i="1"/>
  <c r="BB87" i="1"/>
  <c r="BA87" i="1"/>
  <c r="AV87" i="1"/>
  <c r="AU87" i="1"/>
  <c r="AP87" i="1"/>
  <c r="AO87" i="1"/>
  <c r="AJ87" i="1"/>
  <c r="AI87" i="1"/>
  <c r="AD87" i="1"/>
  <c r="AC87" i="1"/>
  <c r="X87" i="1"/>
  <c r="W87" i="1"/>
  <c r="R87" i="1"/>
  <c r="Q87" i="1"/>
  <c r="CM86" i="1"/>
  <c r="CJ86" i="1"/>
  <c r="CL86" i="1" s="1"/>
  <c r="CI86" i="1"/>
  <c r="CH86" i="1"/>
  <c r="CF86" i="1"/>
  <c r="CE86" i="1"/>
  <c r="BZ86" i="1"/>
  <c r="BY86" i="1"/>
  <c r="BT86" i="1"/>
  <c r="BS86" i="1"/>
  <c r="BN86" i="1"/>
  <c r="BM86" i="1"/>
  <c r="BH86" i="1"/>
  <c r="BG86" i="1"/>
  <c r="BB86" i="1"/>
  <c r="BA86" i="1"/>
  <c r="AV86" i="1"/>
  <c r="AU86" i="1"/>
  <c r="AP86" i="1"/>
  <c r="AO86" i="1"/>
  <c r="AJ86" i="1"/>
  <c r="AI86" i="1"/>
  <c r="AD86" i="1"/>
  <c r="AC86" i="1"/>
  <c r="X86" i="1"/>
  <c r="W86" i="1"/>
  <c r="R86" i="1"/>
  <c r="Q86" i="1"/>
  <c r="CM85" i="1"/>
  <c r="CJ85" i="1"/>
  <c r="CL85" i="1" s="1"/>
  <c r="CI85" i="1"/>
  <c r="CH85" i="1"/>
  <c r="CF85" i="1"/>
  <c r="CE85" i="1"/>
  <c r="BZ85" i="1"/>
  <c r="BY85" i="1"/>
  <c r="BT85" i="1"/>
  <c r="BS85" i="1"/>
  <c r="BN85" i="1"/>
  <c r="BM85" i="1"/>
  <c r="BH85" i="1"/>
  <c r="BG85" i="1"/>
  <c r="BB85" i="1"/>
  <c r="BA85" i="1"/>
  <c r="AV85" i="1"/>
  <c r="AU85" i="1"/>
  <c r="AP85" i="1"/>
  <c r="AO85" i="1"/>
  <c r="AJ85" i="1"/>
  <c r="AI85" i="1"/>
  <c r="AD85" i="1"/>
  <c r="AC85" i="1"/>
  <c r="X85" i="1"/>
  <c r="W85" i="1"/>
  <c r="R85" i="1"/>
  <c r="Q85" i="1"/>
  <c r="CL84" i="1"/>
  <c r="CK84" i="1"/>
  <c r="CJ84" i="1"/>
  <c r="CI84" i="1"/>
  <c r="CH84" i="1"/>
  <c r="CM84" i="1"/>
  <c r="CF84" i="1"/>
  <c r="CE84" i="1"/>
  <c r="BZ84" i="1"/>
  <c r="BY84" i="1"/>
  <c r="BT84" i="1"/>
  <c r="BS84" i="1"/>
  <c r="BN84" i="1"/>
  <c r="BM84" i="1"/>
  <c r="BH84" i="1"/>
  <c r="BG84" i="1"/>
  <c r="BB84" i="1"/>
  <c r="BA84" i="1"/>
  <c r="AV84" i="1"/>
  <c r="AU84" i="1"/>
  <c r="AP84" i="1"/>
  <c r="AO84" i="1"/>
  <c r="AJ84" i="1"/>
  <c r="AI84" i="1"/>
  <c r="AD84" i="1"/>
  <c r="AC84" i="1"/>
  <c r="X84" i="1"/>
  <c r="W84" i="1"/>
  <c r="R84" i="1"/>
  <c r="Q84" i="1"/>
  <c r="CJ83" i="1"/>
  <c r="CL83" i="1" s="1"/>
  <c r="CI83" i="1"/>
  <c r="CH83" i="1"/>
  <c r="CM83" i="1"/>
  <c r="CF83" i="1"/>
  <c r="CE83" i="1"/>
  <c r="BZ83" i="1"/>
  <c r="BY83" i="1"/>
  <c r="BT83" i="1"/>
  <c r="BS83" i="1"/>
  <c r="BN83" i="1"/>
  <c r="BM83" i="1"/>
  <c r="BH83" i="1"/>
  <c r="BG83" i="1"/>
  <c r="BB83" i="1"/>
  <c r="BA83" i="1"/>
  <c r="AV83" i="1"/>
  <c r="AU83" i="1"/>
  <c r="AP83" i="1"/>
  <c r="AO83" i="1"/>
  <c r="AJ83" i="1"/>
  <c r="AI83" i="1"/>
  <c r="AD83" i="1"/>
  <c r="AC83" i="1"/>
  <c r="X83" i="1"/>
  <c r="W83" i="1"/>
  <c r="R83" i="1"/>
  <c r="Q83" i="1"/>
  <c r="CJ82" i="1"/>
  <c r="CL82" i="1" s="1"/>
  <c r="CI82" i="1"/>
  <c r="CH82" i="1"/>
  <c r="CM82" i="1"/>
  <c r="CF82" i="1"/>
  <c r="CE82" i="1"/>
  <c r="BZ82" i="1"/>
  <c r="BY82" i="1"/>
  <c r="BT82" i="1"/>
  <c r="BS82" i="1"/>
  <c r="BN82" i="1"/>
  <c r="BM82" i="1"/>
  <c r="BH82" i="1"/>
  <c r="BG82" i="1"/>
  <c r="BB82" i="1"/>
  <c r="BA82" i="1"/>
  <c r="AV82" i="1"/>
  <c r="AU82" i="1"/>
  <c r="AP82" i="1"/>
  <c r="AO82" i="1"/>
  <c r="AJ82" i="1"/>
  <c r="AI82" i="1"/>
  <c r="AD82" i="1"/>
  <c r="AC82" i="1"/>
  <c r="X82" i="1"/>
  <c r="W82" i="1"/>
  <c r="R82" i="1"/>
  <c r="Q82" i="1"/>
  <c r="CM81" i="1"/>
  <c r="CL81" i="1"/>
  <c r="CK81" i="1"/>
  <c r="CJ81" i="1"/>
  <c r="CI81" i="1"/>
  <c r="CH81" i="1"/>
  <c r="CF81" i="1"/>
  <c r="CE81" i="1"/>
  <c r="BZ81" i="1"/>
  <c r="BY81" i="1"/>
  <c r="BT81" i="1"/>
  <c r="BS81" i="1"/>
  <c r="BN81" i="1"/>
  <c r="BM81" i="1"/>
  <c r="BH81" i="1"/>
  <c r="BG81" i="1"/>
  <c r="BB81" i="1"/>
  <c r="BA81" i="1"/>
  <c r="AV81" i="1"/>
  <c r="AU81" i="1"/>
  <c r="AP81" i="1"/>
  <c r="AO81" i="1"/>
  <c r="AJ81" i="1"/>
  <c r="AI81" i="1"/>
  <c r="AD81" i="1"/>
  <c r="AC81" i="1"/>
  <c r="X81" i="1"/>
  <c r="W81" i="1"/>
  <c r="R81" i="1"/>
  <c r="Q81" i="1"/>
  <c r="CM80" i="1"/>
  <c r="CL80" i="1"/>
  <c r="CJ80" i="1"/>
  <c r="CK80" i="1" s="1"/>
  <c r="CI80" i="1"/>
  <c r="CH80" i="1"/>
  <c r="CF80" i="1"/>
  <c r="CE80" i="1"/>
  <c r="BZ80" i="1"/>
  <c r="BY80" i="1"/>
  <c r="BT80" i="1"/>
  <c r="BS80" i="1"/>
  <c r="BN80" i="1"/>
  <c r="BM80" i="1"/>
  <c r="BH80" i="1"/>
  <c r="BG80" i="1"/>
  <c r="BB80" i="1"/>
  <c r="BA80" i="1"/>
  <c r="AV80" i="1"/>
  <c r="AU80" i="1"/>
  <c r="AP80" i="1"/>
  <c r="AO80" i="1"/>
  <c r="AJ80" i="1"/>
  <c r="AI80" i="1"/>
  <c r="AD80" i="1"/>
  <c r="AC80" i="1"/>
  <c r="X80" i="1"/>
  <c r="W80" i="1"/>
  <c r="R80" i="1"/>
  <c r="Q80" i="1"/>
  <c r="CL79" i="1"/>
  <c r="CK79" i="1"/>
  <c r="CJ79" i="1"/>
  <c r="CI79" i="1"/>
  <c r="CH79" i="1"/>
  <c r="CM79" i="1"/>
  <c r="CF79" i="1"/>
  <c r="CE79" i="1"/>
  <c r="BZ79" i="1"/>
  <c r="BY79" i="1"/>
  <c r="BT79" i="1"/>
  <c r="BS79" i="1"/>
  <c r="BN79" i="1"/>
  <c r="BM79" i="1"/>
  <c r="BH79" i="1"/>
  <c r="BG79" i="1"/>
  <c r="BB79" i="1"/>
  <c r="BA79" i="1"/>
  <c r="AV79" i="1"/>
  <c r="AU79" i="1"/>
  <c r="AP79" i="1"/>
  <c r="AO79" i="1"/>
  <c r="AJ79" i="1"/>
  <c r="AI79" i="1"/>
  <c r="AD79" i="1"/>
  <c r="AC79" i="1"/>
  <c r="X79" i="1"/>
  <c r="W79" i="1"/>
  <c r="R79" i="1"/>
  <c r="Q79" i="1"/>
  <c r="CM78" i="1"/>
  <c r="CJ78" i="1"/>
  <c r="CL78" i="1" s="1"/>
  <c r="CI78" i="1"/>
  <c r="CH78" i="1"/>
  <c r="CF78" i="1"/>
  <c r="CE78" i="1"/>
  <c r="BZ78" i="1"/>
  <c r="BY78" i="1"/>
  <c r="BT78" i="1"/>
  <c r="BS78" i="1"/>
  <c r="BN78" i="1"/>
  <c r="BM78" i="1"/>
  <c r="BH78" i="1"/>
  <c r="BG78" i="1"/>
  <c r="BB78" i="1"/>
  <c r="BA78" i="1"/>
  <c r="AV78" i="1"/>
  <c r="AU78" i="1"/>
  <c r="AP78" i="1"/>
  <c r="AO78" i="1"/>
  <c r="AJ78" i="1"/>
  <c r="AI78" i="1"/>
  <c r="AD78" i="1"/>
  <c r="AC78" i="1"/>
  <c r="X78" i="1"/>
  <c r="W78" i="1"/>
  <c r="R78" i="1"/>
  <c r="Q78" i="1"/>
  <c r="CM77" i="1"/>
  <c r="CJ77" i="1"/>
  <c r="CL77" i="1" s="1"/>
  <c r="CI77" i="1"/>
  <c r="CH77" i="1"/>
  <c r="CF77" i="1"/>
  <c r="CE77" i="1"/>
  <c r="BZ77" i="1"/>
  <c r="BY77" i="1"/>
  <c r="BT77" i="1"/>
  <c r="BS77" i="1"/>
  <c r="BN77" i="1"/>
  <c r="BM77" i="1"/>
  <c r="BH77" i="1"/>
  <c r="BG77" i="1"/>
  <c r="BB77" i="1"/>
  <c r="BA77" i="1"/>
  <c r="AV77" i="1"/>
  <c r="AU77" i="1"/>
  <c r="AP77" i="1"/>
  <c r="AO77" i="1"/>
  <c r="AJ77" i="1"/>
  <c r="AI77" i="1"/>
  <c r="AD77" i="1"/>
  <c r="AC77" i="1"/>
  <c r="X77" i="1"/>
  <c r="W77" i="1"/>
  <c r="R77" i="1"/>
  <c r="Q77" i="1"/>
  <c r="CM76" i="1"/>
  <c r="CL76" i="1"/>
  <c r="CK76" i="1"/>
  <c r="CJ76" i="1"/>
  <c r="CI76" i="1"/>
  <c r="CH76" i="1"/>
  <c r="CF76" i="1"/>
  <c r="CE76" i="1"/>
  <c r="BZ76" i="1"/>
  <c r="BY76" i="1"/>
  <c r="BT76" i="1"/>
  <c r="BS76" i="1"/>
  <c r="BN76" i="1"/>
  <c r="BM76" i="1"/>
  <c r="BH76" i="1"/>
  <c r="BG76" i="1"/>
  <c r="BB76" i="1"/>
  <c r="BA76" i="1"/>
  <c r="AV76" i="1"/>
  <c r="AU76" i="1"/>
  <c r="AP76" i="1"/>
  <c r="AO76" i="1"/>
  <c r="AJ76" i="1"/>
  <c r="AI76" i="1"/>
  <c r="AD76" i="1"/>
  <c r="AC76" i="1"/>
  <c r="X76" i="1"/>
  <c r="W76" i="1"/>
  <c r="R76" i="1"/>
  <c r="Q76" i="1"/>
  <c r="CJ75" i="1"/>
  <c r="CL75" i="1" s="1"/>
  <c r="CI75" i="1"/>
  <c r="CH75" i="1"/>
  <c r="CM75" i="1"/>
  <c r="CF75" i="1"/>
  <c r="CE75" i="1"/>
  <c r="BZ75" i="1"/>
  <c r="BY75" i="1"/>
  <c r="BT75" i="1"/>
  <c r="BS75" i="1"/>
  <c r="BN75" i="1"/>
  <c r="BM75" i="1"/>
  <c r="BH75" i="1"/>
  <c r="BG75" i="1"/>
  <c r="BB75" i="1"/>
  <c r="BA75" i="1"/>
  <c r="AV75" i="1"/>
  <c r="AU75" i="1"/>
  <c r="AP75" i="1"/>
  <c r="AO75" i="1"/>
  <c r="AJ75" i="1"/>
  <c r="AI75" i="1"/>
  <c r="AD75" i="1"/>
  <c r="AC75" i="1"/>
  <c r="X75" i="1"/>
  <c r="W75" i="1"/>
  <c r="R75" i="1"/>
  <c r="Q75" i="1"/>
  <c r="CJ74" i="1"/>
  <c r="CL74" i="1" s="1"/>
  <c r="CI74" i="1"/>
  <c r="CH74" i="1"/>
  <c r="CM74" i="1"/>
  <c r="CF74" i="1"/>
  <c r="CE74" i="1"/>
  <c r="BZ74" i="1"/>
  <c r="BY74" i="1"/>
  <c r="BT74" i="1"/>
  <c r="BS74" i="1"/>
  <c r="BN74" i="1"/>
  <c r="BM74" i="1"/>
  <c r="BH74" i="1"/>
  <c r="BG74" i="1"/>
  <c r="BB74" i="1"/>
  <c r="BA74" i="1"/>
  <c r="AV74" i="1"/>
  <c r="AU74" i="1"/>
  <c r="AP74" i="1"/>
  <c r="AO74" i="1"/>
  <c r="AJ74" i="1"/>
  <c r="AI74" i="1"/>
  <c r="AD74" i="1"/>
  <c r="AC74" i="1"/>
  <c r="X74" i="1"/>
  <c r="W74" i="1"/>
  <c r="R74" i="1"/>
  <c r="Q74" i="1"/>
  <c r="CM73" i="1"/>
  <c r="CK73" i="1"/>
  <c r="CJ73" i="1"/>
  <c r="CL73" i="1" s="1"/>
  <c r="CI73" i="1"/>
  <c r="CH73" i="1"/>
  <c r="CF73" i="1"/>
  <c r="CE73" i="1"/>
  <c r="BZ73" i="1"/>
  <c r="BY73" i="1"/>
  <c r="BT73" i="1"/>
  <c r="BS73" i="1"/>
  <c r="BN73" i="1"/>
  <c r="BM73" i="1"/>
  <c r="BH73" i="1"/>
  <c r="BG73" i="1"/>
  <c r="BB73" i="1"/>
  <c r="BA73" i="1"/>
  <c r="AV73" i="1"/>
  <c r="AU73" i="1"/>
  <c r="AP73" i="1"/>
  <c r="AO73" i="1"/>
  <c r="AJ73" i="1"/>
  <c r="AI73" i="1"/>
  <c r="AD73" i="1"/>
  <c r="AC73" i="1"/>
  <c r="X73" i="1"/>
  <c r="W73" i="1"/>
  <c r="R73" i="1"/>
  <c r="Q73" i="1"/>
  <c r="CM72" i="1"/>
  <c r="CL72" i="1"/>
  <c r="CJ72" i="1"/>
  <c r="CK72" i="1" s="1"/>
  <c r="CI72" i="1"/>
  <c r="CH72" i="1"/>
  <c r="CF72" i="1"/>
  <c r="CE72" i="1"/>
  <c r="BZ72" i="1"/>
  <c r="BY72" i="1"/>
  <c r="BT72" i="1"/>
  <c r="BS72" i="1"/>
  <c r="BN72" i="1"/>
  <c r="BM72" i="1"/>
  <c r="BH72" i="1"/>
  <c r="BG72" i="1"/>
  <c r="BB72" i="1"/>
  <c r="BA72" i="1"/>
  <c r="AV72" i="1"/>
  <c r="AU72" i="1"/>
  <c r="AP72" i="1"/>
  <c r="AO72" i="1"/>
  <c r="AJ72" i="1"/>
  <c r="AI72" i="1"/>
  <c r="AD72" i="1"/>
  <c r="AC72" i="1"/>
  <c r="X72" i="1"/>
  <c r="W72" i="1"/>
  <c r="R72" i="1"/>
  <c r="Q72" i="1"/>
  <c r="CL71" i="1"/>
  <c r="CK71" i="1"/>
  <c r="CJ71" i="1"/>
  <c r="CI71" i="1"/>
  <c r="CH71" i="1"/>
  <c r="CM71" i="1"/>
  <c r="CF71" i="1"/>
  <c r="CE71" i="1"/>
  <c r="BZ71" i="1"/>
  <c r="BY71" i="1"/>
  <c r="BT71" i="1"/>
  <c r="BS71" i="1"/>
  <c r="BN71" i="1"/>
  <c r="BM71" i="1"/>
  <c r="BH71" i="1"/>
  <c r="BG71" i="1"/>
  <c r="BB71" i="1"/>
  <c r="BA71" i="1"/>
  <c r="AV71" i="1"/>
  <c r="AU71" i="1"/>
  <c r="AP71" i="1"/>
  <c r="AO71" i="1"/>
  <c r="AJ71" i="1"/>
  <c r="AI71" i="1"/>
  <c r="AD71" i="1"/>
  <c r="AC71" i="1"/>
  <c r="X71" i="1"/>
  <c r="W71" i="1"/>
  <c r="R71" i="1"/>
  <c r="Q71" i="1"/>
  <c r="CM70" i="1"/>
  <c r="CJ70" i="1"/>
  <c r="CL70" i="1" s="1"/>
  <c r="CI70" i="1"/>
  <c r="CH70" i="1"/>
  <c r="CF70" i="1"/>
  <c r="CE70" i="1"/>
  <c r="BZ70" i="1"/>
  <c r="BY70" i="1"/>
  <c r="BT70" i="1"/>
  <c r="BS70" i="1"/>
  <c r="BN70" i="1"/>
  <c r="BM70" i="1"/>
  <c r="BH70" i="1"/>
  <c r="BG70" i="1"/>
  <c r="BB70" i="1"/>
  <c r="BA70" i="1"/>
  <c r="AV70" i="1"/>
  <c r="AU70" i="1"/>
  <c r="AP70" i="1"/>
  <c r="AO70" i="1"/>
  <c r="AJ70" i="1"/>
  <c r="AI70" i="1"/>
  <c r="AD70" i="1"/>
  <c r="AC70" i="1"/>
  <c r="X70" i="1"/>
  <c r="W70" i="1"/>
  <c r="R70" i="1"/>
  <c r="Q70" i="1"/>
  <c r="CM69" i="1"/>
  <c r="CJ69" i="1"/>
  <c r="CL69" i="1" s="1"/>
  <c r="CI69" i="1"/>
  <c r="CH69" i="1"/>
  <c r="CF69" i="1"/>
  <c r="CE69" i="1"/>
  <c r="BZ69" i="1"/>
  <c r="BY69" i="1"/>
  <c r="BT69" i="1"/>
  <c r="BS69" i="1"/>
  <c r="BN69" i="1"/>
  <c r="BM69" i="1"/>
  <c r="BH69" i="1"/>
  <c r="BG69" i="1"/>
  <c r="BB69" i="1"/>
  <c r="BA69" i="1"/>
  <c r="AV69" i="1"/>
  <c r="AU69" i="1"/>
  <c r="AP69" i="1"/>
  <c r="AO69" i="1"/>
  <c r="AJ69" i="1"/>
  <c r="AI69" i="1"/>
  <c r="AD69" i="1"/>
  <c r="AC69" i="1"/>
  <c r="X69" i="1"/>
  <c r="W69" i="1"/>
  <c r="R69" i="1"/>
  <c r="Q69" i="1"/>
  <c r="CM68" i="1"/>
  <c r="CL68" i="1"/>
  <c r="CK68" i="1"/>
  <c r="CJ68" i="1"/>
  <c r="CI68" i="1"/>
  <c r="CH68" i="1"/>
  <c r="CF68" i="1"/>
  <c r="CE68" i="1"/>
  <c r="BZ68" i="1"/>
  <c r="BY68" i="1"/>
  <c r="BT68" i="1"/>
  <c r="BS68" i="1"/>
  <c r="BN68" i="1"/>
  <c r="BM68" i="1"/>
  <c r="BH68" i="1"/>
  <c r="BG68" i="1"/>
  <c r="BB68" i="1"/>
  <c r="BA68" i="1"/>
  <c r="AV68" i="1"/>
  <c r="AU68" i="1"/>
  <c r="AP68" i="1"/>
  <c r="AO68" i="1"/>
  <c r="AJ68" i="1"/>
  <c r="AI68" i="1"/>
  <c r="AD68" i="1"/>
  <c r="AC68" i="1"/>
  <c r="X68" i="1"/>
  <c r="W68" i="1"/>
  <c r="R68" i="1"/>
  <c r="Q68" i="1"/>
  <c r="CJ67" i="1"/>
  <c r="CL67" i="1" s="1"/>
  <c r="CI67" i="1"/>
  <c r="CI133" i="1" s="1"/>
  <c r="CH67" i="1"/>
  <c r="CH133" i="1" s="1"/>
  <c r="CM67" i="1"/>
  <c r="CF67" i="1"/>
  <c r="CE67" i="1"/>
  <c r="BZ67" i="1"/>
  <c r="BY67" i="1"/>
  <c r="BT67" i="1"/>
  <c r="BS67" i="1"/>
  <c r="BN67" i="1"/>
  <c r="BM67" i="1"/>
  <c r="BH67" i="1"/>
  <c r="BG67" i="1"/>
  <c r="BB67" i="1"/>
  <c r="BA67" i="1"/>
  <c r="AV67" i="1"/>
  <c r="AU67" i="1"/>
  <c r="AP67" i="1"/>
  <c r="AO67" i="1"/>
  <c r="AJ67" i="1"/>
  <c r="AI67" i="1"/>
  <c r="AD67" i="1"/>
  <c r="AC67" i="1"/>
  <c r="X67" i="1"/>
  <c r="W67" i="1"/>
  <c r="R67" i="1"/>
  <c r="Q67" i="1"/>
  <c r="CC63" i="1"/>
  <c r="CB63" i="1"/>
  <c r="BW63" i="1"/>
  <c r="BV63" i="1"/>
  <c r="BQ63" i="1"/>
  <c r="BP63" i="1"/>
  <c r="BK63" i="1"/>
  <c r="BJ63" i="1"/>
  <c r="BE63" i="1"/>
  <c r="BD63" i="1"/>
  <c r="AY63" i="1"/>
  <c r="AX63" i="1"/>
  <c r="AS63" i="1"/>
  <c r="AR63" i="1"/>
  <c r="AM63" i="1"/>
  <c r="AL63" i="1"/>
  <c r="AG63" i="1"/>
  <c r="AF63" i="1"/>
  <c r="AA63" i="1"/>
  <c r="Z63" i="1"/>
  <c r="U63" i="1"/>
  <c r="T63" i="1"/>
  <c r="O63" i="1"/>
  <c r="N63" i="1"/>
  <c r="CL62" i="1"/>
  <c r="CK62" i="1"/>
  <c r="CJ62" i="1"/>
  <c r="CI62" i="1"/>
  <c r="CH62" i="1"/>
  <c r="CM62" i="1"/>
  <c r="CF62" i="1"/>
  <c r="CE62" i="1"/>
  <c r="BZ62" i="1"/>
  <c r="BY62" i="1"/>
  <c r="BT62" i="1"/>
  <c r="BS62" i="1"/>
  <c r="BN62" i="1"/>
  <c r="BM62" i="1"/>
  <c r="BH62" i="1"/>
  <c r="BG62" i="1"/>
  <c r="BB62" i="1"/>
  <c r="BA62" i="1"/>
  <c r="AV62" i="1"/>
  <c r="AU62" i="1"/>
  <c r="AP62" i="1"/>
  <c r="AO62" i="1"/>
  <c r="AJ62" i="1"/>
  <c r="AI62" i="1"/>
  <c r="AD62" i="1"/>
  <c r="AC62" i="1"/>
  <c r="X62" i="1"/>
  <c r="W62" i="1"/>
  <c r="R62" i="1"/>
  <c r="Q62" i="1"/>
  <c r="CM61" i="1"/>
  <c r="CJ61" i="1"/>
  <c r="CL61" i="1" s="1"/>
  <c r="CI61" i="1"/>
  <c r="CH61" i="1"/>
  <c r="CL60" i="1"/>
  <c r="CK60" i="1"/>
  <c r="CJ60" i="1"/>
  <c r="CI60" i="1"/>
  <c r="CH60" i="1"/>
  <c r="CM60" i="1"/>
  <c r="CF60" i="1"/>
  <c r="CE60" i="1"/>
  <c r="BZ60" i="1"/>
  <c r="BY60" i="1"/>
  <c r="BT60" i="1"/>
  <c r="BS60" i="1"/>
  <c r="BN60" i="1"/>
  <c r="BM60" i="1"/>
  <c r="BH60" i="1"/>
  <c r="BG60" i="1"/>
  <c r="BB60" i="1"/>
  <c r="BA60" i="1"/>
  <c r="AV60" i="1"/>
  <c r="AU60" i="1"/>
  <c r="AP60" i="1"/>
  <c r="AO60" i="1"/>
  <c r="AJ60" i="1"/>
  <c r="AI60" i="1"/>
  <c r="AD60" i="1"/>
  <c r="AC60" i="1"/>
  <c r="X60" i="1"/>
  <c r="W60" i="1"/>
  <c r="R60" i="1"/>
  <c r="Q60" i="1"/>
  <c r="CK59" i="1"/>
  <c r="CJ59" i="1"/>
  <c r="CL59" i="1" s="1"/>
  <c r="CI59" i="1"/>
  <c r="CH59" i="1"/>
  <c r="CM59" i="1"/>
  <c r="CF59" i="1"/>
  <c r="CE59" i="1"/>
  <c r="BZ59" i="1"/>
  <c r="BY59" i="1"/>
  <c r="BT59" i="1"/>
  <c r="BS59" i="1"/>
  <c r="BN59" i="1"/>
  <c r="BM59" i="1"/>
  <c r="BH59" i="1"/>
  <c r="BG59" i="1"/>
  <c r="BB59" i="1"/>
  <c r="BA59" i="1"/>
  <c r="AV59" i="1"/>
  <c r="AU59" i="1"/>
  <c r="AP59" i="1"/>
  <c r="AO59" i="1"/>
  <c r="AJ59" i="1"/>
  <c r="AI59" i="1"/>
  <c r="AD59" i="1"/>
  <c r="AC59" i="1"/>
  <c r="X59" i="1"/>
  <c r="W59" i="1"/>
  <c r="R59" i="1"/>
  <c r="Q59" i="1"/>
  <c r="CL58" i="1"/>
  <c r="CK58" i="1"/>
  <c r="CJ58" i="1"/>
  <c r="CI58" i="1"/>
  <c r="CH58" i="1"/>
  <c r="CL57" i="1"/>
  <c r="CK57" i="1"/>
  <c r="CJ57" i="1"/>
  <c r="CI57" i="1"/>
  <c r="CH57" i="1"/>
  <c r="CM57" i="1"/>
  <c r="CF57" i="1"/>
  <c r="CE57" i="1"/>
  <c r="BZ57" i="1"/>
  <c r="BY57" i="1"/>
  <c r="BT57" i="1"/>
  <c r="BS57" i="1"/>
  <c r="BN57" i="1"/>
  <c r="BM57" i="1"/>
  <c r="BH57" i="1"/>
  <c r="BG57" i="1"/>
  <c r="BB57" i="1"/>
  <c r="BA57" i="1"/>
  <c r="AV57" i="1"/>
  <c r="AU57" i="1"/>
  <c r="AP57" i="1"/>
  <c r="AO57" i="1"/>
  <c r="AJ57" i="1"/>
  <c r="AI57" i="1"/>
  <c r="AD57" i="1"/>
  <c r="AC57" i="1"/>
  <c r="X57" i="1"/>
  <c r="W57" i="1"/>
  <c r="R57" i="1"/>
  <c r="Q57" i="1"/>
  <c r="CM56" i="1"/>
  <c r="CJ56" i="1"/>
  <c r="CL56" i="1" s="1"/>
  <c r="CI56" i="1"/>
  <c r="CH56" i="1"/>
  <c r="CF56" i="1"/>
  <c r="CE56" i="1"/>
  <c r="BZ56" i="1"/>
  <c r="BY56" i="1"/>
  <c r="BT56" i="1"/>
  <c r="BS56" i="1"/>
  <c r="BN56" i="1"/>
  <c r="BM56" i="1"/>
  <c r="BH56" i="1"/>
  <c r="BG56" i="1"/>
  <c r="BB56" i="1"/>
  <c r="BA56" i="1"/>
  <c r="AV56" i="1"/>
  <c r="AU56" i="1"/>
  <c r="AP56" i="1"/>
  <c r="AO56" i="1"/>
  <c r="AJ56" i="1"/>
  <c r="AI56" i="1"/>
  <c r="AD56" i="1"/>
  <c r="AC56" i="1"/>
  <c r="X56" i="1"/>
  <c r="W56" i="1"/>
  <c r="R56" i="1"/>
  <c r="Q56" i="1"/>
  <c r="CM55" i="1"/>
  <c r="CJ55" i="1"/>
  <c r="CL55" i="1" s="1"/>
  <c r="CI55" i="1"/>
  <c r="CH55" i="1"/>
  <c r="CF55" i="1"/>
  <c r="CE55" i="1"/>
  <c r="BZ55" i="1"/>
  <c r="BY55" i="1"/>
  <c r="BT55" i="1"/>
  <c r="BS55" i="1"/>
  <c r="BN55" i="1"/>
  <c r="BM55" i="1"/>
  <c r="BH55" i="1"/>
  <c r="BG55" i="1"/>
  <c r="BB55" i="1"/>
  <c r="BA55" i="1"/>
  <c r="AV55" i="1"/>
  <c r="AU55" i="1"/>
  <c r="AP55" i="1"/>
  <c r="AO55" i="1"/>
  <c r="AJ55" i="1"/>
  <c r="AI55" i="1"/>
  <c r="AD55" i="1"/>
  <c r="AC55" i="1"/>
  <c r="X55" i="1"/>
  <c r="W55" i="1"/>
  <c r="R55" i="1"/>
  <c r="Q55" i="1"/>
  <c r="CL54" i="1"/>
  <c r="CK54" i="1"/>
  <c r="CJ54" i="1"/>
  <c r="CI54" i="1"/>
  <c r="CH54" i="1"/>
  <c r="CM54" i="1"/>
  <c r="CF54" i="1"/>
  <c r="CE54" i="1"/>
  <c r="BZ54" i="1"/>
  <c r="BY54" i="1"/>
  <c r="BT54" i="1"/>
  <c r="BS54" i="1"/>
  <c r="BN54" i="1"/>
  <c r="BM54" i="1"/>
  <c r="BH54" i="1"/>
  <c r="BG54" i="1"/>
  <c r="BB54" i="1"/>
  <c r="BA54" i="1"/>
  <c r="AV54" i="1"/>
  <c r="AU54" i="1"/>
  <c r="AP54" i="1"/>
  <c r="AO54" i="1"/>
  <c r="AJ54" i="1"/>
  <c r="AI54" i="1"/>
  <c r="AD54" i="1"/>
  <c r="AC54" i="1"/>
  <c r="X54" i="1"/>
  <c r="W54" i="1"/>
  <c r="R54" i="1"/>
  <c r="Q54" i="1"/>
  <c r="CK53" i="1"/>
  <c r="CJ53" i="1"/>
  <c r="CL53" i="1" s="1"/>
  <c r="CI53" i="1"/>
  <c r="CH53" i="1"/>
  <c r="CM53" i="1"/>
  <c r="CF53" i="1"/>
  <c r="CE53" i="1"/>
  <c r="BZ53" i="1"/>
  <c r="BY53" i="1"/>
  <c r="BT53" i="1"/>
  <c r="BS53" i="1"/>
  <c r="BN53" i="1"/>
  <c r="BM53" i="1"/>
  <c r="BH53" i="1"/>
  <c r="BG53" i="1"/>
  <c r="BB53" i="1"/>
  <c r="BA53" i="1"/>
  <c r="AV53" i="1"/>
  <c r="AU53" i="1"/>
  <c r="AP53" i="1"/>
  <c r="AO53" i="1"/>
  <c r="AJ53" i="1"/>
  <c r="AI53" i="1"/>
  <c r="AD53" i="1"/>
  <c r="AC53" i="1"/>
  <c r="X53" i="1"/>
  <c r="W53" i="1"/>
  <c r="R53" i="1"/>
  <c r="Q53" i="1"/>
  <c r="CJ52" i="1"/>
  <c r="CL52" i="1" s="1"/>
  <c r="CI52" i="1"/>
  <c r="CH52" i="1"/>
  <c r="CM52" i="1"/>
  <c r="CF52" i="1"/>
  <c r="CE52" i="1"/>
  <c r="BZ52" i="1"/>
  <c r="BY52" i="1"/>
  <c r="BT52" i="1"/>
  <c r="BS52" i="1"/>
  <c r="BN52" i="1"/>
  <c r="BM52" i="1"/>
  <c r="BH52" i="1"/>
  <c r="BG52" i="1"/>
  <c r="BB52" i="1"/>
  <c r="BA52" i="1"/>
  <c r="AV52" i="1"/>
  <c r="AU52" i="1"/>
  <c r="AP52" i="1"/>
  <c r="AO52" i="1"/>
  <c r="AJ52" i="1"/>
  <c r="AI52" i="1"/>
  <c r="AD52" i="1"/>
  <c r="AC52" i="1"/>
  <c r="X52" i="1"/>
  <c r="W52" i="1"/>
  <c r="R52" i="1"/>
  <c r="Q52" i="1"/>
  <c r="CM51" i="1"/>
  <c r="CL51" i="1"/>
  <c r="CK51" i="1"/>
  <c r="CJ51" i="1"/>
  <c r="CI51" i="1"/>
  <c r="CH51" i="1"/>
  <c r="CF51" i="1"/>
  <c r="CE51" i="1"/>
  <c r="BZ51" i="1"/>
  <c r="BY51" i="1"/>
  <c r="BT51" i="1"/>
  <c r="BS51" i="1"/>
  <c r="BN51" i="1"/>
  <c r="BM51" i="1"/>
  <c r="BH51" i="1"/>
  <c r="BG51" i="1"/>
  <c r="BB51" i="1"/>
  <c r="BA51" i="1"/>
  <c r="AV51" i="1"/>
  <c r="AU51" i="1"/>
  <c r="AP51" i="1"/>
  <c r="AO51" i="1"/>
  <c r="AJ51" i="1"/>
  <c r="AI51" i="1"/>
  <c r="AD51" i="1"/>
  <c r="AC51" i="1"/>
  <c r="X51" i="1"/>
  <c r="W51" i="1"/>
  <c r="R51" i="1"/>
  <c r="Q51" i="1"/>
  <c r="CM50" i="1"/>
  <c r="CL50" i="1"/>
  <c r="CK50" i="1"/>
  <c r="CJ50" i="1"/>
  <c r="CI50" i="1"/>
  <c r="CH50" i="1"/>
  <c r="CF50" i="1"/>
  <c r="CE50" i="1"/>
  <c r="BZ50" i="1"/>
  <c r="BY50" i="1"/>
  <c r="BT50" i="1"/>
  <c r="BS50" i="1"/>
  <c r="BN50" i="1"/>
  <c r="BM50" i="1"/>
  <c r="BH50" i="1"/>
  <c r="BG50" i="1"/>
  <c r="BB50" i="1"/>
  <c r="BA50" i="1"/>
  <c r="AV50" i="1"/>
  <c r="AU50" i="1"/>
  <c r="AP50" i="1"/>
  <c r="AO50" i="1"/>
  <c r="AJ50" i="1"/>
  <c r="AI50" i="1"/>
  <c r="AD50" i="1"/>
  <c r="AC50" i="1"/>
  <c r="X50" i="1"/>
  <c r="W50" i="1"/>
  <c r="R50" i="1"/>
  <c r="Q50" i="1"/>
  <c r="CL49" i="1"/>
  <c r="CK49" i="1"/>
  <c r="CJ49" i="1"/>
  <c r="CI49" i="1"/>
  <c r="CH49" i="1"/>
  <c r="CM49" i="1"/>
  <c r="CF49" i="1"/>
  <c r="CE49" i="1"/>
  <c r="BZ49" i="1"/>
  <c r="BY49" i="1"/>
  <c r="BT49" i="1"/>
  <c r="BS49" i="1"/>
  <c r="BN49" i="1"/>
  <c r="BM49" i="1"/>
  <c r="BH49" i="1"/>
  <c r="BG49" i="1"/>
  <c r="BB49" i="1"/>
  <c r="BA49" i="1"/>
  <c r="AV49" i="1"/>
  <c r="AU49" i="1"/>
  <c r="AP49" i="1"/>
  <c r="AO49" i="1"/>
  <c r="AJ49" i="1"/>
  <c r="AI49" i="1"/>
  <c r="AD49" i="1"/>
  <c r="AC49" i="1"/>
  <c r="X49" i="1"/>
  <c r="W49" i="1"/>
  <c r="R49" i="1"/>
  <c r="Q49" i="1"/>
  <c r="CM48" i="1"/>
  <c r="CJ48" i="1"/>
  <c r="CL48" i="1" s="1"/>
  <c r="CI48" i="1"/>
  <c r="CH48" i="1"/>
  <c r="CF48" i="1"/>
  <c r="CE48" i="1"/>
  <c r="BZ48" i="1"/>
  <c r="BY48" i="1"/>
  <c r="BT48" i="1"/>
  <c r="BS48" i="1"/>
  <c r="BN48" i="1"/>
  <c r="BM48" i="1"/>
  <c r="BH48" i="1"/>
  <c r="BG48" i="1"/>
  <c r="BB48" i="1"/>
  <c r="BA48" i="1"/>
  <c r="AV48" i="1"/>
  <c r="AU48" i="1"/>
  <c r="AP48" i="1"/>
  <c r="AO48" i="1"/>
  <c r="AJ48" i="1"/>
  <c r="AI48" i="1"/>
  <c r="AD48" i="1"/>
  <c r="AC48" i="1"/>
  <c r="X48" i="1"/>
  <c r="W48" i="1"/>
  <c r="R48" i="1"/>
  <c r="Q48" i="1"/>
  <c r="CM47" i="1"/>
  <c r="CJ47" i="1"/>
  <c r="CL47" i="1" s="1"/>
  <c r="CI47" i="1"/>
  <c r="CH47" i="1"/>
  <c r="CF47" i="1"/>
  <c r="CE47" i="1"/>
  <c r="BZ47" i="1"/>
  <c r="BY47" i="1"/>
  <c r="BT47" i="1"/>
  <c r="BS47" i="1"/>
  <c r="BN47" i="1"/>
  <c r="BM47" i="1"/>
  <c r="BH47" i="1"/>
  <c r="BG47" i="1"/>
  <c r="BB47" i="1"/>
  <c r="BA47" i="1"/>
  <c r="AV47" i="1"/>
  <c r="AU47" i="1"/>
  <c r="AP47" i="1"/>
  <c r="AO47" i="1"/>
  <c r="AJ47" i="1"/>
  <c r="AI47" i="1"/>
  <c r="AD47" i="1"/>
  <c r="AC47" i="1"/>
  <c r="X47" i="1"/>
  <c r="W47" i="1"/>
  <c r="R47" i="1"/>
  <c r="Q47" i="1"/>
  <c r="CL46" i="1"/>
  <c r="CK46" i="1"/>
  <c r="CJ46" i="1"/>
  <c r="CI46" i="1"/>
  <c r="CH46" i="1"/>
  <c r="CM46" i="1"/>
  <c r="CF46" i="1"/>
  <c r="CE46" i="1"/>
  <c r="BZ46" i="1"/>
  <c r="BY46" i="1"/>
  <c r="BT46" i="1"/>
  <c r="BS46" i="1"/>
  <c r="BN46" i="1"/>
  <c r="BM46" i="1"/>
  <c r="BH46" i="1"/>
  <c r="BG46" i="1"/>
  <c r="BB46" i="1"/>
  <c r="BA46" i="1"/>
  <c r="AV46" i="1"/>
  <c r="AU46" i="1"/>
  <c r="AP46" i="1"/>
  <c r="AO46" i="1"/>
  <c r="AJ46" i="1"/>
  <c r="AI46" i="1"/>
  <c r="AD46" i="1"/>
  <c r="AC46" i="1"/>
  <c r="X46" i="1"/>
  <c r="W46" i="1"/>
  <c r="R46" i="1"/>
  <c r="Q46" i="1"/>
  <c r="CK45" i="1"/>
  <c r="CJ45" i="1"/>
  <c r="CL45" i="1" s="1"/>
  <c r="CI45" i="1"/>
  <c r="CH45" i="1"/>
  <c r="CM45" i="1"/>
  <c r="CF45" i="1"/>
  <c r="CE45" i="1"/>
  <c r="BZ45" i="1"/>
  <c r="BY45" i="1"/>
  <c r="BT45" i="1"/>
  <c r="BS45" i="1"/>
  <c r="BN45" i="1"/>
  <c r="BM45" i="1"/>
  <c r="BH45" i="1"/>
  <c r="BG45" i="1"/>
  <c r="BB45" i="1"/>
  <c r="BA45" i="1"/>
  <c r="AV45" i="1"/>
  <c r="AU45" i="1"/>
  <c r="AP45" i="1"/>
  <c r="AO45" i="1"/>
  <c r="AJ45" i="1"/>
  <c r="AI45" i="1"/>
  <c r="AD45" i="1"/>
  <c r="AC45" i="1"/>
  <c r="X45" i="1"/>
  <c r="W45" i="1"/>
  <c r="R45" i="1"/>
  <c r="Q45" i="1"/>
  <c r="CJ44" i="1"/>
  <c r="CL44" i="1" s="1"/>
  <c r="CI44" i="1"/>
  <c r="CH44" i="1"/>
  <c r="CM44" i="1"/>
  <c r="CF44" i="1"/>
  <c r="CE44" i="1"/>
  <c r="BZ44" i="1"/>
  <c r="BY44" i="1"/>
  <c r="BT44" i="1"/>
  <c r="BS44" i="1"/>
  <c r="BN44" i="1"/>
  <c r="BM44" i="1"/>
  <c r="BH44" i="1"/>
  <c r="BG44" i="1"/>
  <c r="BB44" i="1"/>
  <c r="BA44" i="1"/>
  <c r="AV44" i="1"/>
  <c r="AU44" i="1"/>
  <c r="AP44" i="1"/>
  <c r="AO44" i="1"/>
  <c r="AJ44" i="1"/>
  <c r="AI44" i="1"/>
  <c r="AD44" i="1"/>
  <c r="AC44" i="1"/>
  <c r="X44" i="1"/>
  <c r="W44" i="1"/>
  <c r="R44" i="1"/>
  <c r="Q44" i="1"/>
  <c r="CM43" i="1"/>
  <c r="CL43" i="1"/>
  <c r="CK43" i="1"/>
  <c r="CJ43" i="1"/>
  <c r="CI43" i="1"/>
  <c r="CH43" i="1"/>
  <c r="CF43" i="1"/>
  <c r="CE43" i="1"/>
  <c r="BZ43" i="1"/>
  <c r="BY43" i="1"/>
  <c r="BT43" i="1"/>
  <c r="BS43" i="1"/>
  <c r="BN43" i="1"/>
  <c r="BM43" i="1"/>
  <c r="BH43" i="1"/>
  <c r="BG43" i="1"/>
  <c r="BB43" i="1"/>
  <c r="BA43" i="1"/>
  <c r="AV43" i="1"/>
  <c r="AU43" i="1"/>
  <c r="AP43" i="1"/>
  <c r="AO43" i="1"/>
  <c r="AJ43" i="1"/>
  <c r="AI43" i="1"/>
  <c r="AD43" i="1"/>
  <c r="AC43" i="1"/>
  <c r="X43" i="1"/>
  <c r="W43" i="1"/>
  <c r="R43" i="1"/>
  <c r="Q43" i="1"/>
  <c r="CM42" i="1"/>
  <c r="CL42" i="1"/>
  <c r="CK42" i="1"/>
  <c r="CJ42" i="1"/>
  <c r="CI42" i="1"/>
  <c r="CH42" i="1"/>
  <c r="CF42" i="1"/>
  <c r="CE42" i="1"/>
  <c r="BZ42" i="1"/>
  <c r="BY42" i="1"/>
  <c r="BT42" i="1"/>
  <c r="BS42" i="1"/>
  <c r="BN42" i="1"/>
  <c r="BM42" i="1"/>
  <c r="BH42" i="1"/>
  <c r="BG42" i="1"/>
  <c r="BB42" i="1"/>
  <c r="BA42" i="1"/>
  <c r="AV42" i="1"/>
  <c r="AU42" i="1"/>
  <c r="AP42" i="1"/>
  <c r="AO42" i="1"/>
  <c r="AJ42" i="1"/>
  <c r="AI42" i="1"/>
  <c r="AD42" i="1"/>
  <c r="AC42" i="1"/>
  <c r="X42" i="1"/>
  <c r="W42" i="1"/>
  <c r="R42" i="1"/>
  <c r="Q42" i="1"/>
  <c r="CL41" i="1"/>
  <c r="CK41" i="1"/>
  <c r="CJ41" i="1"/>
  <c r="CI41" i="1"/>
  <c r="CH41" i="1"/>
  <c r="CM41" i="1"/>
  <c r="CF41" i="1"/>
  <c r="CE41" i="1"/>
  <c r="BZ41" i="1"/>
  <c r="BY41" i="1"/>
  <c r="BT41" i="1"/>
  <c r="BS41" i="1"/>
  <c r="BN41" i="1"/>
  <c r="BM41" i="1"/>
  <c r="BH41" i="1"/>
  <c r="BG41" i="1"/>
  <c r="BB41" i="1"/>
  <c r="BA41" i="1"/>
  <c r="AV41" i="1"/>
  <c r="AU41" i="1"/>
  <c r="AP41" i="1"/>
  <c r="AO41" i="1"/>
  <c r="AJ41" i="1"/>
  <c r="AI41" i="1"/>
  <c r="AD41" i="1"/>
  <c r="AC41" i="1"/>
  <c r="X41" i="1"/>
  <c r="W41" i="1"/>
  <c r="R41" i="1"/>
  <c r="Q41" i="1"/>
  <c r="CM40" i="1"/>
  <c r="CJ40" i="1"/>
  <c r="CL40" i="1" s="1"/>
  <c r="CI40" i="1"/>
  <c r="CH40" i="1"/>
  <c r="CF40" i="1"/>
  <c r="CE40" i="1"/>
  <c r="BZ40" i="1"/>
  <c r="BY40" i="1"/>
  <c r="BT40" i="1"/>
  <c r="BS40" i="1"/>
  <c r="BN40" i="1"/>
  <c r="BM40" i="1"/>
  <c r="BH40" i="1"/>
  <c r="BG40" i="1"/>
  <c r="BB40" i="1"/>
  <c r="BA40" i="1"/>
  <c r="AV40" i="1"/>
  <c r="AU40" i="1"/>
  <c r="AP40" i="1"/>
  <c r="AO40" i="1"/>
  <c r="AJ40" i="1"/>
  <c r="AI40" i="1"/>
  <c r="AD40" i="1"/>
  <c r="AC40" i="1"/>
  <c r="X40" i="1"/>
  <c r="W40" i="1"/>
  <c r="R40" i="1"/>
  <c r="Q40" i="1"/>
  <c r="CM39" i="1"/>
  <c r="CJ39" i="1"/>
  <c r="CL39" i="1" s="1"/>
  <c r="CI39" i="1"/>
  <c r="CH39" i="1"/>
  <c r="CF39" i="1"/>
  <c r="CE39" i="1"/>
  <c r="BZ39" i="1"/>
  <c r="BY39" i="1"/>
  <c r="BT39" i="1"/>
  <c r="BS39" i="1"/>
  <c r="BN39" i="1"/>
  <c r="BM39" i="1"/>
  <c r="BH39" i="1"/>
  <c r="BG39" i="1"/>
  <c r="BB39" i="1"/>
  <c r="BA39" i="1"/>
  <c r="AV39" i="1"/>
  <c r="AU39" i="1"/>
  <c r="AP39" i="1"/>
  <c r="AO39" i="1"/>
  <c r="AJ39" i="1"/>
  <c r="AI39" i="1"/>
  <c r="AD39" i="1"/>
  <c r="AC39" i="1"/>
  <c r="X39" i="1"/>
  <c r="W39" i="1"/>
  <c r="R39" i="1"/>
  <c r="Q39" i="1"/>
  <c r="CL38" i="1"/>
  <c r="CK38" i="1"/>
  <c r="CJ38" i="1"/>
  <c r="CI38" i="1"/>
  <c r="CH38" i="1"/>
  <c r="CM38" i="1"/>
  <c r="CF38" i="1"/>
  <c r="CE38" i="1"/>
  <c r="BZ38" i="1"/>
  <c r="BY38" i="1"/>
  <c r="BT38" i="1"/>
  <c r="BS38" i="1"/>
  <c r="BN38" i="1"/>
  <c r="BM38" i="1"/>
  <c r="BH38" i="1"/>
  <c r="BG38" i="1"/>
  <c r="BB38" i="1"/>
  <c r="BA38" i="1"/>
  <c r="AV38" i="1"/>
  <c r="AU38" i="1"/>
  <c r="AP38" i="1"/>
  <c r="AO38" i="1"/>
  <c r="AJ38" i="1"/>
  <c r="AI38" i="1"/>
  <c r="AD38" i="1"/>
  <c r="AC38" i="1"/>
  <c r="X38" i="1"/>
  <c r="W38" i="1"/>
  <c r="R38" i="1"/>
  <c r="Q38" i="1"/>
  <c r="CK37" i="1"/>
  <c r="CJ37" i="1"/>
  <c r="CL37" i="1" s="1"/>
  <c r="CI37" i="1"/>
  <c r="CH37" i="1"/>
  <c r="CM37" i="1"/>
  <c r="CF37" i="1"/>
  <c r="CE37" i="1"/>
  <c r="BZ37" i="1"/>
  <c r="BY37" i="1"/>
  <c r="BT37" i="1"/>
  <c r="BS37" i="1"/>
  <c r="BN37" i="1"/>
  <c r="BM37" i="1"/>
  <c r="BH37" i="1"/>
  <c r="BG37" i="1"/>
  <c r="BB37" i="1"/>
  <c r="BA37" i="1"/>
  <c r="AV37" i="1"/>
  <c r="AU37" i="1"/>
  <c r="AP37" i="1"/>
  <c r="AO37" i="1"/>
  <c r="AJ37" i="1"/>
  <c r="AI37" i="1"/>
  <c r="AD37" i="1"/>
  <c r="AC37" i="1"/>
  <c r="X37" i="1"/>
  <c r="W37" i="1"/>
  <c r="R37" i="1"/>
  <c r="Q37" i="1"/>
  <c r="CJ36" i="1"/>
  <c r="CL36" i="1" s="1"/>
  <c r="CI36" i="1"/>
  <c r="CH36" i="1"/>
  <c r="CM36" i="1"/>
  <c r="CF36" i="1"/>
  <c r="CE36" i="1"/>
  <c r="BZ36" i="1"/>
  <c r="BY36" i="1"/>
  <c r="BT36" i="1"/>
  <c r="BS36" i="1"/>
  <c r="BN36" i="1"/>
  <c r="BM36" i="1"/>
  <c r="BH36" i="1"/>
  <c r="BG36" i="1"/>
  <c r="BB36" i="1"/>
  <c r="BA36" i="1"/>
  <c r="AV36" i="1"/>
  <c r="AU36" i="1"/>
  <c r="AP36" i="1"/>
  <c r="AO36" i="1"/>
  <c r="AJ36" i="1"/>
  <c r="AI36" i="1"/>
  <c r="AD36" i="1"/>
  <c r="AC36" i="1"/>
  <c r="X36" i="1"/>
  <c r="W36" i="1"/>
  <c r="R36" i="1"/>
  <c r="Q36" i="1"/>
  <c r="CM35" i="1"/>
  <c r="CL35" i="1"/>
  <c r="CK35" i="1"/>
  <c r="CJ35" i="1"/>
  <c r="CI35" i="1"/>
  <c r="CH35" i="1"/>
  <c r="CF35" i="1"/>
  <c r="CE35" i="1"/>
  <c r="BZ35" i="1"/>
  <c r="BY35" i="1"/>
  <c r="BT35" i="1"/>
  <c r="BS35" i="1"/>
  <c r="BN35" i="1"/>
  <c r="BM35" i="1"/>
  <c r="BH35" i="1"/>
  <c r="BG35" i="1"/>
  <c r="BB35" i="1"/>
  <c r="BA35" i="1"/>
  <c r="AV35" i="1"/>
  <c r="AU35" i="1"/>
  <c r="AP35" i="1"/>
  <c r="AO35" i="1"/>
  <c r="AJ35" i="1"/>
  <c r="AI35" i="1"/>
  <c r="AD35" i="1"/>
  <c r="AC35" i="1"/>
  <c r="X35" i="1"/>
  <c r="W35" i="1"/>
  <c r="R35" i="1"/>
  <c r="Q35" i="1"/>
  <c r="CM34" i="1"/>
  <c r="CL34" i="1"/>
  <c r="CJ34" i="1"/>
  <c r="CK34" i="1" s="1"/>
  <c r="CI34" i="1"/>
  <c r="CH34" i="1"/>
  <c r="CF34" i="1"/>
  <c r="CE34" i="1"/>
  <c r="BZ34" i="1"/>
  <c r="BY34" i="1"/>
  <c r="BT34" i="1"/>
  <c r="BS34" i="1"/>
  <c r="BN34" i="1"/>
  <c r="BM34" i="1"/>
  <c r="BH34" i="1"/>
  <c r="BG34" i="1"/>
  <c r="BB34" i="1"/>
  <c r="BA34" i="1"/>
  <c r="AV34" i="1"/>
  <c r="AU34" i="1"/>
  <c r="AP34" i="1"/>
  <c r="AO34" i="1"/>
  <c r="AJ34" i="1"/>
  <c r="AI34" i="1"/>
  <c r="AD34" i="1"/>
  <c r="AC34" i="1"/>
  <c r="X34" i="1"/>
  <c r="W34" i="1"/>
  <c r="R34" i="1"/>
  <c r="Q34" i="1"/>
  <c r="CL33" i="1"/>
  <c r="CK33" i="1"/>
  <c r="CJ33" i="1"/>
  <c r="CI33" i="1"/>
  <c r="CH33" i="1"/>
  <c r="CM33" i="1"/>
  <c r="CF33" i="1"/>
  <c r="CE33" i="1"/>
  <c r="BZ33" i="1"/>
  <c r="BY33" i="1"/>
  <c r="BT33" i="1"/>
  <c r="BS33" i="1"/>
  <c r="BN33" i="1"/>
  <c r="BM33" i="1"/>
  <c r="BH33" i="1"/>
  <c r="BG33" i="1"/>
  <c r="BB33" i="1"/>
  <c r="BA33" i="1"/>
  <c r="AV33" i="1"/>
  <c r="AU33" i="1"/>
  <c r="AP33" i="1"/>
  <c r="AO33" i="1"/>
  <c r="AJ33" i="1"/>
  <c r="AI33" i="1"/>
  <c r="AD33" i="1"/>
  <c r="AC33" i="1"/>
  <c r="X33" i="1"/>
  <c r="W33" i="1"/>
  <c r="R33" i="1"/>
  <c r="Q33" i="1"/>
  <c r="CM32" i="1"/>
  <c r="CJ32" i="1"/>
  <c r="CL32" i="1" s="1"/>
  <c r="CI32" i="1"/>
  <c r="CH32" i="1"/>
  <c r="CF32" i="1"/>
  <c r="CE32" i="1"/>
  <c r="BZ32" i="1"/>
  <c r="BY32" i="1"/>
  <c r="BT32" i="1"/>
  <c r="BS32" i="1"/>
  <c r="BN32" i="1"/>
  <c r="BM32" i="1"/>
  <c r="BH32" i="1"/>
  <c r="BG32" i="1"/>
  <c r="BB32" i="1"/>
  <c r="BA32" i="1"/>
  <c r="AV32" i="1"/>
  <c r="AU32" i="1"/>
  <c r="AP32" i="1"/>
  <c r="AO32" i="1"/>
  <c r="AJ32" i="1"/>
  <c r="AI32" i="1"/>
  <c r="AD32" i="1"/>
  <c r="AC32" i="1"/>
  <c r="X32" i="1"/>
  <c r="W32" i="1"/>
  <c r="R32" i="1"/>
  <c r="Q32" i="1"/>
  <c r="CM31" i="1"/>
  <c r="CJ31" i="1"/>
  <c r="CL31" i="1" s="1"/>
  <c r="CI31" i="1"/>
  <c r="CH31" i="1"/>
  <c r="CF31" i="1"/>
  <c r="CE31" i="1"/>
  <c r="BZ31" i="1"/>
  <c r="BY31" i="1"/>
  <c r="BT31" i="1"/>
  <c r="BS31" i="1"/>
  <c r="BN31" i="1"/>
  <c r="BM31" i="1"/>
  <c r="BH31" i="1"/>
  <c r="BG31" i="1"/>
  <c r="BB31" i="1"/>
  <c r="BA31" i="1"/>
  <c r="AV31" i="1"/>
  <c r="AU31" i="1"/>
  <c r="AP31" i="1"/>
  <c r="AO31" i="1"/>
  <c r="AJ31" i="1"/>
  <c r="AI31" i="1"/>
  <c r="AD31" i="1"/>
  <c r="AC31" i="1"/>
  <c r="X31" i="1"/>
  <c r="W31" i="1"/>
  <c r="R31" i="1"/>
  <c r="Q31" i="1"/>
  <c r="CL30" i="1"/>
  <c r="CK30" i="1"/>
  <c r="CJ30" i="1"/>
  <c r="CI30" i="1"/>
  <c r="CH30" i="1"/>
  <c r="CM30" i="1"/>
  <c r="CF30" i="1"/>
  <c r="CE30" i="1"/>
  <c r="BZ30" i="1"/>
  <c r="BY30" i="1"/>
  <c r="BT30" i="1"/>
  <c r="BS30" i="1"/>
  <c r="BN30" i="1"/>
  <c r="BM30" i="1"/>
  <c r="BH30" i="1"/>
  <c r="BG30" i="1"/>
  <c r="BB30" i="1"/>
  <c r="BA30" i="1"/>
  <c r="AV30" i="1"/>
  <c r="AU30" i="1"/>
  <c r="AP30" i="1"/>
  <c r="AO30" i="1"/>
  <c r="AJ30" i="1"/>
  <c r="AI30" i="1"/>
  <c r="AD30" i="1"/>
  <c r="AC30" i="1"/>
  <c r="X30" i="1"/>
  <c r="W30" i="1"/>
  <c r="R30" i="1"/>
  <c r="Q30" i="1"/>
  <c r="CK29" i="1"/>
  <c r="CJ29" i="1"/>
  <c r="CL29" i="1" s="1"/>
  <c r="CI29" i="1"/>
  <c r="CH29" i="1"/>
  <c r="CM29" i="1"/>
  <c r="CF29" i="1"/>
  <c r="CE29" i="1"/>
  <c r="BZ29" i="1"/>
  <c r="BY29" i="1"/>
  <c r="BT29" i="1"/>
  <c r="BS29" i="1"/>
  <c r="BN29" i="1"/>
  <c r="BM29" i="1"/>
  <c r="BH29" i="1"/>
  <c r="BG29" i="1"/>
  <c r="BB29" i="1"/>
  <c r="BA29" i="1"/>
  <c r="AV29" i="1"/>
  <c r="AU29" i="1"/>
  <c r="AP29" i="1"/>
  <c r="AO29" i="1"/>
  <c r="AJ29" i="1"/>
  <c r="AI29" i="1"/>
  <c r="AD29" i="1"/>
  <c r="AC29" i="1"/>
  <c r="X29" i="1"/>
  <c r="W29" i="1"/>
  <c r="R29" i="1"/>
  <c r="Q29" i="1"/>
  <c r="CJ28" i="1"/>
  <c r="CL28" i="1" s="1"/>
  <c r="CI28" i="1"/>
  <c r="CH28" i="1"/>
  <c r="CM28" i="1"/>
  <c r="CF28" i="1"/>
  <c r="CE28" i="1"/>
  <c r="BZ28" i="1"/>
  <c r="BY28" i="1"/>
  <c r="BT28" i="1"/>
  <c r="BS28" i="1"/>
  <c r="BN28" i="1"/>
  <c r="BM28" i="1"/>
  <c r="BH28" i="1"/>
  <c r="BG28" i="1"/>
  <c r="BB28" i="1"/>
  <c r="BA28" i="1"/>
  <c r="AV28" i="1"/>
  <c r="AU28" i="1"/>
  <c r="AP28" i="1"/>
  <c r="AO28" i="1"/>
  <c r="AJ28" i="1"/>
  <c r="AI28" i="1"/>
  <c r="AD28" i="1"/>
  <c r="AC28" i="1"/>
  <c r="X28" i="1"/>
  <c r="W28" i="1"/>
  <c r="R28" i="1"/>
  <c r="Q28" i="1"/>
  <c r="CM27" i="1"/>
  <c r="CL27" i="1"/>
  <c r="CK27" i="1"/>
  <c r="CJ27" i="1"/>
  <c r="CI27" i="1"/>
  <c r="CH27" i="1"/>
  <c r="CF27" i="1"/>
  <c r="CE27" i="1"/>
  <c r="BZ27" i="1"/>
  <c r="BY27" i="1"/>
  <c r="BT27" i="1"/>
  <c r="BS27" i="1"/>
  <c r="BN27" i="1"/>
  <c r="BM27" i="1"/>
  <c r="BH27" i="1"/>
  <c r="BG27" i="1"/>
  <c r="BB27" i="1"/>
  <c r="BA27" i="1"/>
  <c r="AV27" i="1"/>
  <c r="AU27" i="1"/>
  <c r="AP27" i="1"/>
  <c r="AO27" i="1"/>
  <c r="AJ27" i="1"/>
  <c r="AI27" i="1"/>
  <c r="AD27" i="1"/>
  <c r="AC27" i="1"/>
  <c r="X27" i="1"/>
  <c r="W27" i="1"/>
  <c r="R27" i="1"/>
  <c r="Q27" i="1"/>
  <c r="CM26" i="1"/>
  <c r="CL26" i="1"/>
  <c r="CJ26" i="1"/>
  <c r="CK26" i="1" s="1"/>
  <c r="CI26" i="1"/>
  <c r="CH26" i="1"/>
  <c r="CF26" i="1"/>
  <c r="CE26" i="1"/>
  <c r="BZ26" i="1"/>
  <c r="BY26" i="1"/>
  <c r="BT26" i="1"/>
  <c r="BS26" i="1"/>
  <c r="BN26" i="1"/>
  <c r="BM26" i="1"/>
  <c r="BH26" i="1"/>
  <c r="BG26" i="1"/>
  <c r="BB26" i="1"/>
  <c r="BA26" i="1"/>
  <c r="AV26" i="1"/>
  <c r="AU26" i="1"/>
  <c r="AP26" i="1"/>
  <c r="AO26" i="1"/>
  <c r="AJ26" i="1"/>
  <c r="AI26" i="1"/>
  <c r="AD26" i="1"/>
  <c r="AC26" i="1"/>
  <c r="X26" i="1"/>
  <c r="W26" i="1"/>
  <c r="R26" i="1"/>
  <c r="Q26" i="1"/>
  <c r="CL25" i="1"/>
  <c r="CK25" i="1"/>
  <c r="CJ25" i="1"/>
  <c r="CI25" i="1"/>
  <c r="CH25" i="1"/>
  <c r="CM25" i="1"/>
  <c r="CF25" i="1"/>
  <c r="CE25" i="1"/>
  <c r="BZ25" i="1"/>
  <c r="BY25" i="1"/>
  <c r="BT25" i="1"/>
  <c r="BS25" i="1"/>
  <c r="BN25" i="1"/>
  <c r="BM25" i="1"/>
  <c r="BH25" i="1"/>
  <c r="BG25" i="1"/>
  <c r="BB25" i="1"/>
  <c r="BA25" i="1"/>
  <c r="AV25" i="1"/>
  <c r="AU25" i="1"/>
  <c r="AP25" i="1"/>
  <c r="AO25" i="1"/>
  <c r="AJ25" i="1"/>
  <c r="AI25" i="1"/>
  <c r="AD25" i="1"/>
  <c r="AC25" i="1"/>
  <c r="X25" i="1"/>
  <c r="W25" i="1"/>
  <c r="R25" i="1"/>
  <c r="Q25" i="1"/>
  <c r="CM24" i="1"/>
  <c r="CJ24" i="1"/>
  <c r="CL24" i="1" s="1"/>
  <c r="CI24" i="1"/>
  <c r="CH24" i="1"/>
  <c r="CF24" i="1"/>
  <c r="CE24" i="1"/>
  <c r="BZ24" i="1"/>
  <c r="BY24" i="1"/>
  <c r="BT24" i="1"/>
  <c r="BS24" i="1"/>
  <c r="BN24" i="1"/>
  <c r="BM24" i="1"/>
  <c r="BH24" i="1"/>
  <c r="BG24" i="1"/>
  <c r="BB24" i="1"/>
  <c r="BA24" i="1"/>
  <c r="AV24" i="1"/>
  <c r="AU24" i="1"/>
  <c r="AP24" i="1"/>
  <c r="AO24" i="1"/>
  <c r="AJ24" i="1"/>
  <c r="AI24" i="1"/>
  <c r="AD24" i="1"/>
  <c r="AC24" i="1"/>
  <c r="X24" i="1"/>
  <c r="W24" i="1"/>
  <c r="R24" i="1"/>
  <c r="Q24" i="1"/>
  <c r="CM23" i="1"/>
  <c r="CJ23" i="1"/>
  <c r="CL23" i="1" s="1"/>
  <c r="CI23" i="1"/>
  <c r="CH23" i="1"/>
  <c r="CF23" i="1"/>
  <c r="CE23" i="1"/>
  <c r="BZ23" i="1"/>
  <c r="BY23" i="1"/>
  <c r="BT23" i="1"/>
  <c r="BS23" i="1"/>
  <c r="BN23" i="1"/>
  <c r="BM23" i="1"/>
  <c r="BH23" i="1"/>
  <c r="BG23" i="1"/>
  <c r="BB23" i="1"/>
  <c r="BA23" i="1"/>
  <c r="AV23" i="1"/>
  <c r="AU23" i="1"/>
  <c r="AP23" i="1"/>
  <c r="AO23" i="1"/>
  <c r="AJ23" i="1"/>
  <c r="AI23" i="1"/>
  <c r="AD23" i="1"/>
  <c r="AC23" i="1"/>
  <c r="X23" i="1"/>
  <c r="W23" i="1"/>
  <c r="R23" i="1"/>
  <c r="Q23" i="1"/>
  <c r="CM22" i="1"/>
  <c r="CL22" i="1"/>
  <c r="CK22" i="1"/>
  <c r="CJ22" i="1"/>
  <c r="CI22" i="1"/>
  <c r="CH22" i="1"/>
  <c r="CF22" i="1"/>
  <c r="CE22" i="1"/>
  <c r="BZ22" i="1"/>
  <c r="BY22" i="1"/>
  <c r="BT22" i="1"/>
  <c r="BS22" i="1"/>
  <c r="BN22" i="1"/>
  <c r="BM22" i="1"/>
  <c r="BH22" i="1"/>
  <c r="BG22" i="1"/>
  <c r="BB22" i="1"/>
  <c r="BA22" i="1"/>
  <c r="AV22" i="1"/>
  <c r="AU22" i="1"/>
  <c r="AP22" i="1"/>
  <c r="AO22" i="1"/>
  <c r="AJ22" i="1"/>
  <c r="AI22" i="1"/>
  <c r="AD22" i="1"/>
  <c r="AC22" i="1"/>
  <c r="X22" i="1"/>
  <c r="W22" i="1"/>
  <c r="R22" i="1"/>
  <c r="Q22" i="1"/>
  <c r="CK21" i="1"/>
  <c r="CJ21" i="1"/>
  <c r="CL21" i="1" s="1"/>
  <c r="CI21" i="1"/>
  <c r="CH21" i="1"/>
  <c r="CM21" i="1"/>
  <c r="CF21" i="1"/>
  <c r="CE21" i="1"/>
  <c r="BZ21" i="1"/>
  <c r="BY21" i="1"/>
  <c r="BT21" i="1"/>
  <c r="BS21" i="1"/>
  <c r="BN21" i="1"/>
  <c r="BM21" i="1"/>
  <c r="BH21" i="1"/>
  <c r="BG21" i="1"/>
  <c r="BB21" i="1"/>
  <c r="BA21" i="1"/>
  <c r="AV21" i="1"/>
  <c r="AU21" i="1"/>
  <c r="AP21" i="1"/>
  <c r="AO21" i="1"/>
  <c r="AJ21" i="1"/>
  <c r="AI21" i="1"/>
  <c r="AD21" i="1"/>
  <c r="AC21" i="1"/>
  <c r="X21" i="1"/>
  <c r="W21" i="1"/>
  <c r="R21" i="1"/>
  <c r="Q21" i="1"/>
  <c r="CJ20" i="1"/>
  <c r="CL20" i="1" s="1"/>
  <c r="CI20" i="1"/>
  <c r="CH20" i="1"/>
  <c r="CM20" i="1"/>
  <c r="CF20" i="1"/>
  <c r="CE20" i="1"/>
  <c r="BZ20" i="1"/>
  <c r="BY20" i="1"/>
  <c r="BT20" i="1"/>
  <c r="BS20" i="1"/>
  <c r="BN20" i="1"/>
  <c r="BM20" i="1"/>
  <c r="BH20" i="1"/>
  <c r="BG20" i="1"/>
  <c r="BB20" i="1"/>
  <c r="BA20" i="1"/>
  <c r="AV20" i="1"/>
  <c r="AU20" i="1"/>
  <c r="AP20" i="1"/>
  <c r="AO20" i="1"/>
  <c r="AJ20" i="1"/>
  <c r="AI20" i="1"/>
  <c r="AD20" i="1"/>
  <c r="AC20" i="1"/>
  <c r="X20" i="1"/>
  <c r="W20" i="1"/>
  <c r="R20" i="1"/>
  <c r="Q20" i="1"/>
  <c r="CM19" i="1"/>
  <c r="CK19" i="1"/>
  <c r="CJ19" i="1"/>
  <c r="CL19" i="1" s="1"/>
  <c r="CI19" i="1"/>
  <c r="CH19" i="1"/>
  <c r="CF19" i="1"/>
  <c r="CE19" i="1"/>
  <c r="BZ19" i="1"/>
  <c r="BY19" i="1"/>
  <c r="BT19" i="1"/>
  <c r="BS19" i="1"/>
  <c r="BN19" i="1"/>
  <c r="BM19" i="1"/>
  <c r="BH19" i="1"/>
  <c r="BG19" i="1"/>
  <c r="BB19" i="1"/>
  <c r="BA19" i="1"/>
  <c r="AV19" i="1"/>
  <c r="AU19" i="1"/>
  <c r="AP19" i="1"/>
  <c r="AO19" i="1"/>
  <c r="AJ19" i="1"/>
  <c r="AI19" i="1"/>
  <c r="AD19" i="1"/>
  <c r="AC19" i="1"/>
  <c r="X19" i="1"/>
  <c r="W19" i="1"/>
  <c r="R19" i="1"/>
  <c r="Q19" i="1"/>
  <c r="CM18" i="1"/>
  <c r="CL18" i="1"/>
  <c r="CJ18" i="1"/>
  <c r="CK18" i="1" s="1"/>
  <c r="CI18" i="1"/>
  <c r="CH18" i="1"/>
  <c r="CF18" i="1"/>
  <c r="CE18" i="1"/>
  <c r="BZ18" i="1"/>
  <c r="BY18" i="1"/>
  <c r="BT18" i="1"/>
  <c r="BS18" i="1"/>
  <c r="BN18" i="1"/>
  <c r="BM18" i="1"/>
  <c r="BH18" i="1"/>
  <c r="BG18" i="1"/>
  <c r="BB18" i="1"/>
  <c r="BA18" i="1"/>
  <c r="AV18" i="1"/>
  <c r="AU18" i="1"/>
  <c r="AP18" i="1"/>
  <c r="AO18" i="1"/>
  <c r="AJ18" i="1"/>
  <c r="AI18" i="1"/>
  <c r="AD18" i="1"/>
  <c r="AC18" i="1"/>
  <c r="X18" i="1"/>
  <c r="W18" i="1"/>
  <c r="R18" i="1"/>
  <c r="Q18" i="1"/>
  <c r="CL17" i="1"/>
  <c r="CK17" i="1"/>
  <c r="CJ17" i="1"/>
  <c r="CI17" i="1"/>
  <c r="CH17" i="1"/>
  <c r="CM17" i="1"/>
  <c r="CF17" i="1"/>
  <c r="CE17" i="1"/>
  <c r="BZ17" i="1"/>
  <c r="BY17" i="1"/>
  <c r="BT17" i="1"/>
  <c r="BS17" i="1"/>
  <c r="BN17" i="1"/>
  <c r="BM17" i="1"/>
  <c r="BH17" i="1"/>
  <c r="BG17" i="1"/>
  <c r="BB17" i="1"/>
  <c r="BA17" i="1"/>
  <c r="AV17" i="1"/>
  <c r="AU17" i="1"/>
  <c r="AP17" i="1"/>
  <c r="AO17" i="1"/>
  <c r="AJ17" i="1"/>
  <c r="AI17" i="1"/>
  <c r="AD17" i="1"/>
  <c r="AC17" i="1"/>
  <c r="X17" i="1"/>
  <c r="W17" i="1"/>
  <c r="R17" i="1"/>
  <c r="Q17" i="1"/>
  <c r="CM16" i="1"/>
  <c r="CJ16" i="1"/>
  <c r="CL16" i="1" s="1"/>
  <c r="CI16" i="1"/>
  <c r="CH16" i="1"/>
  <c r="CF16" i="1"/>
  <c r="CE16" i="1"/>
  <c r="BZ16" i="1"/>
  <c r="BY16" i="1"/>
  <c r="BT16" i="1"/>
  <c r="BS16" i="1"/>
  <c r="BN16" i="1"/>
  <c r="BM16" i="1"/>
  <c r="BH16" i="1"/>
  <c r="BG16" i="1"/>
  <c r="BB16" i="1"/>
  <c r="BA16" i="1"/>
  <c r="AV16" i="1"/>
  <c r="AU16" i="1"/>
  <c r="AP16" i="1"/>
  <c r="AO16" i="1"/>
  <c r="AJ16" i="1"/>
  <c r="AI16" i="1"/>
  <c r="AD16" i="1"/>
  <c r="AC16" i="1"/>
  <c r="X16" i="1"/>
  <c r="W16" i="1"/>
  <c r="R16" i="1"/>
  <c r="Q16" i="1"/>
  <c r="CM15" i="1"/>
  <c r="CJ15" i="1"/>
  <c r="CL15" i="1" s="1"/>
  <c r="CI15" i="1"/>
  <c r="CH15" i="1"/>
  <c r="CF15" i="1"/>
  <c r="CE15" i="1"/>
  <c r="BZ15" i="1"/>
  <c r="BY15" i="1"/>
  <c r="BT15" i="1"/>
  <c r="BS15" i="1"/>
  <c r="BN15" i="1"/>
  <c r="BM15" i="1"/>
  <c r="BH15" i="1"/>
  <c r="BG15" i="1"/>
  <c r="BB15" i="1"/>
  <c r="BA15" i="1"/>
  <c r="AV15" i="1"/>
  <c r="AU15" i="1"/>
  <c r="AP15" i="1"/>
  <c r="AO15" i="1"/>
  <c r="AJ15" i="1"/>
  <c r="AI15" i="1"/>
  <c r="AD15" i="1"/>
  <c r="AC15" i="1"/>
  <c r="X15" i="1"/>
  <c r="W15" i="1"/>
  <c r="R15" i="1"/>
  <c r="Q15" i="1"/>
  <c r="CL14" i="1"/>
  <c r="CK14" i="1"/>
  <c r="CJ14" i="1"/>
  <c r="CI14" i="1"/>
  <c r="CH14" i="1"/>
  <c r="CM14" i="1"/>
  <c r="CF14" i="1"/>
  <c r="CE14" i="1"/>
  <c r="BZ14" i="1"/>
  <c r="BY14" i="1"/>
  <c r="BT14" i="1"/>
  <c r="BS14" i="1"/>
  <c r="BN14" i="1"/>
  <c r="BM14" i="1"/>
  <c r="BH14" i="1"/>
  <c r="BG14" i="1"/>
  <c r="BB14" i="1"/>
  <c r="BA14" i="1"/>
  <c r="AV14" i="1"/>
  <c r="AU14" i="1"/>
  <c r="AP14" i="1"/>
  <c r="AO14" i="1"/>
  <c r="AJ14" i="1"/>
  <c r="AI14" i="1"/>
  <c r="AD14" i="1"/>
  <c r="AC14" i="1"/>
  <c r="X14" i="1"/>
  <c r="W14" i="1"/>
  <c r="R14" i="1"/>
  <c r="Q14" i="1"/>
  <c r="CK13" i="1"/>
  <c r="CJ13" i="1"/>
  <c r="CL13" i="1" s="1"/>
  <c r="CI13" i="1"/>
  <c r="CH13" i="1"/>
  <c r="CM13" i="1"/>
  <c r="CF13" i="1"/>
  <c r="CE13" i="1"/>
  <c r="BZ13" i="1"/>
  <c r="BY13" i="1"/>
  <c r="BT13" i="1"/>
  <c r="BS13" i="1"/>
  <c r="BN13" i="1"/>
  <c r="BM13" i="1"/>
  <c r="BH13" i="1"/>
  <c r="BG13" i="1"/>
  <c r="BB13" i="1"/>
  <c r="BA13" i="1"/>
  <c r="AV13" i="1"/>
  <c r="AU13" i="1"/>
  <c r="AP13" i="1"/>
  <c r="AO13" i="1"/>
  <c r="AJ13" i="1"/>
  <c r="AI13" i="1"/>
  <c r="AD13" i="1"/>
  <c r="AC13" i="1"/>
  <c r="X13" i="1"/>
  <c r="W13" i="1"/>
  <c r="R13" i="1"/>
  <c r="Q13" i="1"/>
  <c r="CJ12" i="1"/>
  <c r="CL12" i="1" s="1"/>
  <c r="CI12" i="1"/>
  <c r="CH12" i="1"/>
  <c r="CM12" i="1"/>
  <c r="CF12" i="1"/>
  <c r="CE12" i="1"/>
  <c r="BZ12" i="1"/>
  <c r="BY12" i="1"/>
  <c r="BT12" i="1"/>
  <c r="BS12" i="1"/>
  <c r="BN12" i="1"/>
  <c r="BM12" i="1"/>
  <c r="BH12" i="1"/>
  <c r="BG12" i="1"/>
  <c r="BB12" i="1"/>
  <c r="BA12" i="1"/>
  <c r="AV12" i="1"/>
  <c r="AU12" i="1"/>
  <c r="AP12" i="1"/>
  <c r="AO12" i="1"/>
  <c r="AJ12" i="1"/>
  <c r="AI12" i="1"/>
  <c r="AD12" i="1"/>
  <c r="AC12" i="1"/>
  <c r="X12" i="1"/>
  <c r="W12" i="1"/>
  <c r="R12" i="1"/>
  <c r="Q12" i="1"/>
  <c r="CM11" i="1"/>
  <c r="CL11" i="1"/>
  <c r="CK11" i="1"/>
  <c r="CJ11" i="1"/>
  <c r="CI11" i="1"/>
  <c r="CH11" i="1"/>
  <c r="CF11" i="1"/>
  <c r="CE11" i="1"/>
  <c r="BZ11" i="1"/>
  <c r="BY11" i="1"/>
  <c r="BT11" i="1"/>
  <c r="BS11" i="1"/>
  <c r="BN11" i="1"/>
  <c r="BM11" i="1"/>
  <c r="BH11" i="1"/>
  <c r="BG11" i="1"/>
  <c r="BB11" i="1"/>
  <c r="BA11" i="1"/>
  <c r="AV11" i="1"/>
  <c r="AU11" i="1"/>
  <c r="AP11" i="1"/>
  <c r="AO11" i="1"/>
  <c r="AJ11" i="1"/>
  <c r="AI11" i="1"/>
  <c r="AD11" i="1"/>
  <c r="AC11" i="1"/>
  <c r="X11" i="1"/>
  <c r="W11" i="1"/>
  <c r="R11" i="1"/>
  <c r="Q11" i="1"/>
  <c r="CM10" i="1"/>
  <c r="CL10" i="1"/>
  <c r="CK10" i="1"/>
  <c r="CJ10" i="1"/>
  <c r="CI10" i="1"/>
  <c r="CH10" i="1"/>
  <c r="CF10" i="1"/>
  <c r="CE10" i="1"/>
  <c r="BZ10" i="1"/>
  <c r="BY10" i="1"/>
  <c r="BT10" i="1"/>
  <c r="BS10" i="1"/>
  <c r="BN10" i="1"/>
  <c r="BM10" i="1"/>
  <c r="BH10" i="1"/>
  <c r="BG10" i="1"/>
  <c r="BB10" i="1"/>
  <c r="BA10" i="1"/>
  <c r="AV10" i="1"/>
  <c r="AU10" i="1"/>
  <c r="AP10" i="1"/>
  <c r="AO10" i="1"/>
  <c r="AJ10" i="1"/>
  <c r="AI10" i="1"/>
  <c r="AD10" i="1"/>
  <c r="AC10" i="1"/>
  <c r="X10" i="1"/>
  <c r="W10" i="1"/>
  <c r="R10" i="1"/>
  <c r="Q10" i="1"/>
  <c r="CL9" i="1"/>
  <c r="CK9" i="1"/>
  <c r="CJ9" i="1"/>
  <c r="CI9" i="1"/>
  <c r="CH9" i="1"/>
  <c r="CM9" i="1"/>
  <c r="CF9" i="1"/>
  <c r="CE9" i="1"/>
  <c r="BZ9" i="1"/>
  <c r="BY9" i="1"/>
  <c r="BT9" i="1"/>
  <c r="BS9" i="1"/>
  <c r="BN9" i="1"/>
  <c r="BM9" i="1"/>
  <c r="BH9" i="1"/>
  <c r="BG9" i="1"/>
  <c r="BB9" i="1"/>
  <c r="BA9" i="1"/>
  <c r="AV9" i="1"/>
  <c r="AU9" i="1"/>
  <c r="AP9" i="1"/>
  <c r="AO9" i="1"/>
  <c r="AJ9" i="1"/>
  <c r="AI9" i="1"/>
  <c r="AD9" i="1"/>
  <c r="AC9" i="1"/>
  <c r="X9" i="1"/>
  <c r="W9" i="1"/>
  <c r="R9" i="1"/>
  <c r="Q9" i="1"/>
  <c r="CM8" i="1"/>
  <c r="CJ8" i="1"/>
  <c r="CL8" i="1" s="1"/>
  <c r="CI8" i="1"/>
  <c r="CH8" i="1"/>
  <c r="CF8" i="1"/>
  <c r="CE8" i="1"/>
  <c r="BZ8" i="1"/>
  <c r="BY8" i="1"/>
  <c r="BT8" i="1"/>
  <c r="BS8" i="1"/>
  <c r="BN8" i="1"/>
  <c r="BM8" i="1"/>
  <c r="BH8" i="1"/>
  <c r="BG8" i="1"/>
  <c r="BB8" i="1"/>
  <c r="BA8" i="1"/>
  <c r="AV8" i="1"/>
  <c r="AU8" i="1"/>
  <c r="AP8" i="1"/>
  <c r="AO8" i="1"/>
  <c r="AJ8" i="1"/>
  <c r="AI8" i="1"/>
  <c r="AD8" i="1"/>
  <c r="AC8" i="1"/>
  <c r="X8" i="1"/>
  <c r="W8" i="1"/>
  <c r="R8" i="1"/>
  <c r="Q8" i="1"/>
  <c r="CM7" i="1"/>
  <c r="CJ7" i="1"/>
  <c r="CL7" i="1" s="1"/>
  <c r="CI7" i="1"/>
  <c r="CH7" i="1"/>
  <c r="CF7" i="1"/>
  <c r="CE7" i="1"/>
  <c r="BZ7" i="1"/>
  <c r="BY7" i="1"/>
  <c r="BT7" i="1"/>
  <c r="BS7" i="1"/>
  <c r="BN7" i="1"/>
  <c r="BM7" i="1"/>
  <c r="BH7" i="1"/>
  <c r="BG7" i="1"/>
  <c r="BB7" i="1"/>
  <c r="BA7" i="1"/>
  <c r="AV7" i="1"/>
  <c r="AU7" i="1"/>
  <c r="AP7" i="1"/>
  <c r="AO7" i="1"/>
  <c r="AJ7" i="1"/>
  <c r="AI7" i="1"/>
  <c r="AD7" i="1"/>
  <c r="AC7" i="1"/>
  <c r="X7" i="1"/>
  <c r="W7" i="1"/>
  <c r="R7" i="1"/>
  <c r="Q7" i="1"/>
  <c r="CM6" i="1"/>
  <c r="CL6" i="1"/>
  <c r="CK6" i="1"/>
  <c r="CJ6" i="1"/>
  <c r="CI6" i="1"/>
  <c r="CH6" i="1"/>
  <c r="CF6" i="1"/>
  <c r="CE6" i="1"/>
  <c r="BZ6" i="1"/>
  <c r="BY6" i="1"/>
  <c r="BT6" i="1"/>
  <c r="BS6" i="1"/>
  <c r="BN6" i="1"/>
  <c r="BM6" i="1"/>
  <c r="BH6" i="1"/>
  <c r="BG6" i="1"/>
  <c r="BB6" i="1"/>
  <c r="BA6" i="1"/>
  <c r="AV6" i="1"/>
  <c r="AU6" i="1"/>
  <c r="AP6" i="1"/>
  <c r="AO6" i="1"/>
  <c r="AJ6" i="1"/>
  <c r="AI6" i="1"/>
  <c r="AD6" i="1"/>
  <c r="AC6" i="1"/>
  <c r="X6" i="1"/>
  <c r="W6" i="1"/>
  <c r="R6" i="1"/>
  <c r="Q6" i="1"/>
  <c r="CJ5" i="1"/>
  <c r="CL5" i="1" s="1"/>
  <c r="CI5" i="1"/>
  <c r="CH5" i="1"/>
  <c r="CM5" i="1"/>
  <c r="CF5" i="1"/>
  <c r="CE5" i="1"/>
  <c r="BZ5" i="1"/>
  <c r="BY5" i="1"/>
  <c r="BT5" i="1"/>
  <c r="BS5" i="1"/>
  <c r="BN5" i="1"/>
  <c r="BM5" i="1"/>
  <c r="BH5" i="1"/>
  <c r="BG5" i="1"/>
  <c r="BB5" i="1"/>
  <c r="BA5" i="1"/>
  <c r="AV5" i="1"/>
  <c r="AU5" i="1"/>
  <c r="AP5" i="1"/>
  <c r="AO5" i="1"/>
  <c r="AJ5" i="1"/>
  <c r="AI5" i="1"/>
  <c r="AD5" i="1"/>
  <c r="AC5" i="1"/>
  <c r="X5" i="1"/>
  <c r="W5" i="1"/>
  <c r="R5" i="1"/>
  <c r="Q5" i="1"/>
  <c r="CJ4" i="1"/>
  <c r="CL4" i="1" s="1"/>
  <c r="CI4" i="1"/>
  <c r="CH4" i="1"/>
  <c r="CM4" i="1"/>
  <c r="CF4" i="1"/>
  <c r="CE4" i="1"/>
  <c r="BZ4" i="1"/>
  <c r="BY4" i="1"/>
  <c r="BT4" i="1"/>
  <c r="BS4" i="1"/>
  <c r="BN4" i="1"/>
  <c r="BM4" i="1"/>
  <c r="BH4" i="1"/>
  <c r="BG4" i="1"/>
  <c r="BB4" i="1"/>
  <c r="BA4" i="1"/>
  <c r="AV4" i="1"/>
  <c r="AU4" i="1"/>
  <c r="AP4" i="1"/>
  <c r="AO4" i="1"/>
  <c r="AJ4" i="1"/>
  <c r="AI4" i="1"/>
  <c r="AD4" i="1"/>
  <c r="AC4" i="1"/>
  <c r="X4" i="1"/>
  <c r="W4" i="1"/>
  <c r="R4" i="1"/>
  <c r="Q4" i="1"/>
  <c r="CM3" i="1"/>
  <c r="CK3" i="1"/>
  <c r="CJ3" i="1"/>
  <c r="CL3" i="1" s="1"/>
  <c r="CI3" i="1"/>
  <c r="CI63" i="1" s="1"/>
  <c r="CH3" i="1"/>
  <c r="CH63" i="1" s="1"/>
  <c r="CF3" i="1"/>
  <c r="CE3" i="1"/>
  <c r="BZ3" i="1"/>
  <c r="BY3" i="1"/>
  <c r="BT3" i="1"/>
  <c r="BS3" i="1"/>
  <c r="BN3" i="1"/>
  <c r="BM3" i="1"/>
  <c r="BH3" i="1"/>
  <c r="BG3" i="1"/>
  <c r="BB3" i="1"/>
  <c r="BA3" i="1"/>
  <c r="AV3" i="1"/>
  <c r="AU3" i="1"/>
  <c r="AP3" i="1"/>
  <c r="AO3" i="1"/>
  <c r="AJ3" i="1"/>
  <c r="AI3" i="1"/>
  <c r="AD3" i="1"/>
  <c r="AC3" i="1"/>
  <c r="X3" i="1"/>
  <c r="W3" i="1"/>
  <c r="R3" i="1"/>
  <c r="Q3" i="1"/>
  <c r="CL63" i="1" l="1"/>
  <c r="CL133" i="1"/>
  <c r="CJ133" i="1"/>
  <c r="CK8" i="1"/>
  <c r="CK16" i="1"/>
  <c r="CK24" i="1"/>
  <c r="CK32" i="1"/>
  <c r="CK40" i="1"/>
  <c r="CK48" i="1"/>
  <c r="CK56" i="1"/>
  <c r="CK61" i="1"/>
  <c r="CK70" i="1"/>
  <c r="CK78" i="1"/>
  <c r="CK86" i="1"/>
  <c r="CK94" i="1"/>
  <c r="CK102" i="1"/>
  <c r="CK110" i="1"/>
  <c r="CK118" i="1"/>
  <c r="CK126" i="1"/>
  <c r="CK7" i="1"/>
  <c r="CK15" i="1"/>
  <c r="CK23" i="1"/>
  <c r="CK31" i="1"/>
  <c r="CK39" i="1"/>
  <c r="CK47" i="1"/>
  <c r="CK55" i="1"/>
  <c r="CK69" i="1"/>
  <c r="CK77" i="1"/>
  <c r="CK85" i="1"/>
  <c r="CK5" i="1"/>
  <c r="CK67" i="1"/>
  <c r="CK75" i="1"/>
  <c r="CK83" i="1"/>
  <c r="CK91" i="1"/>
  <c r="CK99" i="1"/>
  <c r="CK107" i="1"/>
  <c r="CK115" i="1"/>
  <c r="CK123" i="1"/>
  <c r="CK131" i="1"/>
  <c r="CK4" i="1"/>
  <c r="CK63" i="1" s="1"/>
  <c r="CK12" i="1"/>
  <c r="CK20" i="1"/>
  <c r="CK28" i="1"/>
  <c r="CK36" i="1"/>
  <c r="CK44" i="1"/>
  <c r="CK52" i="1"/>
  <c r="CJ63" i="1"/>
  <c r="CK74" i="1"/>
  <c r="CK82" i="1"/>
  <c r="CK90" i="1"/>
  <c r="CK98" i="1"/>
  <c r="CK106" i="1"/>
  <c r="CK114" i="1"/>
  <c r="CK122" i="1"/>
  <c r="CK130" i="1"/>
  <c r="CK133" i="1" l="1"/>
</calcChain>
</file>

<file path=xl/sharedStrings.xml><?xml version="1.0" encoding="utf-8"?>
<sst xmlns="http://schemas.openxmlformats.org/spreadsheetml/2006/main" count="602" uniqueCount="155">
  <si>
    <t>2022 Monthly Mean</t>
  </si>
  <si>
    <t>2023 Monthly Mean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</si>
  <si>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</si>
  <si>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</si>
  <si>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</si>
  <si>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</si>
  <si>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</si>
  <si>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</si>
  <si>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</si>
  <si>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</si>
  <si>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</si>
  <si>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</si>
  <si>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</si>
  <si>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</si>
  <si>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Monthly Mean</t>
  </si>
  <si>
    <t>Avarage monthly produced length
(m)</t>
  </si>
  <si>
    <t>Avarage
monthly produced amount
(kg)</t>
  </si>
  <si>
    <t>Total realized shift  quantity</t>
  </si>
  <si>
    <t>Av. pro. per day (m)</t>
  </si>
  <si>
    <t>Av. pro. per day (kg)</t>
  </si>
  <si>
    <t>Av. diameter
(mm)</t>
  </si>
  <si>
    <t>Monthly produced length
(m)</t>
  </si>
  <si>
    <t>Monthly produced amount
(kg)</t>
  </si>
  <si>
    <t>Realized shift  quantity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</si>
  <si>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</si>
  <si>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</si>
  <si>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</si>
  <si>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</si>
  <si>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</si>
  <si>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</si>
  <si>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</si>
  <si>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</si>
  <si>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</si>
  <si>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</si>
  <si>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M321</t>
  </si>
  <si>
    <t>M322</t>
  </si>
  <si>
    <t>M323</t>
  </si>
  <si>
    <t>M324</t>
  </si>
  <si>
    <t>M323 - M324</t>
  </si>
  <si>
    <t>M325</t>
  </si>
  <si>
    <t>M326</t>
  </si>
  <si>
    <t>M327</t>
  </si>
  <si>
    <t>M328</t>
  </si>
  <si>
    <t>M330</t>
  </si>
  <si>
    <t>M331</t>
  </si>
  <si>
    <t>M332</t>
  </si>
  <si>
    <t>M349</t>
  </si>
  <si>
    <t>M350</t>
  </si>
  <si>
    <t>M351</t>
  </si>
  <si>
    <t>M350 - M351</t>
  </si>
  <si>
    <t>M354</t>
  </si>
  <si>
    <t xml:space="preserve"> </t>
  </si>
  <si>
    <t>M355</t>
  </si>
  <si>
    <t>M354 - M355</t>
  </si>
  <si>
    <t>M356</t>
  </si>
  <si>
    <t>M359</t>
  </si>
  <si>
    <t>M391</t>
  </si>
  <si>
    <t>M394</t>
  </si>
  <si>
    <t>M395</t>
  </si>
  <si>
    <t>M396</t>
  </si>
  <si>
    <t>M395 - 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</si>
  <si>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</si>
  <si>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</si>
  <si>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</si>
  <si>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</si>
  <si>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</si>
  <si>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</si>
  <si>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</si>
  <si>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</si>
  <si>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</si>
  <si>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M456</t>
  </si>
  <si>
    <t>M491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</si>
  <si>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</si>
  <si>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</si>
  <si>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</si>
  <si>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</si>
  <si>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</si>
  <si>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</si>
  <si>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</si>
  <si>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</si>
  <si>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</si>
  <si>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</si>
  <si>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</si>
  <si>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</si>
  <si>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</si>
  <si>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Toplam</t>
  </si>
  <si>
    <t>M101</t>
  </si>
  <si>
    <t>M102</t>
  </si>
  <si>
    <t>M103</t>
  </si>
  <si>
    <t>M104</t>
  </si>
  <si>
    <t>M105</t>
  </si>
  <si>
    <t>M106</t>
  </si>
  <si>
    <t>M108</t>
  </si>
  <si>
    <t>M109</t>
  </si>
  <si>
    <t>M116</t>
  </si>
  <si>
    <t>M113</t>
  </si>
  <si>
    <t>M114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</si>
  <si>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</si>
  <si>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</si>
  <si>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</si>
  <si>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</si>
  <si>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</si>
  <si>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</si>
  <si>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</si>
  <si>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</si>
  <si>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</si>
  <si>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</si>
  <si>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</si>
  <si>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</si>
  <si>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</si>
  <si>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</si>
  <si>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</si>
  <si>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</si>
  <si>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M156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</si>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</sst>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3" fontId="2" fillId="2" borderId="0" xfId="1" applyNumberFormat="1" applyFont="1" applyFill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3" fillId="0" borderId="0" xfId="1" applyAlignment="1">
      <alignment vertical="center"/>
    </xf>
    <xf numFmtId="49" fontId="2" fillId="0" borderId="0" xfId="1" applyNumberFormat="1" applyFont="1" applyAlignment="1">
      <alignment horizontal="center"/>
    </xf>
    <xf numFmtId="3" fontId="3" fillId="2" borderId="0" xfId="1" applyNumberFormat="1" applyFill="1"/>
    <xf numFmtId="3" fontId="3" fillId="3" borderId="0" xfId="1" applyNumberFormat="1" applyFill="1"/>
    <xf numFmtId="2" fontId="3" fillId="3" borderId="0" xfId="1" applyNumberFormat="1" applyFill="1"/>
    <xf numFmtId="3" fontId="3" fillId="0" borderId="0" xfId="1" applyNumberFormat="1"/>
    <xf numFmtId="3" fontId="3" fillId="4" borderId="0" xfId="1" applyNumberFormat="1" applyFill="1"/>
    <xf numFmtId="4" fontId="3" fillId="4" borderId="0" xfId="1" applyNumberFormat="1" applyFill="1"/>
    <xf numFmtId="3" fontId="2" fillId="2" borderId="0" xfId="1" applyNumberFormat="1" applyFont="1" applyFill="1"/>
    <xf numFmtId="2" fontId="3" fillId="2" borderId="0" xfId="1" applyNumberFormat="1" applyFill="1"/>
    <xf numFmtId="0" fontId="2" fillId="0" borderId="0" xfId="1" applyFont="1"/>
    <xf numFmtId="0" fontId="3" fillId="0" borderId="0" xfId="1" applyAlignment="1">
      <alignment horizontal="center"/>
    </xf>
    <xf numFmtId="9" fontId="3" fillId="0" borderId="0" xfId="2" applyFont="1" applyFill="1"/>
    <xf numFmtId="2" fontId="3" fillId="0" borderId="0" xfId="2" applyNumberFormat="1" applyFont="1" applyFill="1"/>
    <xf numFmtId="2" fontId="1" fillId="2" borderId="0" xfId="1" applyNumberFormat="1" applyFont="1" applyFill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2" fontId="2" fillId="2" borderId="0" xfId="2" applyNumberFormat="1" applyFont="1" applyFill="1"/>
    <xf numFmtId="3" fontId="2" fillId="2" borderId="0" xfId="2" applyNumberFormat="1" applyFont="1" applyFill="1" applyBorder="1"/>
    <xf numFmtId="9" fontId="2" fillId="2" borderId="0" xfId="2" applyFont="1" applyFill="1"/>
    <xf numFmtId="3" fontId="2" fillId="2" borderId="0" xfId="2" applyNumberFormat="1" applyFont="1" applyFill="1"/>
    <xf numFmtId="0" fontId="2" fillId="2" borderId="0" xfId="1" applyFont="1" applyFill="1" applyAlignment="1">
      <alignment horizontal="center"/>
    </xf>
    <xf numFmtId="3" fontId="2" fillId="2" borderId="0" xfId="1" applyNumberFormat="1" applyFont="1" applyFill="1" applyAlignment="1">
      <alignment horizontal="center"/>
    </xf>
  </cellXfs>
  <cellStyles count="3">
    <cellStyle name="Normal" xfId="0" builtinId="0"/>
    <cellStyle name="Normal 2" xfId="1" xr:uid="{54E630F8-1119-49C1-96CD-67D14AC27434}"/>
    <cellStyle name="Yüzde 2" xfId="2" xr:uid="{84D3FCC6-BF51-44C7-A8B3-68B6CBCF5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3A2-38AA-49CC-85C8-C1C6DC7EE1FA}">
  <sheetPr>
    <tabColor theme="9" tint="0.79998168889431442"/>
  </sheetPr>
  <dimension ref="A1:CP146"/>
  <sheetViews>
    <sheetView showGridLines="0"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12.109375" style="18" bestFit="1" customWidth="1"/>
    <col min="2" max="2" width="11.109375" style="4" bestFit="1" customWidth="1"/>
    <col min="3" max="7" width="9.77734375" style="4" customWidth="1"/>
    <col min="8" max="8" width="11.88671875" style="4" bestFit="1" customWidth="1"/>
    <col min="9" max="13" width="9.77734375" style="4" customWidth="1"/>
    <col min="14" max="14" width="11.109375" style="4" bestFit="1" customWidth="1"/>
    <col min="15" max="19" width="9.77734375" style="4" customWidth="1"/>
    <col min="20" max="20" width="11.109375" style="4" customWidth="1"/>
    <col min="21" max="25" width="9.77734375" style="4" customWidth="1"/>
    <col min="26" max="26" width="11.109375" style="4" customWidth="1"/>
    <col min="27" max="31" width="9.77734375" style="4" customWidth="1"/>
    <col min="32" max="32" width="11.109375" style="4" customWidth="1"/>
    <col min="33" max="37" width="9.77734375" style="4" customWidth="1"/>
    <col min="38" max="38" width="11.109375" style="4" customWidth="1"/>
    <col min="39" max="43" width="9.77734375" style="4" customWidth="1"/>
    <col min="44" max="44" width="11.109375" style="4" customWidth="1"/>
    <col min="45" max="49" width="9.77734375" style="4" customWidth="1"/>
    <col min="50" max="50" width="11.109375" style="4" customWidth="1"/>
    <col min="51" max="55" width="9.77734375" style="4" customWidth="1"/>
    <col min="56" max="56" width="11.109375" style="4" customWidth="1"/>
    <col min="57" max="61" width="9.77734375" style="4" customWidth="1"/>
    <col min="62" max="62" width="11.109375" style="4" customWidth="1"/>
    <col min="63" max="67" width="9.77734375" style="4" customWidth="1"/>
    <col min="68" max="68" width="11.109375" style="4" customWidth="1"/>
    <col min="69" max="73" width="9.77734375" style="4" customWidth="1"/>
    <col min="74" max="74" width="11.109375" style="4" customWidth="1"/>
    <col min="75" max="79" width="9.77734375" style="4" customWidth="1"/>
    <col min="80" max="80" width="11.109375" style="12" customWidth="1"/>
    <col min="81" max="81" width="9.77734375" style="12" customWidth="1"/>
    <col min="82" max="85" width="9.77734375" style="4" customWidth="1"/>
    <col min="86" max="86" width="11.109375" style="4" customWidth="1"/>
    <col min="87" max="91" width="9.77734375" style="4" customWidth="1"/>
    <col min="92" max="257" width="8.88671875" style="4"/>
    <col min="258" max="258" width="12.109375" style="4" bestFit="1" customWidth="1"/>
    <col min="259" max="259" width="11.109375" style="4" bestFit="1" customWidth="1"/>
    <col min="260" max="269" width="9.77734375" style="4" customWidth="1"/>
    <col min="270" max="270" width="11.109375" style="4" bestFit="1" customWidth="1"/>
    <col min="271" max="275" width="9.77734375" style="4" customWidth="1"/>
    <col min="276" max="276" width="11.109375" style="4" customWidth="1"/>
    <col min="277" max="281" width="9.77734375" style="4" customWidth="1"/>
    <col min="282" max="282" width="11.109375" style="4" customWidth="1"/>
    <col min="283" max="287" width="9.77734375" style="4" customWidth="1"/>
    <col min="288" max="288" width="11.109375" style="4" customWidth="1"/>
    <col min="289" max="293" width="9.77734375" style="4" customWidth="1"/>
    <col min="294" max="294" width="11.109375" style="4" customWidth="1"/>
    <col min="295" max="299" width="9.77734375" style="4" customWidth="1"/>
    <col min="300" max="300" width="11.109375" style="4" customWidth="1"/>
    <col min="301" max="305" width="9.77734375" style="4" customWidth="1"/>
    <col min="306" max="306" width="11.109375" style="4" customWidth="1"/>
    <col min="307" max="311" width="9.77734375" style="4" customWidth="1"/>
    <col min="312" max="312" width="11.109375" style="4" customWidth="1"/>
    <col min="313" max="317" width="9.77734375" style="4" customWidth="1"/>
    <col min="318" max="318" width="11.109375" style="4" customWidth="1"/>
    <col min="319" max="323" width="9.77734375" style="4" customWidth="1"/>
    <col min="324" max="324" width="11.109375" style="4" customWidth="1"/>
    <col min="325" max="329" width="9.77734375" style="4" customWidth="1"/>
    <col min="330" max="330" width="11.109375" style="4" customWidth="1"/>
    <col min="331" max="335" width="9.77734375" style="4" customWidth="1"/>
    <col min="336" max="336" width="11.109375" style="4" customWidth="1"/>
    <col min="337" max="341" width="9.77734375" style="4" customWidth="1"/>
    <col min="342" max="342" width="11.109375" style="4" customWidth="1"/>
    <col min="343" max="347" width="9.77734375" style="4" customWidth="1"/>
    <col min="348" max="513" width="8.88671875" style="4"/>
    <col min="514" max="514" width="12.109375" style="4" bestFit="1" customWidth="1"/>
    <col min="515" max="515" width="11.109375" style="4" bestFit="1" customWidth="1"/>
    <col min="516" max="525" width="9.77734375" style="4" customWidth="1"/>
    <col min="526" max="526" width="11.109375" style="4" bestFit="1" customWidth="1"/>
    <col min="527" max="531" width="9.77734375" style="4" customWidth="1"/>
    <col min="532" max="532" width="11.109375" style="4" customWidth="1"/>
    <col min="533" max="537" width="9.77734375" style="4" customWidth="1"/>
    <col min="538" max="538" width="11.109375" style="4" customWidth="1"/>
    <col min="539" max="543" width="9.77734375" style="4" customWidth="1"/>
    <col min="544" max="544" width="11.109375" style="4" customWidth="1"/>
    <col min="545" max="549" width="9.77734375" style="4" customWidth="1"/>
    <col min="550" max="550" width="11.109375" style="4" customWidth="1"/>
    <col min="551" max="555" width="9.77734375" style="4" customWidth="1"/>
    <col min="556" max="556" width="11.109375" style="4" customWidth="1"/>
    <col min="557" max="561" width="9.77734375" style="4" customWidth="1"/>
    <col min="562" max="562" width="11.109375" style="4" customWidth="1"/>
    <col min="563" max="567" width="9.77734375" style="4" customWidth="1"/>
    <col min="568" max="568" width="11.109375" style="4" customWidth="1"/>
    <col min="569" max="573" width="9.77734375" style="4" customWidth="1"/>
    <col min="574" max="574" width="11.109375" style="4" customWidth="1"/>
    <col min="575" max="579" width="9.77734375" style="4" customWidth="1"/>
    <col min="580" max="580" width="11.109375" style="4" customWidth="1"/>
    <col min="581" max="585" width="9.77734375" style="4" customWidth="1"/>
    <col min="586" max="586" width="11.109375" style="4" customWidth="1"/>
    <col min="587" max="591" width="9.77734375" style="4" customWidth="1"/>
    <col min="592" max="592" width="11.109375" style="4" customWidth="1"/>
    <col min="593" max="597" width="9.77734375" style="4" customWidth="1"/>
    <col min="598" max="598" width="11.109375" style="4" customWidth="1"/>
    <col min="599" max="603" width="9.77734375" style="4" customWidth="1"/>
    <col min="604" max="769" width="8.88671875" style="4"/>
    <col min="770" max="770" width="12.109375" style="4" bestFit="1" customWidth="1"/>
    <col min="771" max="771" width="11.109375" style="4" bestFit="1" customWidth="1"/>
    <col min="772" max="781" width="9.77734375" style="4" customWidth="1"/>
    <col min="782" max="782" width="11.109375" style="4" bestFit="1" customWidth="1"/>
    <col min="783" max="787" width="9.77734375" style="4" customWidth="1"/>
    <col min="788" max="788" width="11.109375" style="4" customWidth="1"/>
    <col min="789" max="793" width="9.77734375" style="4" customWidth="1"/>
    <col min="794" max="794" width="11.109375" style="4" customWidth="1"/>
    <col min="795" max="799" width="9.77734375" style="4" customWidth="1"/>
    <col min="800" max="800" width="11.109375" style="4" customWidth="1"/>
    <col min="801" max="805" width="9.77734375" style="4" customWidth="1"/>
    <col min="806" max="806" width="11.109375" style="4" customWidth="1"/>
    <col min="807" max="811" width="9.77734375" style="4" customWidth="1"/>
    <col min="812" max="812" width="11.109375" style="4" customWidth="1"/>
    <col min="813" max="817" width="9.77734375" style="4" customWidth="1"/>
    <col min="818" max="818" width="11.109375" style="4" customWidth="1"/>
    <col min="819" max="823" width="9.77734375" style="4" customWidth="1"/>
    <col min="824" max="824" width="11.109375" style="4" customWidth="1"/>
    <col min="825" max="829" width="9.77734375" style="4" customWidth="1"/>
    <col min="830" max="830" width="11.109375" style="4" customWidth="1"/>
    <col min="831" max="835" width="9.77734375" style="4" customWidth="1"/>
    <col min="836" max="836" width="11.109375" style="4" customWidth="1"/>
    <col min="837" max="841" width="9.77734375" style="4" customWidth="1"/>
    <col min="842" max="842" width="11.109375" style="4" customWidth="1"/>
    <col min="843" max="847" width="9.77734375" style="4" customWidth="1"/>
    <col min="848" max="848" width="11.109375" style="4" customWidth="1"/>
    <col min="849" max="853" width="9.77734375" style="4" customWidth="1"/>
    <col min="854" max="854" width="11.109375" style="4" customWidth="1"/>
    <col min="855" max="859" width="9.77734375" style="4" customWidth="1"/>
    <col min="860" max="1025" width="8.88671875" style="4"/>
    <col min="1026" max="1026" width="12.109375" style="4" bestFit="1" customWidth="1"/>
    <col min="1027" max="1027" width="11.109375" style="4" bestFit="1" customWidth="1"/>
    <col min="1028" max="1037" width="9.77734375" style="4" customWidth="1"/>
    <col min="1038" max="1038" width="11.109375" style="4" bestFit="1" customWidth="1"/>
    <col min="1039" max="1043" width="9.77734375" style="4" customWidth="1"/>
    <col min="1044" max="1044" width="11.109375" style="4" customWidth="1"/>
    <col min="1045" max="1049" width="9.77734375" style="4" customWidth="1"/>
    <col min="1050" max="1050" width="11.109375" style="4" customWidth="1"/>
    <col min="1051" max="1055" width="9.77734375" style="4" customWidth="1"/>
    <col min="1056" max="1056" width="11.109375" style="4" customWidth="1"/>
    <col min="1057" max="1061" width="9.77734375" style="4" customWidth="1"/>
    <col min="1062" max="1062" width="11.109375" style="4" customWidth="1"/>
    <col min="1063" max="1067" width="9.77734375" style="4" customWidth="1"/>
    <col min="1068" max="1068" width="11.109375" style="4" customWidth="1"/>
    <col min="1069" max="1073" width="9.77734375" style="4" customWidth="1"/>
    <col min="1074" max="1074" width="11.109375" style="4" customWidth="1"/>
    <col min="1075" max="1079" width="9.77734375" style="4" customWidth="1"/>
    <col min="1080" max="1080" width="11.109375" style="4" customWidth="1"/>
    <col min="1081" max="1085" width="9.77734375" style="4" customWidth="1"/>
    <col min="1086" max="1086" width="11.109375" style="4" customWidth="1"/>
    <col min="1087" max="1091" width="9.77734375" style="4" customWidth="1"/>
    <col min="1092" max="1092" width="11.109375" style="4" customWidth="1"/>
    <col min="1093" max="1097" width="9.77734375" style="4" customWidth="1"/>
    <col min="1098" max="1098" width="11.109375" style="4" customWidth="1"/>
    <col min="1099" max="1103" width="9.77734375" style="4" customWidth="1"/>
    <col min="1104" max="1104" width="11.109375" style="4" customWidth="1"/>
    <col min="1105" max="1109" width="9.77734375" style="4" customWidth="1"/>
    <col min="1110" max="1110" width="11.109375" style="4" customWidth="1"/>
    <col min="1111" max="1115" width="9.77734375" style="4" customWidth="1"/>
    <col min="1116" max="1281" width="8.88671875" style="4"/>
    <col min="1282" max="1282" width="12.109375" style="4" bestFit="1" customWidth="1"/>
    <col min="1283" max="1283" width="11.109375" style="4" bestFit="1" customWidth="1"/>
    <col min="1284" max="1293" width="9.77734375" style="4" customWidth="1"/>
    <col min="1294" max="1294" width="11.109375" style="4" bestFit="1" customWidth="1"/>
    <col min="1295" max="1299" width="9.77734375" style="4" customWidth="1"/>
    <col min="1300" max="1300" width="11.109375" style="4" customWidth="1"/>
    <col min="1301" max="1305" width="9.77734375" style="4" customWidth="1"/>
    <col min="1306" max="1306" width="11.109375" style="4" customWidth="1"/>
    <col min="1307" max="1311" width="9.77734375" style="4" customWidth="1"/>
    <col min="1312" max="1312" width="11.109375" style="4" customWidth="1"/>
    <col min="1313" max="1317" width="9.77734375" style="4" customWidth="1"/>
    <col min="1318" max="1318" width="11.109375" style="4" customWidth="1"/>
    <col min="1319" max="1323" width="9.77734375" style="4" customWidth="1"/>
    <col min="1324" max="1324" width="11.109375" style="4" customWidth="1"/>
    <col min="1325" max="1329" width="9.77734375" style="4" customWidth="1"/>
    <col min="1330" max="1330" width="11.109375" style="4" customWidth="1"/>
    <col min="1331" max="1335" width="9.77734375" style="4" customWidth="1"/>
    <col min="1336" max="1336" width="11.109375" style="4" customWidth="1"/>
    <col min="1337" max="1341" width="9.77734375" style="4" customWidth="1"/>
    <col min="1342" max="1342" width="11.109375" style="4" customWidth="1"/>
    <col min="1343" max="1347" width="9.77734375" style="4" customWidth="1"/>
    <col min="1348" max="1348" width="11.109375" style="4" customWidth="1"/>
    <col min="1349" max="1353" width="9.77734375" style="4" customWidth="1"/>
    <col min="1354" max="1354" width="11.109375" style="4" customWidth="1"/>
    <col min="1355" max="1359" width="9.77734375" style="4" customWidth="1"/>
    <col min="1360" max="1360" width="11.109375" style="4" customWidth="1"/>
    <col min="1361" max="1365" width="9.77734375" style="4" customWidth="1"/>
    <col min="1366" max="1366" width="11.109375" style="4" customWidth="1"/>
    <col min="1367" max="1371" width="9.77734375" style="4" customWidth="1"/>
    <col min="1372" max="1537" width="8.88671875" style="4"/>
    <col min="1538" max="1538" width="12.109375" style="4" bestFit="1" customWidth="1"/>
    <col min="1539" max="1539" width="11.109375" style="4" bestFit="1" customWidth="1"/>
    <col min="1540" max="1549" width="9.77734375" style="4" customWidth="1"/>
    <col min="1550" max="1550" width="11.109375" style="4" bestFit="1" customWidth="1"/>
    <col min="1551" max="1555" width="9.77734375" style="4" customWidth="1"/>
    <col min="1556" max="1556" width="11.109375" style="4" customWidth="1"/>
    <col min="1557" max="1561" width="9.77734375" style="4" customWidth="1"/>
    <col min="1562" max="1562" width="11.109375" style="4" customWidth="1"/>
    <col min="1563" max="1567" width="9.77734375" style="4" customWidth="1"/>
    <col min="1568" max="1568" width="11.109375" style="4" customWidth="1"/>
    <col min="1569" max="1573" width="9.77734375" style="4" customWidth="1"/>
    <col min="1574" max="1574" width="11.109375" style="4" customWidth="1"/>
    <col min="1575" max="1579" width="9.77734375" style="4" customWidth="1"/>
    <col min="1580" max="1580" width="11.109375" style="4" customWidth="1"/>
    <col min="1581" max="1585" width="9.77734375" style="4" customWidth="1"/>
    <col min="1586" max="1586" width="11.109375" style="4" customWidth="1"/>
    <col min="1587" max="1591" width="9.77734375" style="4" customWidth="1"/>
    <col min="1592" max="1592" width="11.109375" style="4" customWidth="1"/>
    <col min="1593" max="1597" width="9.77734375" style="4" customWidth="1"/>
    <col min="1598" max="1598" width="11.109375" style="4" customWidth="1"/>
    <col min="1599" max="1603" width="9.77734375" style="4" customWidth="1"/>
    <col min="1604" max="1604" width="11.109375" style="4" customWidth="1"/>
    <col min="1605" max="1609" width="9.77734375" style="4" customWidth="1"/>
    <col min="1610" max="1610" width="11.109375" style="4" customWidth="1"/>
    <col min="1611" max="1615" width="9.77734375" style="4" customWidth="1"/>
    <col min="1616" max="1616" width="11.109375" style="4" customWidth="1"/>
    <col min="1617" max="1621" width="9.77734375" style="4" customWidth="1"/>
    <col min="1622" max="1622" width="11.109375" style="4" customWidth="1"/>
    <col min="1623" max="1627" width="9.77734375" style="4" customWidth="1"/>
    <col min="1628" max="1793" width="8.88671875" style="4"/>
    <col min="1794" max="1794" width="12.109375" style="4" bestFit="1" customWidth="1"/>
    <col min="1795" max="1795" width="11.109375" style="4" bestFit="1" customWidth="1"/>
    <col min="1796" max="1805" width="9.77734375" style="4" customWidth="1"/>
    <col min="1806" max="1806" width="11.109375" style="4" bestFit="1" customWidth="1"/>
    <col min="1807" max="1811" width="9.77734375" style="4" customWidth="1"/>
    <col min="1812" max="1812" width="11.109375" style="4" customWidth="1"/>
    <col min="1813" max="1817" width="9.77734375" style="4" customWidth="1"/>
    <col min="1818" max="1818" width="11.109375" style="4" customWidth="1"/>
    <col min="1819" max="1823" width="9.77734375" style="4" customWidth="1"/>
    <col min="1824" max="1824" width="11.109375" style="4" customWidth="1"/>
    <col min="1825" max="1829" width="9.77734375" style="4" customWidth="1"/>
    <col min="1830" max="1830" width="11.109375" style="4" customWidth="1"/>
    <col min="1831" max="1835" width="9.77734375" style="4" customWidth="1"/>
    <col min="1836" max="1836" width="11.109375" style="4" customWidth="1"/>
    <col min="1837" max="1841" width="9.77734375" style="4" customWidth="1"/>
    <col min="1842" max="1842" width="11.109375" style="4" customWidth="1"/>
    <col min="1843" max="1847" width="9.77734375" style="4" customWidth="1"/>
    <col min="1848" max="1848" width="11.109375" style="4" customWidth="1"/>
    <col min="1849" max="1853" width="9.77734375" style="4" customWidth="1"/>
    <col min="1854" max="1854" width="11.109375" style="4" customWidth="1"/>
    <col min="1855" max="1859" width="9.77734375" style="4" customWidth="1"/>
    <col min="1860" max="1860" width="11.109375" style="4" customWidth="1"/>
    <col min="1861" max="1865" width="9.77734375" style="4" customWidth="1"/>
    <col min="1866" max="1866" width="11.109375" style="4" customWidth="1"/>
    <col min="1867" max="1871" width="9.77734375" style="4" customWidth="1"/>
    <col min="1872" max="1872" width="11.109375" style="4" customWidth="1"/>
    <col min="1873" max="1877" width="9.77734375" style="4" customWidth="1"/>
    <col min="1878" max="1878" width="11.109375" style="4" customWidth="1"/>
    <col min="1879" max="1883" width="9.77734375" style="4" customWidth="1"/>
    <col min="1884" max="2049" width="8.88671875" style="4"/>
    <col min="2050" max="2050" width="12.109375" style="4" bestFit="1" customWidth="1"/>
    <col min="2051" max="2051" width="11.109375" style="4" bestFit="1" customWidth="1"/>
    <col min="2052" max="2061" width="9.77734375" style="4" customWidth="1"/>
    <col min="2062" max="2062" width="11.109375" style="4" bestFit="1" customWidth="1"/>
    <col min="2063" max="2067" width="9.77734375" style="4" customWidth="1"/>
    <col min="2068" max="2068" width="11.109375" style="4" customWidth="1"/>
    <col min="2069" max="2073" width="9.77734375" style="4" customWidth="1"/>
    <col min="2074" max="2074" width="11.109375" style="4" customWidth="1"/>
    <col min="2075" max="2079" width="9.77734375" style="4" customWidth="1"/>
    <col min="2080" max="2080" width="11.109375" style="4" customWidth="1"/>
    <col min="2081" max="2085" width="9.77734375" style="4" customWidth="1"/>
    <col min="2086" max="2086" width="11.109375" style="4" customWidth="1"/>
    <col min="2087" max="2091" width="9.77734375" style="4" customWidth="1"/>
    <col min="2092" max="2092" width="11.109375" style="4" customWidth="1"/>
    <col min="2093" max="2097" width="9.77734375" style="4" customWidth="1"/>
    <col min="2098" max="2098" width="11.109375" style="4" customWidth="1"/>
    <col min="2099" max="2103" width="9.77734375" style="4" customWidth="1"/>
    <col min="2104" max="2104" width="11.109375" style="4" customWidth="1"/>
    <col min="2105" max="2109" width="9.77734375" style="4" customWidth="1"/>
    <col min="2110" max="2110" width="11.109375" style="4" customWidth="1"/>
    <col min="2111" max="2115" width="9.77734375" style="4" customWidth="1"/>
    <col min="2116" max="2116" width="11.109375" style="4" customWidth="1"/>
    <col min="2117" max="2121" width="9.77734375" style="4" customWidth="1"/>
    <col min="2122" max="2122" width="11.109375" style="4" customWidth="1"/>
    <col min="2123" max="2127" width="9.77734375" style="4" customWidth="1"/>
    <col min="2128" max="2128" width="11.109375" style="4" customWidth="1"/>
    <col min="2129" max="2133" width="9.77734375" style="4" customWidth="1"/>
    <col min="2134" max="2134" width="11.109375" style="4" customWidth="1"/>
    <col min="2135" max="2139" width="9.77734375" style="4" customWidth="1"/>
    <col min="2140" max="2305" width="8.88671875" style="4"/>
    <col min="2306" max="2306" width="12.109375" style="4" bestFit="1" customWidth="1"/>
    <col min="2307" max="2307" width="11.109375" style="4" bestFit="1" customWidth="1"/>
    <col min="2308" max="2317" width="9.77734375" style="4" customWidth="1"/>
    <col min="2318" max="2318" width="11.109375" style="4" bestFit="1" customWidth="1"/>
    <col min="2319" max="2323" width="9.77734375" style="4" customWidth="1"/>
    <col min="2324" max="2324" width="11.109375" style="4" customWidth="1"/>
    <col min="2325" max="2329" width="9.77734375" style="4" customWidth="1"/>
    <col min="2330" max="2330" width="11.109375" style="4" customWidth="1"/>
    <col min="2331" max="2335" width="9.77734375" style="4" customWidth="1"/>
    <col min="2336" max="2336" width="11.109375" style="4" customWidth="1"/>
    <col min="2337" max="2341" width="9.77734375" style="4" customWidth="1"/>
    <col min="2342" max="2342" width="11.109375" style="4" customWidth="1"/>
    <col min="2343" max="2347" width="9.77734375" style="4" customWidth="1"/>
    <col min="2348" max="2348" width="11.109375" style="4" customWidth="1"/>
    <col min="2349" max="2353" width="9.77734375" style="4" customWidth="1"/>
    <col min="2354" max="2354" width="11.109375" style="4" customWidth="1"/>
    <col min="2355" max="2359" width="9.77734375" style="4" customWidth="1"/>
    <col min="2360" max="2360" width="11.109375" style="4" customWidth="1"/>
    <col min="2361" max="2365" width="9.77734375" style="4" customWidth="1"/>
    <col min="2366" max="2366" width="11.109375" style="4" customWidth="1"/>
    <col min="2367" max="2371" width="9.77734375" style="4" customWidth="1"/>
    <col min="2372" max="2372" width="11.109375" style="4" customWidth="1"/>
    <col min="2373" max="2377" width="9.77734375" style="4" customWidth="1"/>
    <col min="2378" max="2378" width="11.109375" style="4" customWidth="1"/>
    <col min="2379" max="2383" width="9.77734375" style="4" customWidth="1"/>
    <col min="2384" max="2384" width="11.109375" style="4" customWidth="1"/>
    <col min="2385" max="2389" width="9.77734375" style="4" customWidth="1"/>
    <col min="2390" max="2390" width="11.109375" style="4" customWidth="1"/>
    <col min="2391" max="2395" width="9.77734375" style="4" customWidth="1"/>
    <col min="2396" max="2561" width="8.88671875" style="4"/>
    <col min="2562" max="2562" width="12.109375" style="4" bestFit="1" customWidth="1"/>
    <col min="2563" max="2563" width="11.109375" style="4" bestFit="1" customWidth="1"/>
    <col min="2564" max="2573" width="9.77734375" style="4" customWidth="1"/>
    <col min="2574" max="2574" width="11.109375" style="4" bestFit="1" customWidth="1"/>
    <col min="2575" max="2579" width="9.77734375" style="4" customWidth="1"/>
    <col min="2580" max="2580" width="11.109375" style="4" customWidth="1"/>
    <col min="2581" max="2585" width="9.77734375" style="4" customWidth="1"/>
    <col min="2586" max="2586" width="11.109375" style="4" customWidth="1"/>
    <col min="2587" max="2591" width="9.77734375" style="4" customWidth="1"/>
    <col min="2592" max="2592" width="11.109375" style="4" customWidth="1"/>
    <col min="2593" max="2597" width="9.77734375" style="4" customWidth="1"/>
    <col min="2598" max="2598" width="11.109375" style="4" customWidth="1"/>
    <col min="2599" max="2603" width="9.77734375" style="4" customWidth="1"/>
    <col min="2604" max="2604" width="11.109375" style="4" customWidth="1"/>
    <col min="2605" max="2609" width="9.77734375" style="4" customWidth="1"/>
    <col min="2610" max="2610" width="11.109375" style="4" customWidth="1"/>
    <col min="2611" max="2615" width="9.77734375" style="4" customWidth="1"/>
    <col min="2616" max="2616" width="11.109375" style="4" customWidth="1"/>
    <col min="2617" max="2621" width="9.77734375" style="4" customWidth="1"/>
    <col min="2622" max="2622" width="11.109375" style="4" customWidth="1"/>
    <col min="2623" max="2627" width="9.77734375" style="4" customWidth="1"/>
    <col min="2628" max="2628" width="11.109375" style="4" customWidth="1"/>
    <col min="2629" max="2633" width="9.77734375" style="4" customWidth="1"/>
    <col min="2634" max="2634" width="11.109375" style="4" customWidth="1"/>
    <col min="2635" max="2639" width="9.77734375" style="4" customWidth="1"/>
    <col min="2640" max="2640" width="11.109375" style="4" customWidth="1"/>
    <col min="2641" max="2645" width="9.77734375" style="4" customWidth="1"/>
    <col min="2646" max="2646" width="11.109375" style="4" customWidth="1"/>
    <col min="2647" max="2651" width="9.77734375" style="4" customWidth="1"/>
    <col min="2652" max="2817" width="8.88671875" style="4"/>
    <col min="2818" max="2818" width="12.109375" style="4" bestFit="1" customWidth="1"/>
    <col min="2819" max="2819" width="11.109375" style="4" bestFit="1" customWidth="1"/>
    <col min="2820" max="2829" width="9.77734375" style="4" customWidth="1"/>
    <col min="2830" max="2830" width="11.109375" style="4" bestFit="1" customWidth="1"/>
    <col min="2831" max="2835" width="9.77734375" style="4" customWidth="1"/>
    <col min="2836" max="2836" width="11.109375" style="4" customWidth="1"/>
    <col min="2837" max="2841" width="9.77734375" style="4" customWidth="1"/>
    <col min="2842" max="2842" width="11.109375" style="4" customWidth="1"/>
    <col min="2843" max="2847" width="9.77734375" style="4" customWidth="1"/>
    <col min="2848" max="2848" width="11.109375" style="4" customWidth="1"/>
    <col min="2849" max="2853" width="9.77734375" style="4" customWidth="1"/>
    <col min="2854" max="2854" width="11.109375" style="4" customWidth="1"/>
    <col min="2855" max="2859" width="9.77734375" style="4" customWidth="1"/>
    <col min="2860" max="2860" width="11.109375" style="4" customWidth="1"/>
    <col min="2861" max="2865" width="9.77734375" style="4" customWidth="1"/>
    <col min="2866" max="2866" width="11.109375" style="4" customWidth="1"/>
    <col min="2867" max="2871" width="9.77734375" style="4" customWidth="1"/>
    <col min="2872" max="2872" width="11.109375" style="4" customWidth="1"/>
    <col min="2873" max="2877" width="9.77734375" style="4" customWidth="1"/>
    <col min="2878" max="2878" width="11.109375" style="4" customWidth="1"/>
    <col min="2879" max="2883" width="9.77734375" style="4" customWidth="1"/>
    <col min="2884" max="2884" width="11.109375" style="4" customWidth="1"/>
    <col min="2885" max="2889" width="9.77734375" style="4" customWidth="1"/>
    <col min="2890" max="2890" width="11.109375" style="4" customWidth="1"/>
    <col min="2891" max="2895" width="9.77734375" style="4" customWidth="1"/>
    <col min="2896" max="2896" width="11.109375" style="4" customWidth="1"/>
    <col min="2897" max="2901" width="9.77734375" style="4" customWidth="1"/>
    <col min="2902" max="2902" width="11.109375" style="4" customWidth="1"/>
    <col min="2903" max="2907" width="9.77734375" style="4" customWidth="1"/>
    <col min="2908" max="3073" width="8.88671875" style="4"/>
    <col min="3074" max="3074" width="12.109375" style="4" bestFit="1" customWidth="1"/>
    <col min="3075" max="3075" width="11.109375" style="4" bestFit="1" customWidth="1"/>
    <col min="3076" max="3085" width="9.77734375" style="4" customWidth="1"/>
    <col min="3086" max="3086" width="11.109375" style="4" bestFit="1" customWidth="1"/>
    <col min="3087" max="3091" width="9.77734375" style="4" customWidth="1"/>
    <col min="3092" max="3092" width="11.109375" style="4" customWidth="1"/>
    <col min="3093" max="3097" width="9.77734375" style="4" customWidth="1"/>
    <col min="3098" max="3098" width="11.109375" style="4" customWidth="1"/>
    <col min="3099" max="3103" width="9.77734375" style="4" customWidth="1"/>
    <col min="3104" max="3104" width="11.109375" style="4" customWidth="1"/>
    <col min="3105" max="3109" width="9.77734375" style="4" customWidth="1"/>
    <col min="3110" max="3110" width="11.109375" style="4" customWidth="1"/>
    <col min="3111" max="3115" width="9.77734375" style="4" customWidth="1"/>
    <col min="3116" max="3116" width="11.109375" style="4" customWidth="1"/>
    <col min="3117" max="3121" width="9.77734375" style="4" customWidth="1"/>
    <col min="3122" max="3122" width="11.109375" style="4" customWidth="1"/>
    <col min="3123" max="3127" width="9.77734375" style="4" customWidth="1"/>
    <col min="3128" max="3128" width="11.109375" style="4" customWidth="1"/>
    <col min="3129" max="3133" width="9.77734375" style="4" customWidth="1"/>
    <col min="3134" max="3134" width="11.109375" style="4" customWidth="1"/>
    <col min="3135" max="3139" width="9.77734375" style="4" customWidth="1"/>
    <col min="3140" max="3140" width="11.109375" style="4" customWidth="1"/>
    <col min="3141" max="3145" width="9.77734375" style="4" customWidth="1"/>
    <col min="3146" max="3146" width="11.109375" style="4" customWidth="1"/>
    <col min="3147" max="3151" width="9.77734375" style="4" customWidth="1"/>
    <col min="3152" max="3152" width="11.109375" style="4" customWidth="1"/>
    <col min="3153" max="3157" width="9.77734375" style="4" customWidth="1"/>
    <col min="3158" max="3158" width="11.109375" style="4" customWidth="1"/>
    <col min="3159" max="3163" width="9.77734375" style="4" customWidth="1"/>
    <col min="3164" max="3329" width="8.88671875" style="4"/>
    <col min="3330" max="3330" width="12.109375" style="4" bestFit="1" customWidth="1"/>
    <col min="3331" max="3331" width="11.109375" style="4" bestFit="1" customWidth="1"/>
    <col min="3332" max="3341" width="9.77734375" style="4" customWidth="1"/>
    <col min="3342" max="3342" width="11.109375" style="4" bestFit="1" customWidth="1"/>
    <col min="3343" max="3347" width="9.77734375" style="4" customWidth="1"/>
    <col min="3348" max="3348" width="11.109375" style="4" customWidth="1"/>
    <col min="3349" max="3353" width="9.77734375" style="4" customWidth="1"/>
    <col min="3354" max="3354" width="11.109375" style="4" customWidth="1"/>
    <col min="3355" max="3359" width="9.77734375" style="4" customWidth="1"/>
    <col min="3360" max="3360" width="11.109375" style="4" customWidth="1"/>
    <col min="3361" max="3365" width="9.77734375" style="4" customWidth="1"/>
    <col min="3366" max="3366" width="11.109375" style="4" customWidth="1"/>
    <col min="3367" max="3371" width="9.77734375" style="4" customWidth="1"/>
    <col min="3372" max="3372" width="11.109375" style="4" customWidth="1"/>
    <col min="3373" max="3377" width="9.77734375" style="4" customWidth="1"/>
    <col min="3378" max="3378" width="11.109375" style="4" customWidth="1"/>
    <col min="3379" max="3383" width="9.77734375" style="4" customWidth="1"/>
    <col min="3384" max="3384" width="11.109375" style="4" customWidth="1"/>
    <col min="3385" max="3389" width="9.77734375" style="4" customWidth="1"/>
    <col min="3390" max="3390" width="11.109375" style="4" customWidth="1"/>
    <col min="3391" max="3395" width="9.77734375" style="4" customWidth="1"/>
    <col min="3396" max="3396" width="11.109375" style="4" customWidth="1"/>
    <col min="3397" max="3401" width="9.77734375" style="4" customWidth="1"/>
    <col min="3402" max="3402" width="11.109375" style="4" customWidth="1"/>
    <col min="3403" max="3407" width="9.77734375" style="4" customWidth="1"/>
    <col min="3408" max="3408" width="11.109375" style="4" customWidth="1"/>
    <col min="3409" max="3413" width="9.77734375" style="4" customWidth="1"/>
    <col min="3414" max="3414" width="11.109375" style="4" customWidth="1"/>
    <col min="3415" max="3419" width="9.77734375" style="4" customWidth="1"/>
    <col min="3420" max="3585" width="8.88671875" style="4"/>
    <col min="3586" max="3586" width="12.109375" style="4" bestFit="1" customWidth="1"/>
    <col min="3587" max="3587" width="11.109375" style="4" bestFit="1" customWidth="1"/>
    <col min="3588" max="3597" width="9.77734375" style="4" customWidth="1"/>
    <col min="3598" max="3598" width="11.109375" style="4" bestFit="1" customWidth="1"/>
    <col min="3599" max="3603" width="9.77734375" style="4" customWidth="1"/>
    <col min="3604" max="3604" width="11.109375" style="4" customWidth="1"/>
    <col min="3605" max="3609" width="9.77734375" style="4" customWidth="1"/>
    <col min="3610" max="3610" width="11.109375" style="4" customWidth="1"/>
    <col min="3611" max="3615" width="9.77734375" style="4" customWidth="1"/>
    <col min="3616" max="3616" width="11.109375" style="4" customWidth="1"/>
    <col min="3617" max="3621" width="9.77734375" style="4" customWidth="1"/>
    <col min="3622" max="3622" width="11.109375" style="4" customWidth="1"/>
    <col min="3623" max="3627" width="9.77734375" style="4" customWidth="1"/>
    <col min="3628" max="3628" width="11.109375" style="4" customWidth="1"/>
    <col min="3629" max="3633" width="9.77734375" style="4" customWidth="1"/>
    <col min="3634" max="3634" width="11.109375" style="4" customWidth="1"/>
    <col min="3635" max="3639" width="9.77734375" style="4" customWidth="1"/>
    <col min="3640" max="3640" width="11.109375" style="4" customWidth="1"/>
    <col min="3641" max="3645" width="9.77734375" style="4" customWidth="1"/>
    <col min="3646" max="3646" width="11.109375" style="4" customWidth="1"/>
    <col min="3647" max="3651" width="9.77734375" style="4" customWidth="1"/>
    <col min="3652" max="3652" width="11.109375" style="4" customWidth="1"/>
    <col min="3653" max="3657" width="9.77734375" style="4" customWidth="1"/>
    <col min="3658" max="3658" width="11.109375" style="4" customWidth="1"/>
    <col min="3659" max="3663" width="9.77734375" style="4" customWidth="1"/>
    <col min="3664" max="3664" width="11.109375" style="4" customWidth="1"/>
    <col min="3665" max="3669" width="9.77734375" style="4" customWidth="1"/>
    <col min="3670" max="3670" width="11.109375" style="4" customWidth="1"/>
    <col min="3671" max="3675" width="9.77734375" style="4" customWidth="1"/>
    <col min="3676" max="3841" width="8.88671875" style="4"/>
    <col min="3842" max="3842" width="12.109375" style="4" bestFit="1" customWidth="1"/>
    <col min="3843" max="3843" width="11.109375" style="4" bestFit="1" customWidth="1"/>
    <col min="3844" max="3853" width="9.77734375" style="4" customWidth="1"/>
    <col min="3854" max="3854" width="11.109375" style="4" bestFit="1" customWidth="1"/>
    <col min="3855" max="3859" width="9.77734375" style="4" customWidth="1"/>
    <col min="3860" max="3860" width="11.109375" style="4" customWidth="1"/>
    <col min="3861" max="3865" width="9.77734375" style="4" customWidth="1"/>
    <col min="3866" max="3866" width="11.109375" style="4" customWidth="1"/>
    <col min="3867" max="3871" width="9.77734375" style="4" customWidth="1"/>
    <col min="3872" max="3872" width="11.109375" style="4" customWidth="1"/>
    <col min="3873" max="3877" width="9.77734375" style="4" customWidth="1"/>
    <col min="3878" max="3878" width="11.109375" style="4" customWidth="1"/>
    <col min="3879" max="3883" width="9.77734375" style="4" customWidth="1"/>
    <col min="3884" max="3884" width="11.109375" style="4" customWidth="1"/>
    <col min="3885" max="3889" width="9.77734375" style="4" customWidth="1"/>
    <col min="3890" max="3890" width="11.109375" style="4" customWidth="1"/>
    <col min="3891" max="3895" width="9.77734375" style="4" customWidth="1"/>
    <col min="3896" max="3896" width="11.109375" style="4" customWidth="1"/>
    <col min="3897" max="3901" width="9.77734375" style="4" customWidth="1"/>
    <col min="3902" max="3902" width="11.109375" style="4" customWidth="1"/>
    <col min="3903" max="3907" width="9.77734375" style="4" customWidth="1"/>
    <col min="3908" max="3908" width="11.109375" style="4" customWidth="1"/>
    <col min="3909" max="3913" width="9.77734375" style="4" customWidth="1"/>
    <col min="3914" max="3914" width="11.109375" style="4" customWidth="1"/>
    <col min="3915" max="3919" width="9.77734375" style="4" customWidth="1"/>
    <col min="3920" max="3920" width="11.109375" style="4" customWidth="1"/>
    <col min="3921" max="3925" width="9.77734375" style="4" customWidth="1"/>
    <col min="3926" max="3926" width="11.109375" style="4" customWidth="1"/>
    <col min="3927" max="3931" width="9.77734375" style="4" customWidth="1"/>
    <col min="3932" max="4097" width="8.88671875" style="4"/>
    <col min="4098" max="4098" width="12.109375" style="4" bestFit="1" customWidth="1"/>
    <col min="4099" max="4099" width="11.109375" style="4" bestFit="1" customWidth="1"/>
    <col min="4100" max="4109" width="9.77734375" style="4" customWidth="1"/>
    <col min="4110" max="4110" width="11.109375" style="4" bestFit="1" customWidth="1"/>
    <col min="4111" max="4115" width="9.77734375" style="4" customWidth="1"/>
    <col min="4116" max="4116" width="11.109375" style="4" customWidth="1"/>
    <col min="4117" max="4121" width="9.77734375" style="4" customWidth="1"/>
    <col min="4122" max="4122" width="11.109375" style="4" customWidth="1"/>
    <col min="4123" max="4127" width="9.77734375" style="4" customWidth="1"/>
    <col min="4128" max="4128" width="11.109375" style="4" customWidth="1"/>
    <col min="4129" max="4133" width="9.77734375" style="4" customWidth="1"/>
    <col min="4134" max="4134" width="11.109375" style="4" customWidth="1"/>
    <col min="4135" max="4139" width="9.77734375" style="4" customWidth="1"/>
    <col min="4140" max="4140" width="11.109375" style="4" customWidth="1"/>
    <col min="4141" max="4145" width="9.77734375" style="4" customWidth="1"/>
    <col min="4146" max="4146" width="11.109375" style="4" customWidth="1"/>
    <col min="4147" max="4151" width="9.77734375" style="4" customWidth="1"/>
    <col min="4152" max="4152" width="11.109375" style="4" customWidth="1"/>
    <col min="4153" max="4157" width="9.77734375" style="4" customWidth="1"/>
    <col min="4158" max="4158" width="11.109375" style="4" customWidth="1"/>
    <col min="4159" max="4163" width="9.77734375" style="4" customWidth="1"/>
    <col min="4164" max="4164" width="11.109375" style="4" customWidth="1"/>
    <col min="4165" max="4169" width="9.77734375" style="4" customWidth="1"/>
    <col min="4170" max="4170" width="11.109375" style="4" customWidth="1"/>
    <col min="4171" max="4175" width="9.77734375" style="4" customWidth="1"/>
    <col min="4176" max="4176" width="11.109375" style="4" customWidth="1"/>
    <col min="4177" max="4181" width="9.77734375" style="4" customWidth="1"/>
    <col min="4182" max="4182" width="11.109375" style="4" customWidth="1"/>
    <col min="4183" max="4187" width="9.77734375" style="4" customWidth="1"/>
    <col min="4188" max="4353" width="8.88671875" style="4"/>
    <col min="4354" max="4354" width="12.109375" style="4" bestFit="1" customWidth="1"/>
    <col min="4355" max="4355" width="11.109375" style="4" bestFit="1" customWidth="1"/>
    <col min="4356" max="4365" width="9.77734375" style="4" customWidth="1"/>
    <col min="4366" max="4366" width="11.109375" style="4" bestFit="1" customWidth="1"/>
    <col min="4367" max="4371" width="9.77734375" style="4" customWidth="1"/>
    <col min="4372" max="4372" width="11.109375" style="4" customWidth="1"/>
    <col min="4373" max="4377" width="9.77734375" style="4" customWidth="1"/>
    <col min="4378" max="4378" width="11.109375" style="4" customWidth="1"/>
    <col min="4379" max="4383" width="9.77734375" style="4" customWidth="1"/>
    <col min="4384" max="4384" width="11.109375" style="4" customWidth="1"/>
    <col min="4385" max="4389" width="9.77734375" style="4" customWidth="1"/>
    <col min="4390" max="4390" width="11.109375" style="4" customWidth="1"/>
    <col min="4391" max="4395" width="9.77734375" style="4" customWidth="1"/>
    <col min="4396" max="4396" width="11.109375" style="4" customWidth="1"/>
    <col min="4397" max="4401" width="9.77734375" style="4" customWidth="1"/>
    <col min="4402" max="4402" width="11.109375" style="4" customWidth="1"/>
    <col min="4403" max="4407" width="9.77734375" style="4" customWidth="1"/>
    <col min="4408" max="4408" width="11.109375" style="4" customWidth="1"/>
    <col min="4409" max="4413" width="9.77734375" style="4" customWidth="1"/>
    <col min="4414" max="4414" width="11.109375" style="4" customWidth="1"/>
    <col min="4415" max="4419" width="9.77734375" style="4" customWidth="1"/>
    <col min="4420" max="4420" width="11.109375" style="4" customWidth="1"/>
    <col min="4421" max="4425" width="9.77734375" style="4" customWidth="1"/>
    <col min="4426" max="4426" width="11.109375" style="4" customWidth="1"/>
    <col min="4427" max="4431" width="9.77734375" style="4" customWidth="1"/>
    <col min="4432" max="4432" width="11.109375" style="4" customWidth="1"/>
    <col min="4433" max="4437" width="9.77734375" style="4" customWidth="1"/>
    <col min="4438" max="4438" width="11.109375" style="4" customWidth="1"/>
    <col min="4439" max="4443" width="9.77734375" style="4" customWidth="1"/>
    <col min="4444" max="4609" width="8.88671875" style="4"/>
    <col min="4610" max="4610" width="12.109375" style="4" bestFit="1" customWidth="1"/>
    <col min="4611" max="4611" width="11.109375" style="4" bestFit="1" customWidth="1"/>
    <col min="4612" max="4621" width="9.77734375" style="4" customWidth="1"/>
    <col min="4622" max="4622" width="11.109375" style="4" bestFit="1" customWidth="1"/>
    <col min="4623" max="4627" width="9.77734375" style="4" customWidth="1"/>
    <col min="4628" max="4628" width="11.109375" style="4" customWidth="1"/>
    <col min="4629" max="4633" width="9.77734375" style="4" customWidth="1"/>
    <col min="4634" max="4634" width="11.109375" style="4" customWidth="1"/>
    <col min="4635" max="4639" width="9.77734375" style="4" customWidth="1"/>
    <col min="4640" max="4640" width="11.109375" style="4" customWidth="1"/>
    <col min="4641" max="4645" width="9.77734375" style="4" customWidth="1"/>
    <col min="4646" max="4646" width="11.109375" style="4" customWidth="1"/>
    <col min="4647" max="4651" width="9.77734375" style="4" customWidth="1"/>
    <col min="4652" max="4652" width="11.109375" style="4" customWidth="1"/>
    <col min="4653" max="4657" width="9.77734375" style="4" customWidth="1"/>
    <col min="4658" max="4658" width="11.109375" style="4" customWidth="1"/>
    <col min="4659" max="4663" width="9.77734375" style="4" customWidth="1"/>
    <col min="4664" max="4664" width="11.109375" style="4" customWidth="1"/>
    <col min="4665" max="4669" width="9.77734375" style="4" customWidth="1"/>
    <col min="4670" max="4670" width="11.109375" style="4" customWidth="1"/>
    <col min="4671" max="4675" width="9.77734375" style="4" customWidth="1"/>
    <col min="4676" max="4676" width="11.109375" style="4" customWidth="1"/>
    <col min="4677" max="4681" width="9.77734375" style="4" customWidth="1"/>
    <col min="4682" max="4682" width="11.109375" style="4" customWidth="1"/>
    <col min="4683" max="4687" width="9.77734375" style="4" customWidth="1"/>
    <col min="4688" max="4688" width="11.109375" style="4" customWidth="1"/>
    <col min="4689" max="4693" width="9.77734375" style="4" customWidth="1"/>
    <col min="4694" max="4694" width="11.109375" style="4" customWidth="1"/>
    <col min="4695" max="4699" width="9.77734375" style="4" customWidth="1"/>
    <col min="4700" max="4865" width="8.88671875" style="4"/>
    <col min="4866" max="4866" width="12.109375" style="4" bestFit="1" customWidth="1"/>
    <col min="4867" max="4867" width="11.109375" style="4" bestFit="1" customWidth="1"/>
    <col min="4868" max="4877" width="9.77734375" style="4" customWidth="1"/>
    <col min="4878" max="4878" width="11.109375" style="4" bestFit="1" customWidth="1"/>
    <col min="4879" max="4883" width="9.77734375" style="4" customWidth="1"/>
    <col min="4884" max="4884" width="11.109375" style="4" customWidth="1"/>
    <col min="4885" max="4889" width="9.77734375" style="4" customWidth="1"/>
    <col min="4890" max="4890" width="11.109375" style="4" customWidth="1"/>
    <col min="4891" max="4895" width="9.77734375" style="4" customWidth="1"/>
    <col min="4896" max="4896" width="11.109375" style="4" customWidth="1"/>
    <col min="4897" max="4901" width="9.77734375" style="4" customWidth="1"/>
    <col min="4902" max="4902" width="11.109375" style="4" customWidth="1"/>
    <col min="4903" max="4907" width="9.77734375" style="4" customWidth="1"/>
    <col min="4908" max="4908" width="11.109375" style="4" customWidth="1"/>
    <col min="4909" max="4913" width="9.77734375" style="4" customWidth="1"/>
    <col min="4914" max="4914" width="11.109375" style="4" customWidth="1"/>
    <col min="4915" max="4919" width="9.77734375" style="4" customWidth="1"/>
    <col min="4920" max="4920" width="11.109375" style="4" customWidth="1"/>
    <col min="4921" max="4925" width="9.77734375" style="4" customWidth="1"/>
    <col min="4926" max="4926" width="11.109375" style="4" customWidth="1"/>
    <col min="4927" max="4931" width="9.77734375" style="4" customWidth="1"/>
    <col min="4932" max="4932" width="11.109375" style="4" customWidth="1"/>
    <col min="4933" max="4937" width="9.77734375" style="4" customWidth="1"/>
    <col min="4938" max="4938" width="11.109375" style="4" customWidth="1"/>
    <col min="4939" max="4943" width="9.77734375" style="4" customWidth="1"/>
    <col min="4944" max="4944" width="11.109375" style="4" customWidth="1"/>
    <col min="4945" max="4949" width="9.77734375" style="4" customWidth="1"/>
    <col min="4950" max="4950" width="11.109375" style="4" customWidth="1"/>
    <col min="4951" max="4955" width="9.77734375" style="4" customWidth="1"/>
    <col min="4956" max="5121" width="8.88671875" style="4"/>
    <col min="5122" max="5122" width="12.109375" style="4" bestFit="1" customWidth="1"/>
    <col min="5123" max="5123" width="11.109375" style="4" bestFit="1" customWidth="1"/>
    <col min="5124" max="5133" width="9.77734375" style="4" customWidth="1"/>
    <col min="5134" max="5134" width="11.109375" style="4" bestFit="1" customWidth="1"/>
    <col min="5135" max="5139" width="9.77734375" style="4" customWidth="1"/>
    <col min="5140" max="5140" width="11.109375" style="4" customWidth="1"/>
    <col min="5141" max="5145" width="9.77734375" style="4" customWidth="1"/>
    <col min="5146" max="5146" width="11.109375" style="4" customWidth="1"/>
    <col min="5147" max="5151" width="9.77734375" style="4" customWidth="1"/>
    <col min="5152" max="5152" width="11.109375" style="4" customWidth="1"/>
    <col min="5153" max="5157" width="9.77734375" style="4" customWidth="1"/>
    <col min="5158" max="5158" width="11.109375" style="4" customWidth="1"/>
    <col min="5159" max="5163" width="9.77734375" style="4" customWidth="1"/>
    <col min="5164" max="5164" width="11.109375" style="4" customWidth="1"/>
    <col min="5165" max="5169" width="9.77734375" style="4" customWidth="1"/>
    <col min="5170" max="5170" width="11.109375" style="4" customWidth="1"/>
    <col min="5171" max="5175" width="9.77734375" style="4" customWidth="1"/>
    <col min="5176" max="5176" width="11.109375" style="4" customWidth="1"/>
    <col min="5177" max="5181" width="9.77734375" style="4" customWidth="1"/>
    <col min="5182" max="5182" width="11.109375" style="4" customWidth="1"/>
    <col min="5183" max="5187" width="9.77734375" style="4" customWidth="1"/>
    <col min="5188" max="5188" width="11.109375" style="4" customWidth="1"/>
    <col min="5189" max="5193" width="9.77734375" style="4" customWidth="1"/>
    <col min="5194" max="5194" width="11.109375" style="4" customWidth="1"/>
    <col min="5195" max="5199" width="9.77734375" style="4" customWidth="1"/>
    <col min="5200" max="5200" width="11.109375" style="4" customWidth="1"/>
    <col min="5201" max="5205" width="9.77734375" style="4" customWidth="1"/>
    <col min="5206" max="5206" width="11.109375" style="4" customWidth="1"/>
    <col min="5207" max="5211" width="9.77734375" style="4" customWidth="1"/>
    <col min="5212" max="5377" width="8.88671875" style="4"/>
    <col min="5378" max="5378" width="12.109375" style="4" bestFit="1" customWidth="1"/>
    <col min="5379" max="5379" width="11.109375" style="4" bestFit="1" customWidth="1"/>
    <col min="5380" max="5389" width="9.77734375" style="4" customWidth="1"/>
    <col min="5390" max="5390" width="11.109375" style="4" bestFit="1" customWidth="1"/>
    <col min="5391" max="5395" width="9.77734375" style="4" customWidth="1"/>
    <col min="5396" max="5396" width="11.109375" style="4" customWidth="1"/>
    <col min="5397" max="5401" width="9.77734375" style="4" customWidth="1"/>
    <col min="5402" max="5402" width="11.109375" style="4" customWidth="1"/>
    <col min="5403" max="5407" width="9.77734375" style="4" customWidth="1"/>
    <col min="5408" max="5408" width="11.109375" style="4" customWidth="1"/>
    <col min="5409" max="5413" width="9.77734375" style="4" customWidth="1"/>
    <col min="5414" max="5414" width="11.109375" style="4" customWidth="1"/>
    <col min="5415" max="5419" width="9.77734375" style="4" customWidth="1"/>
    <col min="5420" max="5420" width="11.109375" style="4" customWidth="1"/>
    <col min="5421" max="5425" width="9.77734375" style="4" customWidth="1"/>
    <col min="5426" max="5426" width="11.109375" style="4" customWidth="1"/>
    <col min="5427" max="5431" width="9.77734375" style="4" customWidth="1"/>
    <col min="5432" max="5432" width="11.109375" style="4" customWidth="1"/>
    <col min="5433" max="5437" width="9.77734375" style="4" customWidth="1"/>
    <col min="5438" max="5438" width="11.109375" style="4" customWidth="1"/>
    <col min="5439" max="5443" width="9.77734375" style="4" customWidth="1"/>
    <col min="5444" max="5444" width="11.109375" style="4" customWidth="1"/>
    <col min="5445" max="5449" width="9.77734375" style="4" customWidth="1"/>
    <col min="5450" max="5450" width="11.109375" style="4" customWidth="1"/>
    <col min="5451" max="5455" width="9.77734375" style="4" customWidth="1"/>
    <col min="5456" max="5456" width="11.109375" style="4" customWidth="1"/>
    <col min="5457" max="5461" width="9.77734375" style="4" customWidth="1"/>
    <col min="5462" max="5462" width="11.109375" style="4" customWidth="1"/>
    <col min="5463" max="5467" width="9.77734375" style="4" customWidth="1"/>
    <col min="5468" max="5633" width="8.88671875" style="4"/>
    <col min="5634" max="5634" width="12.109375" style="4" bestFit="1" customWidth="1"/>
    <col min="5635" max="5635" width="11.109375" style="4" bestFit="1" customWidth="1"/>
    <col min="5636" max="5645" width="9.77734375" style="4" customWidth="1"/>
    <col min="5646" max="5646" width="11.109375" style="4" bestFit="1" customWidth="1"/>
    <col min="5647" max="5651" width="9.77734375" style="4" customWidth="1"/>
    <col min="5652" max="5652" width="11.109375" style="4" customWidth="1"/>
    <col min="5653" max="5657" width="9.77734375" style="4" customWidth="1"/>
    <col min="5658" max="5658" width="11.109375" style="4" customWidth="1"/>
    <col min="5659" max="5663" width="9.77734375" style="4" customWidth="1"/>
    <col min="5664" max="5664" width="11.109375" style="4" customWidth="1"/>
    <col min="5665" max="5669" width="9.77734375" style="4" customWidth="1"/>
    <col min="5670" max="5670" width="11.109375" style="4" customWidth="1"/>
    <col min="5671" max="5675" width="9.77734375" style="4" customWidth="1"/>
    <col min="5676" max="5676" width="11.109375" style="4" customWidth="1"/>
    <col min="5677" max="5681" width="9.77734375" style="4" customWidth="1"/>
    <col min="5682" max="5682" width="11.109375" style="4" customWidth="1"/>
    <col min="5683" max="5687" width="9.77734375" style="4" customWidth="1"/>
    <col min="5688" max="5688" width="11.109375" style="4" customWidth="1"/>
    <col min="5689" max="5693" width="9.77734375" style="4" customWidth="1"/>
    <col min="5694" max="5694" width="11.109375" style="4" customWidth="1"/>
    <col min="5695" max="5699" width="9.77734375" style="4" customWidth="1"/>
    <col min="5700" max="5700" width="11.109375" style="4" customWidth="1"/>
    <col min="5701" max="5705" width="9.77734375" style="4" customWidth="1"/>
    <col min="5706" max="5706" width="11.109375" style="4" customWidth="1"/>
    <col min="5707" max="5711" width="9.77734375" style="4" customWidth="1"/>
    <col min="5712" max="5712" width="11.109375" style="4" customWidth="1"/>
    <col min="5713" max="5717" width="9.77734375" style="4" customWidth="1"/>
    <col min="5718" max="5718" width="11.109375" style="4" customWidth="1"/>
    <col min="5719" max="5723" width="9.77734375" style="4" customWidth="1"/>
    <col min="5724" max="5889" width="8.88671875" style="4"/>
    <col min="5890" max="5890" width="12.109375" style="4" bestFit="1" customWidth="1"/>
    <col min="5891" max="5891" width="11.109375" style="4" bestFit="1" customWidth="1"/>
    <col min="5892" max="5901" width="9.77734375" style="4" customWidth="1"/>
    <col min="5902" max="5902" width="11.109375" style="4" bestFit="1" customWidth="1"/>
    <col min="5903" max="5907" width="9.77734375" style="4" customWidth="1"/>
    <col min="5908" max="5908" width="11.109375" style="4" customWidth="1"/>
    <col min="5909" max="5913" width="9.77734375" style="4" customWidth="1"/>
    <col min="5914" max="5914" width="11.109375" style="4" customWidth="1"/>
    <col min="5915" max="5919" width="9.77734375" style="4" customWidth="1"/>
    <col min="5920" max="5920" width="11.109375" style="4" customWidth="1"/>
    <col min="5921" max="5925" width="9.77734375" style="4" customWidth="1"/>
    <col min="5926" max="5926" width="11.109375" style="4" customWidth="1"/>
    <col min="5927" max="5931" width="9.77734375" style="4" customWidth="1"/>
    <col min="5932" max="5932" width="11.109375" style="4" customWidth="1"/>
    <col min="5933" max="5937" width="9.77734375" style="4" customWidth="1"/>
    <col min="5938" max="5938" width="11.109375" style="4" customWidth="1"/>
    <col min="5939" max="5943" width="9.77734375" style="4" customWidth="1"/>
    <col min="5944" max="5944" width="11.109375" style="4" customWidth="1"/>
    <col min="5945" max="5949" width="9.77734375" style="4" customWidth="1"/>
    <col min="5950" max="5950" width="11.109375" style="4" customWidth="1"/>
    <col min="5951" max="5955" width="9.77734375" style="4" customWidth="1"/>
    <col min="5956" max="5956" width="11.109375" style="4" customWidth="1"/>
    <col min="5957" max="5961" width="9.77734375" style="4" customWidth="1"/>
    <col min="5962" max="5962" width="11.109375" style="4" customWidth="1"/>
    <col min="5963" max="5967" width="9.77734375" style="4" customWidth="1"/>
    <col min="5968" max="5968" width="11.109375" style="4" customWidth="1"/>
    <col min="5969" max="5973" width="9.77734375" style="4" customWidth="1"/>
    <col min="5974" max="5974" width="11.109375" style="4" customWidth="1"/>
    <col min="5975" max="5979" width="9.77734375" style="4" customWidth="1"/>
    <col min="5980" max="6145" width="8.88671875" style="4"/>
    <col min="6146" max="6146" width="12.109375" style="4" bestFit="1" customWidth="1"/>
    <col min="6147" max="6147" width="11.109375" style="4" bestFit="1" customWidth="1"/>
    <col min="6148" max="6157" width="9.77734375" style="4" customWidth="1"/>
    <col min="6158" max="6158" width="11.109375" style="4" bestFit="1" customWidth="1"/>
    <col min="6159" max="6163" width="9.77734375" style="4" customWidth="1"/>
    <col min="6164" max="6164" width="11.109375" style="4" customWidth="1"/>
    <col min="6165" max="6169" width="9.77734375" style="4" customWidth="1"/>
    <col min="6170" max="6170" width="11.109375" style="4" customWidth="1"/>
    <col min="6171" max="6175" width="9.77734375" style="4" customWidth="1"/>
    <col min="6176" max="6176" width="11.109375" style="4" customWidth="1"/>
    <col min="6177" max="6181" width="9.77734375" style="4" customWidth="1"/>
    <col min="6182" max="6182" width="11.109375" style="4" customWidth="1"/>
    <col min="6183" max="6187" width="9.77734375" style="4" customWidth="1"/>
    <col min="6188" max="6188" width="11.109375" style="4" customWidth="1"/>
    <col min="6189" max="6193" width="9.77734375" style="4" customWidth="1"/>
    <col min="6194" max="6194" width="11.109375" style="4" customWidth="1"/>
    <col min="6195" max="6199" width="9.77734375" style="4" customWidth="1"/>
    <col min="6200" max="6200" width="11.109375" style="4" customWidth="1"/>
    <col min="6201" max="6205" width="9.77734375" style="4" customWidth="1"/>
    <col min="6206" max="6206" width="11.109375" style="4" customWidth="1"/>
    <col min="6207" max="6211" width="9.77734375" style="4" customWidth="1"/>
    <col min="6212" max="6212" width="11.109375" style="4" customWidth="1"/>
    <col min="6213" max="6217" width="9.77734375" style="4" customWidth="1"/>
    <col min="6218" max="6218" width="11.109375" style="4" customWidth="1"/>
    <col min="6219" max="6223" width="9.77734375" style="4" customWidth="1"/>
    <col min="6224" max="6224" width="11.109375" style="4" customWidth="1"/>
    <col min="6225" max="6229" width="9.77734375" style="4" customWidth="1"/>
    <col min="6230" max="6230" width="11.109375" style="4" customWidth="1"/>
    <col min="6231" max="6235" width="9.77734375" style="4" customWidth="1"/>
    <col min="6236" max="6401" width="8.88671875" style="4"/>
    <col min="6402" max="6402" width="12.109375" style="4" bestFit="1" customWidth="1"/>
    <col min="6403" max="6403" width="11.109375" style="4" bestFit="1" customWidth="1"/>
    <col min="6404" max="6413" width="9.77734375" style="4" customWidth="1"/>
    <col min="6414" max="6414" width="11.109375" style="4" bestFit="1" customWidth="1"/>
    <col min="6415" max="6419" width="9.77734375" style="4" customWidth="1"/>
    <col min="6420" max="6420" width="11.109375" style="4" customWidth="1"/>
    <col min="6421" max="6425" width="9.77734375" style="4" customWidth="1"/>
    <col min="6426" max="6426" width="11.109375" style="4" customWidth="1"/>
    <col min="6427" max="6431" width="9.77734375" style="4" customWidth="1"/>
    <col min="6432" max="6432" width="11.109375" style="4" customWidth="1"/>
    <col min="6433" max="6437" width="9.77734375" style="4" customWidth="1"/>
    <col min="6438" max="6438" width="11.109375" style="4" customWidth="1"/>
    <col min="6439" max="6443" width="9.77734375" style="4" customWidth="1"/>
    <col min="6444" max="6444" width="11.109375" style="4" customWidth="1"/>
    <col min="6445" max="6449" width="9.77734375" style="4" customWidth="1"/>
    <col min="6450" max="6450" width="11.109375" style="4" customWidth="1"/>
    <col min="6451" max="6455" width="9.77734375" style="4" customWidth="1"/>
    <col min="6456" max="6456" width="11.109375" style="4" customWidth="1"/>
    <col min="6457" max="6461" width="9.77734375" style="4" customWidth="1"/>
    <col min="6462" max="6462" width="11.109375" style="4" customWidth="1"/>
    <col min="6463" max="6467" width="9.77734375" style="4" customWidth="1"/>
    <col min="6468" max="6468" width="11.109375" style="4" customWidth="1"/>
    <col min="6469" max="6473" width="9.77734375" style="4" customWidth="1"/>
    <col min="6474" max="6474" width="11.109375" style="4" customWidth="1"/>
    <col min="6475" max="6479" width="9.77734375" style="4" customWidth="1"/>
    <col min="6480" max="6480" width="11.109375" style="4" customWidth="1"/>
    <col min="6481" max="6485" width="9.77734375" style="4" customWidth="1"/>
    <col min="6486" max="6486" width="11.109375" style="4" customWidth="1"/>
    <col min="6487" max="6491" width="9.77734375" style="4" customWidth="1"/>
    <col min="6492" max="6657" width="8.88671875" style="4"/>
    <col min="6658" max="6658" width="12.109375" style="4" bestFit="1" customWidth="1"/>
    <col min="6659" max="6659" width="11.109375" style="4" bestFit="1" customWidth="1"/>
    <col min="6660" max="6669" width="9.77734375" style="4" customWidth="1"/>
    <col min="6670" max="6670" width="11.109375" style="4" bestFit="1" customWidth="1"/>
    <col min="6671" max="6675" width="9.77734375" style="4" customWidth="1"/>
    <col min="6676" max="6676" width="11.109375" style="4" customWidth="1"/>
    <col min="6677" max="6681" width="9.77734375" style="4" customWidth="1"/>
    <col min="6682" max="6682" width="11.109375" style="4" customWidth="1"/>
    <col min="6683" max="6687" width="9.77734375" style="4" customWidth="1"/>
    <col min="6688" max="6688" width="11.109375" style="4" customWidth="1"/>
    <col min="6689" max="6693" width="9.77734375" style="4" customWidth="1"/>
    <col min="6694" max="6694" width="11.109375" style="4" customWidth="1"/>
    <col min="6695" max="6699" width="9.77734375" style="4" customWidth="1"/>
    <col min="6700" max="6700" width="11.109375" style="4" customWidth="1"/>
    <col min="6701" max="6705" width="9.77734375" style="4" customWidth="1"/>
    <col min="6706" max="6706" width="11.109375" style="4" customWidth="1"/>
    <col min="6707" max="6711" width="9.77734375" style="4" customWidth="1"/>
    <col min="6712" max="6712" width="11.109375" style="4" customWidth="1"/>
    <col min="6713" max="6717" width="9.77734375" style="4" customWidth="1"/>
    <col min="6718" max="6718" width="11.109375" style="4" customWidth="1"/>
    <col min="6719" max="6723" width="9.77734375" style="4" customWidth="1"/>
    <col min="6724" max="6724" width="11.109375" style="4" customWidth="1"/>
    <col min="6725" max="6729" width="9.77734375" style="4" customWidth="1"/>
    <col min="6730" max="6730" width="11.109375" style="4" customWidth="1"/>
    <col min="6731" max="6735" width="9.77734375" style="4" customWidth="1"/>
    <col min="6736" max="6736" width="11.109375" style="4" customWidth="1"/>
    <col min="6737" max="6741" width="9.77734375" style="4" customWidth="1"/>
    <col min="6742" max="6742" width="11.109375" style="4" customWidth="1"/>
    <col min="6743" max="6747" width="9.77734375" style="4" customWidth="1"/>
    <col min="6748" max="6913" width="8.88671875" style="4"/>
    <col min="6914" max="6914" width="12.109375" style="4" bestFit="1" customWidth="1"/>
    <col min="6915" max="6915" width="11.109375" style="4" bestFit="1" customWidth="1"/>
    <col min="6916" max="6925" width="9.77734375" style="4" customWidth="1"/>
    <col min="6926" max="6926" width="11.109375" style="4" bestFit="1" customWidth="1"/>
    <col min="6927" max="6931" width="9.77734375" style="4" customWidth="1"/>
    <col min="6932" max="6932" width="11.109375" style="4" customWidth="1"/>
    <col min="6933" max="6937" width="9.77734375" style="4" customWidth="1"/>
    <col min="6938" max="6938" width="11.109375" style="4" customWidth="1"/>
    <col min="6939" max="6943" width="9.77734375" style="4" customWidth="1"/>
    <col min="6944" max="6944" width="11.109375" style="4" customWidth="1"/>
    <col min="6945" max="6949" width="9.77734375" style="4" customWidth="1"/>
    <col min="6950" max="6950" width="11.109375" style="4" customWidth="1"/>
    <col min="6951" max="6955" width="9.77734375" style="4" customWidth="1"/>
    <col min="6956" max="6956" width="11.109375" style="4" customWidth="1"/>
    <col min="6957" max="6961" width="9.77734375" style="4" customWidth="1"/>
    <col min="6962" max="6962" width="11.109375" style="4" customWidth="1"/>
    <col min="6963" max="6967" width="9.77734375" style="4" customWidth="1"/>
    <col min="6968" max="6968" width="11.109375" style="4" customWidth="1"/>
    <col min="6969" max="6973" width="9.77734375" style="4" customWidth="1"/>
    <col min="6974" max="6974" width="11.109375" style="4" customWidth="1"/>
    <col min="6975" max="6979" width="9.77734375" style="4" customWidth="1"/>
    <col min="6980" max="6980" width="11.109375" style="4" customWidth="1"/>
    <col min="6981" max="6985" width="9.77734375" style="4" customWidth="1"/>
    <col min="6986" max="6986" width="11.109375" style="4" customWidth="1"/>
    <col min="6987" max="6991" width="9.77734375" style="4" customWidth="1"/>
    <col min="6992" max="6992" width="11.109375" style="4" customWidth="1"/>
    <col min="6993" max="6997" width="9.77734375" style="4" customWidth="1"/>
    <col min="6998" max="6998" width="11.109375" style="4" customWidth="1"/>
    <col min="6999" max="7003" width="9.77734375" style="4" customWidth="1"/>
    <col min="7004" max="7169" width="8.88671875" style="4"/>
    <col min="7170" max="7170" width="12.109375" style="4" bestFit="1" customWidth="1"/>
    <col min="7171" max="7171" width="11.109375" style="4" bestFit="1" customWidth="1"/>
    <col min="7172" max="7181" width="9.77734375" style="4" customWidth="1"/>
    <col min="7182" max="7182" width="11.109375" style="4" bestFit="1" customWidth="1"/>
    <col min="7183" max="7187" width="9.77734375" style="4" customWidth="1"/>
    <col min="7188" max="7188" width="11.109375" style="4" customWidth="1"/>
    <col min="7189" max="7193" width="9.77734375" style="4" customWidth="1"/>
    <col min="7194" max="7194" width="11.109375" style="4" customWidth="1"/>
    <col min="7195" max="7199" width="9.77734375" style="4" customWidth="1"/>
    <col min="7200" max="7200" width="11.109375" style="4" customWidth="1"/>
    <col min="7201" max="7205" width="9.77734375" style="4" customWidth="1"/>
    <col min="7206" max="7206" width="11.109375" style="4" customWidth="1"/>
    <col min="7207" max="7211" width="9.77734375" style="4" customWidth="1"/>
    <col min="7212" max="7212" width="11.109375" style="4" customWidth="1"/>
    <col min="7213" max="7217" width="9.77734375" style="4" customWidth="1"/>
    <col min="7218" max="7218" width="11.109375" style="4" customWidth="1"/>
    <col min="7219" max="7223" width="9.77734375" style="4" customWidth="1"/>
    <col min="7224" max="7224" width="11.109375" style="4" customWidth="1"/>
    <col min="7225" max="7229" width="9.77734375" style="4" customWidth="1"/>
    <col min="7230" max="7230" width="11.109375" style="4" customWidth="1"/>
    <col min="7231" max="7235" width="9.77734375" style="4" customWidth="1"/>
    <col min="7236" max="7236" width="11.109375" style="4" customWidth="1"/>
    <col min="7237" max="7241" width="9.77734375" style="4" customWidth="1"/>
    <col min="7242" max="7242" width="11.109375" style="4" customWidth="1"/>
    <col min="7243" max="7247" width="9.77734375" style="4" customWidth="1"/>
    <col min="7248" max="7248" width="11.109375" style="4" customWidth="1"/>
    <col min="7249" max="7253" width="9.77734375" style="4" customWidth="1"/>
    <col min="7254" max="7254" width="11.109375" style="4" customWidth="1"/>
    <col min="7255" max="7259" width="9.77734375" style="4" customWidth="1"/>
    <col min="7260" max="7425" width="8.88671875" style="4"/>
    <col min="7426" max="7426" width="12.109375" style="4" bestFit="1" customWidth="1"/>
    <col min="7427" max="7427" width="11.109375" style="4" bestFit="1" customWidth="1"/>
    <col min="7428" max="7437" width="9.77734375" style="4" customWidth="1"/>
    <col min="7438" max="7438" width="11.109375" style="4" bestFit="1" customWidth="1"/>
    <col min="7439" max="7443" width="9.77734375" style="4" customWidth="1"/>
    <col min="7444" max="7444" width="11.109375" style="4" customWidth="1"/>
    <col min="7445" max="7449" width="9.77734375" style="4" customWidth="1"/>
    <col min="7450" max="7450" width="11.109375" style="4" customWidth="1"/>
    <col min="7451" max="7455" width="9.77734375" style="4" customWidth="1"/>
    <col min="7456" max="7456" width="11.109375" style="4" customWidth="1"/>
    <col min="7457" max="7461" width="9.77734375" style="4" customWidth="1"/>
    <col min="7462" max="7462" width="11.109375" style="4" customWidth="1"/>
    <col min="7463" max="7467" width="9.77734375" style="4" customWidth="1"/>
    <col min="7468" max="7468" width="11.109375" style="4" customWidth="1"/>
    <col min="7469" max="7473" width="9.77734375" style="4" customWidth="1"/>
    <col min="7474" max="7474" width="11.109375" style="4" customWidth="1"/>
    <col min="7475" max="7479" width="9.77734375" style="4" customWidth="1"/>
    <col min="7480" max="7480" width="11.109375" style="4" customWidth="1"/>
    <col min="7481" max="7485" width="9.77734375" style="4" customWidth="1"/>
    <col min="7486" max="7486" width="11.109375" style="4" customWidth="1"/>
    <col min="7487" max="7491" width="9.77734375" style="4" customWidth="1"/>
    <col min="7492" max="7492" width="11.109375" style="4" customWidth="1"/>
    <col min="7493" max="7497" width="9.77734375" style="4" customWidth="1"/>
    <col min="7498" max="7498" width="11.109375" style="4" customWidth="1"/>
    <col min="7499" max="7503" width="9.77734375" style="4" customWidth="1"/>
    <col min="7504" max="7504" width="11.109375" style="4" customWidth="1"/>
    <col min="7505" max="7509" width="9.77734375" style="4" customWidth="1"/>
    <col min="7510" max="7510" width="11.109375" style="4" customWidth="1"/>
    <col min="7511" max="7515" width="9.77734375" style="4" customWidth="1"/>
    <col min="7516" max="7681" width="8.88671875" style="4"/>
    <col min="7682" max="7682" width="12.109375" style="4" bestFit="1" customWidth="1"/>
    <col min="7683" max="7683" width="11.109375" style="4" bestFit="1" customWidth="1"/>
    <col min="7684" max="7693" width="9.77734375" style="4" customWidth="1"/>
    <col min="7694" max="7694" width="11.109375" style="4" bestFit="1" customWidth="1"/>
    <col min="7695" max="7699" width="9.77734375" style="4" customWidth="1"/>
    <col min="7700" max="7700" width="11.109375" style="4" customWidth="1"/>
    <col min="7701" max="7705" width="9.77734375" style="4" customWidth="1"/>
    <col min="7706" max="7706" width="11.109375" style="4" customWidth="1"/>
    <col min="7707" max="7711" width="9.77734375" style="4" customWidth="1"/>
    <col min="7712" max="7712" width="11.109375" style="4" customWidth="1"/>
    <col min="7713" max="7717" width="9.77734375" style="4" customWidth="1"/>
    <col min="7718" max="7718" width="11.109375" style="4" customWidth="1"/>
    <col min="7719" max="7723" width="9.77734375" style="4" customWidth="1"/>
    <col min="7724" max="7724" width="11.109375" style="4" customWidth="1"/>
    <col min="7725" max="7729" width="9.77734375" style="4" customWidth="1"/>
    <col min="7730" max="7730" width="11.109375" style="4" customWidth="1"/>
    <col min="7731" max="7735" width="9.77734375" style="4" customWidth="1"/>
    <col min="7736" max="7736" width="11.109375" style="4" customWidth="1"/>
    <col min="7737" max="7741" width="9.77734375" style="4" customWidth="1"/>
    <col min="7742" max="7742" width="11.109375" style="4" customWidth="1"/>
    <col min="7743" max="7747" width="9.77734375" style="4" customWidth="1"/>
    <col min="7748" max="7748" width="11.109375" style="4" customWidth="1"/>
    <col min="7749" max="7753" width="9.77734375" style="4" customWidth="1"/>
    <col min="7754" max="7754" width="11.109375" style="4" customWidth="1"/>
    <col min="7755" max="7759" width="9.77734375" style="4" customWidth="1"/>
    <col min="7760" max="7760" width="11.109375" style="4" customWidth="1"/>
    <col min="7761" max="7765" width="9.77734375" style="4" customWidth="1"/>
    <col min="7766" max="7766" width="11.109375" style="4" customWidth="1"/>
    <col min="7767" max="7771" width="9.77734375" style="4" customWidth="1"/>
    <col min="7772" max="7937" width="8.88671875" style="4"/>
    <col min="7938" max="7938" width="12.109375" style="4" bestFit="1" customWidth="1"/>
    <col min="7939" max="7939" width="11.109375" style="4" bestFit="1" customWidth="1"/>
    <col min="7940" max="7949" width="9.77734375" style="4" customWidth="1"/>
    <col min="7950" max="7950" width="11.109375" style="4" bestFit="1" customWidth="1"/>
    <col min="7951" max="7955" width="9.77734375" style="4" customWidth="1"/>
    <col min="7956" max="7956" width="11.109375" style="4" customWidth="1"/>
    <col min="7957" max="7961" width="9.77734375" style="4" customWidth="1"/>
    <col min="7962" max="7962" width="11.109375" style="4" customWidth="1"/>
    <col min="7963" max="7967" width="9.77734375" style="4" customWidth="1"/>
    <col min="7968" max="7968" width="11.109375" style="4" customWidth="1"/>
    <col min="7969" max="7973" width="9.77734375" style="4" customWidth="1"/>
    <col min="7974" max="7974" width="11.109375" style="4" customWidth="1"/>
    <col min="7975" max="7979" width="9.77734375" style="4" customWidth="1"/>
    <col min="7980" max="7980" width="11.109375" style="4" customWidth="1"/>
    <col min="7981" max="7985" width="9.77734375" style="4" customWidth="1"/>
    <col min="7986" max="7986" width="11.109375" style="4" customWidth="1"/>
    <col min="7987" max="7991" width="9.77734375" style="4" customWidth="1"/>
    <col min="7992" max="7992" width="11.109375" style="4" customWidth="1"/>
    <col min="7993" max="7997" width="9.77734375" style="4" customWidth="1"/>
    <col min="7998" max="7998" width="11.109375" style="4" customWidth="1"/>
    <col min="7999" max="8003" width="9.77734375" style="4" customWidth="1"/>
    <col min="8004" max="8004" width="11.109375" style="4" customWidth="1"/>
    <col min="8005" max="8009" width="9.77734375" style="4" customWidth="1"/>
    <col min="8010" max="8010" width="11.109375" style="4" customWidth="1"/>
    <col min="8011" max="8015" width="9.77734375" style="4" customWidth="1"/>
    <col min="8016" max="8016" width="11.109375" style="4" customWidth="1"/>
    <col min="8017" max="8021" width="9.77734375" style="4" customWidth="1"/>
    <col min="8022" max="8022" width="11.109375" style="4" customWidth="1"/>
    <col min="8023" max="8027" width="9.77734375" style="4" customWidth="1"/>
    <col min="8028" max="8193" width="8.88671875" style="4"/>
    <col min="8194" max="8194" width="12.109375" style="4" bestFit="1" customWidth="1"/>
    <col min="8195" max="8195" width="11.109375" style="4" bestFit="1" customWidth="1"/>
    <col min="8196" max="8205" width="9.77734375" style="4" customWidth="1"/>
    <col min="8206" max="8206" width="11.109375" style="4" bestFit="1" customWidth="1"/>
    <col min="8207" max="8211" width="9.77734375" style="4" customWidth="1"/>
    <col min="8212" max="8212" width="11.109375" style="4" customWidth="1"/>
    <col min="8213" max="8217" width="9.77734375" style="4" customWidth="1"/>
    <col min="8218" max="8218" width="11.109375" style="4" customWidth="1"/>
    <col min="8219" max="8223" width="9.77734375" style="4" customWidth="1"/>
    <col min="8224" max="8224" width="11.109375" style="4" customWidth="1"/>
    <col min="8225" max="8229" width="9.77734375" style="4" customWidth="1"/>
    <col min="8230" max="8230" width="11.109375" style="4" customWidth="1"/>
    <col min="8231" max="8235" width="9.77734375" style="4" customWidth="1"/>
    <col min="8236" max="8236" width="11.109375" style="4" customWidth="1"/>
    <col min="8237" max="8241" width="9.77734375" style="4" customWidth="1"/>
    <col min="8242" max="8242" width="11.109375" style="4" customWidth="1"/>
    <col min="8243" max="8247" width="9.77734375" style="4" customWidth="1"/>
    <col min="8248" max="8248" width="11.109375" style="4" customWidth="1"/>
    <col min="8249" max="8253" width="9.77734375" style="4" customWidth="1"/>
    <col min="8254" max="8254" width="11.109375" style="4" customWidth="1"/>
    <col min="8255" max="8259" width="9.77734375" style="4" customWidth="1"/>
    <col min="8260" max="8260" width="11.109375" style="4" customWidth="1"/>
    <col min="8261" max="8265" width="9.77734375" style="4" customWidth="1"/>
    <col min="8266" max="8266" width="11.109375" style="4" customWidth="1"/>
    <col min="8267" max="8271" width="9.77734375" style="4" customWidth="1"/>
    <col min="8272" max="8272" width="11.109375" style="4" customWidth="1"/>
    <col min="8273" max="8277" width="9.77734375" style="4" customWidth="1"/>
    <col min="8278" max="8278" width="11.109375" style="4" customWidth="1"/>
    <col min="8279" max="8283" width="9.77734375" style="4" customWidth="1"/>
    <col min="8284" max="8449" width="8.88671875" style="4"/>
    <col min="8450" max="8450" width="12.109375" style="4" bestFit="1" customWidth="1"/>
    <col min="8451" max="8451" width="11.109375" style="4" bestFit="1" customWidth="1"/>
    <col min="8452" max="8461" width="9.77734375" style="4" customWidth="1"/>
    <col min="8462" max="8462" width="11.109375" style="4" bestFit="1" customWidth="1"/>
    <col min="8463" max="8467" width="9.77734375" style="4" customWidth="1"/>
    <col min="8468" max="8468" width="11.109375" style="4" customWidth="1"/>
    <col min="8469" max="8473" width="9.77734375" style="4" customWidth="1"/>
    <col min="8474" max="8474" width="11.109375" style="4" customWidth="1"/>
    <col min="8475" max="8479" width="9.77734375" style="4" customWidth="1"/>
    <col min="8480" max="8480" width="11.109375" style="4" customWidth="1"/>
    <col min="8481" max="8485" width="9.77734375" style="4" customWidth="1"/>
    <col min="8486" max="8486" width="11.109375" style="4" customWidth="1"/>
    <col min="8487" max="8491" width="9.77734375" style="4" customWidth="1"/>
    <col min="8492" max="8492" width="11.109375" style="4" customWidth="1"/>
    <col min="8493" max="8497" width="9.77734375" style="4" customWidth="1"/>
    <col min="8498" max="8498" width="11.109375" style="4" customWidth="1"/>
    <col min="8499" max="8503" width="9.77734375" style="4" customWidth="1"/>
    <col min="8504" max="8504" width="11.109375" style="4" customWidth="1"/>
    <col min="8505" max="8509" width="9.77734375" style="4" customWidth="1"/>
    <col min="8510" max="8510" width="11.109375" style="4" customWidth="1"/>
    <col min="8511" max="8515" width="9.77734375" style="4" customWidth="1"/>
    <col min="8516" max="8516" width="11.109375" style="4" customWidth="1"/>
    <col min="8517" max="8521" width="9.77734375" style="4" customWidth="1"/>
    <col min="8522" max="8522" width="11.109375" style="4" customWidth="1"/>
    <col min="8523" max="8527" width="9.77734375" style="4" customWidth="1"/>
    <col min="8528" max="8528" width="11.109375" style="4" customWidth="1"/>
    <col min="8529" max="8533" width="9.77734375" style="4" customWidth="1"/>
    <col min="8534" max="8534" width="11.109375" style="4" customWidth="1"/>
    <col min="8535" max="8539" width="9.77734375" style="4" customWidth="1"/>
    <col min="8540" max="8705" width="8.88671875" style="4"/>
    <col min="8706" max="8706" width="12.109375" style="4" bestFit="1" customWidth="1"/>
    <col min="8707" max="8707" width="11.109375" style="4" bestFit="1" customWidth="1"/>
    <col min="8708" max="8717" width="9.77734375" style="4" customWidth="1"/>
    <col min="8718" max="8718" width="11.109375" style="4" bestFit="1" customWidth="1"/>
    <col min="8719" max="8723" width="9.77734375" style="4" customWidth="1"/>
    <col min="8724" max="8724" width="11.109375" style="4" customWidth="1"/>
    <col min="8725" max="8729" width="9.77734375" style="4" customWidth="1"/>
    <col min="8730" max="8730" width="11.109375" style="4" customWidth="1"/>
    <col min="8731" max="8735" width="9.77734375" style="4" customWidth="1"/>
    <col min="8736" max="8736" width="11.109375" style="4" customWidth="1"/>
    <col min="8737" max="8741" width="9.77734375" style="4" customWidth="1"/>
    <col min="8742" max="8742" width="11.109375" style="4" customWidth="1"/>
    <col min="8743" max="8747" width="9.77734375" style="4" customWidth="1"/>
    <col min="8748" max="8748" width="11.109375" style="4" customWidth="1"/>
    <col min="8749" max="8753" width="9.77734375" style="4" customWidth="1"/>
    <col min="8754" max="8754" width="11.109375" style="4" customWidth="1"/>
    <col min="8755" max="8759" width="9.77734375" style="4" customWidth="1"/>
    <col min="8760" max="8760" width="11.109375" style="4" customWidth="1"/>
    <col min="8761" max="8765" width="9.77734375" style="4" customWidth="1"/>
    <col min="8766" max="8766" width="11.109375" style="4" customWidth="1"/>
    <col min="8767" max="8771" width="9.77734375" style="4" customWidth="1"/>
    <col min="8772" max="8772" width="11.109375" style="4" customWidth="1"/>
    <col min="8773" max="8777" width="9.77734375" style="4" customWidth="1"/>
    <col min="8778" max="8778" width="11.109375" style="4" customWidth="1"/>
    <col min="8779" max="8783" width="9.77734375" style="4" customWidth="1"/>
    <col min="8784" max="8784" width="11.109375" style="4" customWidth="1"/>
    <col min="8785" max="8789" width="9.77734375" style="4" customWidth="1"/>
    <col min="8790" max="8790" width="11.109375" style="4" customWidth="1"/>
    <col min="8791" max="8795" width="9.77734375" style="4" customWidth="1"/>
    <col min="8796" max="8961" width="8.88671875" style="4"/>
    <col min="8962" max="8962" width="12.109375" style="4" bestFit="1" customWidth="1"/>
    <col min="8963" max="8963" width="11.109375" style="4" bestFit="1" customWidth="1"/>
    <col min="8964" max="8973" width="9.77734375" style="4" customWidth="1"/>
    <col min="8974" max="8974" width="11.109375" style="4" bestFit="1" customWidth="1"/>
    <col min="8975" max="8979" width="9.77734375" style="4" customWidth="1"/>
    <col min="8980" max="8980" width="11.109375" style="4" customWidth="1"/>
    <col min="8981" max="8985" width="9.77734375" style="4" customWidth="1"/>
    <col min="8986" max="8986" width="11.109375" style="4" customWidth="1"/>
    <col min="8987" max="8991" width="9.77734375" style="4" customWidth="1"/>
    <col min="8992" max="8992" width="11.109375" style="4" customWidth="1"/>
    <col min="8993" max="8997" width="9.77734375" style="4" customWidth="1"/>
    <col min="8998" max="8998" width="11.109375" style="4" customWidth="1"/>
    <col min="8999" max="9003" width="9.77734375" style="4" customWidth="1"/>
    <col min="9004" max="9004" width="11.109375" style="4" customWidth="1"/>
    <col min="9005" max="9009" width="9.77734375" style="4" customWidth="1"/>
    <col min="9010" max="9010" width="11.109375" style="4" customWidth="1"/>
    <col min="9011" max="9015" width="9.77734375" style="4" customWidth="1"/>
    <col min="9016" max="9016" width="11.109375" style="4" customWidth="1"/>
    <col min="9017" max="9021" width="9.77734375" style="4" customWidth="1"/>
    <col min="9022" max="9022" width="11.109375" style="4" customWidth="1"/>
    <col min="9023" max="9027" width="9.77734375" style="4" customWidth="1"/>
    <col min="9028" max="9028" width="11.109375" style="4" customWidth="1"/>
    <col min="9029" max="9033" width="9.77734375" style="4" customWidth="1"/>
    <col min="9034" max="9034" width="11.109375" style="4" customWidth="1"/>
    <col min="9035" max="9039" width="9.77734375" style="4" customWidth="1"/>
    <col min="9040" max="9040" width="11.109375" style="4" customWidth="1"/>
    <col min="9041" max="9045" width="9.77734375" style="4" customWidth="1"/>
    <col min="9046" max="9046" width="11.109375" style="4" customWidth="1"/>
    <col min="9047" max="9051" width="9.77734375" style="4" customWidth="1"/>
    <col min="9052" max="9217" width="8.88671875" style="4"/>
    <col min="9218" max="9218" width="12.109375" style="4" bestFit="1" customWidth="1"/>
    <col min="9219" max="9219" width="11.109375" style="4" bestFit="1" customWidth="1"/>
    <col min="9220" max="9229" width="9.77734375" style="4" customWidth="1"/>
    <col min="9230" max="9230" width="11.109375" style="4" bestFit="1" customWidth="1"/>
    <col min="9231" max="9235" width="9.77734375" style="4" customWidth="1"/>
    <col min="9236" max="9236" width="11.109375" style="4" customWidth="1"/>
    <col min="9237" max="9241" width="9.77734375" style="4" customWidth="1"/>
    <col min="9242" max="9242" width="11.109375" style="4" customWidth="1"/>
    <col min="9243" max="9247" width="9.77734375" style="4" customWidth="1"/>
    <col min="9248" max="9248" width="11.109375" style="4" customWidth="1"/>
    <col min="9249" max="9253" width="9.77734375" style="4" customWidth="1"/>
    <col min="9254" max="9254" width="11.109375" style="4" customWidth="1"/>
    <col min="9255" max="9259" width="9.77734375" style="4" customWidth="1"/>
    <col min="9260" max="9260" width="11.109375" style="4" customWidth="1"/>
    <col min="9261" max="9265" width="9.77734375" style="4" customWidth="1"/>
    <col min="9266" max="9266" width="11.109375" style="4" customWidth="1"/>
    <col min="9267" max="9271" width="9.77734375" style="4" customWidth="1"/>
    <col min="9272" max="9272" width="11.109375" style="4" customWidth="1"/>
    <col min="9273" max="9277" width="9.77734375" style="4" customWidth="1"/>
    <col min="9278" max="9278" width="11.109375" style="4" customWidth="1"/>
    <col min="9279" max="9283" width="9.77734375" style="4" customWidth="1"/>
    <col min="9284" max="9284" width="11.109375" style="4" customWidth="1"/>
    <col min="9285" max="9289" width="9.77734375" style="4" customWidth="1"/>
    <col min="9290" max="9290" width="11.109375" style="4" customWidth="1"/>
    <col min="9291" max="9295" width="9.77734375" style="4" customWidth="1"/>
    <col min="9296" max="9296" width="11.109375" style="4" customWidth="1"/>
    <col min="9297" max="9301" width="9.77734375" style="4" customWidth="1"/>
    <col min="9302" max="9302" width="11.109375" style="4" customWidth="1"/>
    <col min="9303" max="9307" width="9.77734375" style="4" customWidth="1"/>
    <col min="9308" max="9473" width="8.88671875" style="4"/>
    <col min="9474" max="9474" width="12.109375" style="4" bestFit="1" customWidth="1"/>
    <col min="9475" max="9475" width="11.109375" style="4" bestFit="1" customWidth="1"/>
    <col min="9476" max="9485" width="9.77734375" style="4" customWidth="1"/>
    <col min="9486" max="9486" width="11.109375" style="4" bestFit="1" customWidth="1"/>
    <col min="9487" max="9491" width="9.77734375" style="4" customWidth="1"/>
    <col min="9492" max="9492" width="11.109375" style="4" customWidth="1"/>
    <col min="9493" max="9497" width="9.77734375" style="4" customWidth="1"/>
    <col min="9498" max="9498" width="11.109375" style="4" customWidth="1"/>
    <col min="9499" max="9503" width="9.77734375" style="4" customWidth="1"/>
    <col min="9504" max="9504" width="11.109375" style="4" customWidth="1"/>
    <col min="9505" max="9509" width="9.77734375" style="4" customWidth="1"/>
    <col min="9510" max="9510" width="11.109375" style="4" customWidth="1"/>
    <col min="9511" max="9515" width="9.77734375" style="4" customWidth="1"/>
    <col min="9516" max="9516" width="11.109375" style="4" customWidth="1"/>
    <col min="9517" max="9521" width="9.77734375" style="4" customWidth="1"/>
    <col min="9522" max="9522" width="11.109375" style="4" customWidth="1"/>
    <col min="9523" max="9527" width="9.77734375" style="4" customWidth="1"/>
    <col min="9528" max="9528" width="11.109375" style="4" customWidth="1"/>
    <col min="9529" max="9533" width="9.77734375" style="4" customWidth="1"/>
    <col min="9534" max="9534" width="11.109375" style="4" customWidth="1"/>
    <col min="9535" max="9539" width="9.77734375" style="4" customWidth="1"/>
    <col min="9540" max="9540" width="11.109375" style="4" customWidth="1"/>
    <col min="9541" max="9545" width="9.77734375" style="4" customWidth="1"/>
    <col min="9546" max="9546" width="11.109375" style="4" customWidth="1"/>
    <col min="9547" max="9551" width="9.77734375" style="4" customWidth="1"/>
    <col min="9552" max="9552" width="11.109375" style="4" customWidth="1"/>
    <col min="9553" max="9557" width="9.77734375" style="4" customWidth="1"/>
    <col min="9558" max="9558" width="11.109375" style="4" customWidth="1"/>
    <col min="9559" max="9563" width="9.77734375" style="4" customWidth="1"/>
    <col min="9564" max="9729" width="8.88671875" style="4"/>
    <col min="9730" max="9730" width="12.109375" style="4" bestFit="1" customWidth="1"/>
    <col min="9731" max="9731" width="11.109375" style="4" bestFit="1" customWidth="1"/>
    <col min="9732" max="9741" width="9.77734375" style="4" customWidth="1"/>
    <col min="9742" max="9742" width="11.109375" style="4" bestFit="1" customWidth="1"/>
    <col min="9743" max="9747" width="9.77734375" style="4" customWidth="1"/>
    <col min="9748" max="9748" width="11.109375" style="4" customWidth="1"/>
    <col min="9749" max="9753" width="9.77734375" style="4" customWidth="1"/>
    <col min="9754" max="9754" width="11.109375" style="4" customWidth="1"/>
    <col min="9755" max="9759" width="9.77734375" style="4" customWidth="1"/>
    <col min="9760" max="9760" width="11.109375" style="4" customWidth="1"/>
    <col min="9761" max="9765" width="9.77734375" style="4" customWidth="1"/>
    <col min="9766" max="9766" width="11.109375" style="4" customWidth="1"/>
    <col min="9767" max="9771" width="9.77734375" style="4" customWidth="1"/>
    <col min="9772" max="9772" width="11.109375" style="4" customWidth="1"/>
    <col min="9773" max="9777" width="9.77734375" style="4" customWidth="1"/>
    <col min="9778" max="9778" width="11.109375" style="4" customWidth="1"/>
    <col min="9779" max="9783" width="9.77734375" style="4" customWidth="1"/>
    <col min="9784" max="9784" width="11.109375" style="4" customWidth="1"/>
    <col min="9785" max="9789" width="9.77734375" style="4" customWidth="1"/>
    <col min="9790" max="9790" width="11.109375" style="4" customWidth="1"/>
    <col min="9791" max="9795" width="9.77734375" style="4" customWidth="1"/>
    <col min="9796" max="9796" width="11.109375" style="4" customWidth="1"/>
    <col min="9797" max="9801" width="9.77734375" style="4" customWidth="1"/>
    <col min="9802" max="9802" width="11.109375" style="4" customWidth="1"/>
    <col min="9803" max="9807" width="9.77734375" style="4" customWidth="1"/>
    <col min="9808" max="9808" width="11.109375" style="4" customWidth="1"/>
    <col min="9809" max="9813" width="9.77734375" style="4" customWidth="1"/>
    <col min="9814" max="9814" width="11.109375" style="4" customWidth="1"/>
    <col min="9815" max="9819" width="9.77734375" style="4" customWidth="1"/>
    <col min="9820" max="9985" width="8.88671875" style="4"/>
    <col min="9986" max="9986" width="12.109375" style="4" bestFit="1" customWidth="1"/>
    <col min="9987" max="9987" width="11.109375" style="4" bestFit="1" customWidth="1"/>
    <col min="9988" max="9997" width="9.77734375" style="4" customWidth="1"/>
    <col min="9998" max="9998" width="11.109375" style="4" bestFit="1" customWidth="1"/>
    <col min="9999" max="10003" width="9.77734375" style="4" customWidth="1"/>
    <col min="10004" max="10004" width="11.109375" style="4" customWidth="1"/>
    <col min="10005" max="10009" width="9.77734375" style="4" customWidth="1"/>
    <col min="10010" max="10010" width="11.109375" style="4" customWidth="1"/>
    <col min="10011" max="10015" width="9.77734375" style="4" customWidth="1"/>
    <col min="10016" max="10016" width="11.109375" style="4" customWidth="1"/>
    <col min="10017" max="10021" width="9.77734375" style="4" customWidth="1"/>
    <col min="10022" max="10022" width="11.109375" style="4" customWidth="1"/>
    <col min="10023" max="10027" width="9.77734375" style="4" customWidth="1"/>
    <col min="10028" max="10028" width="11.109375" style="4" customWidth="1"/>
    <col min="10029" max="10033" width="9.77734375" style="4" customWidth="1"/>
    <col min="10034" max="10034" width="11.109375" style="4" customWidth="1"/>
    <col min="10035" max="10039" width="9.77734375" style="4" customWidth="1"/>
    <col min="10040" max="10040" width="11.109375" style="4" customWidth="1"/>
    <col min="10041" max="10045" width="9.77734375" style="4" customWidth="1"/>
    <col min="10046" max="10046" width="11.109375" style="4" customWidth="1"/>
    <col min="10047" max="10051" width="9.77734375" style="4" customWidth="1"/>
    <col min="10052" max="10052" width="11.109375" style="4" customWidth="1"/>
    <col min="10053" max="10057" width="9.77734375" style="4" customWidth="1"/>
    <col min="10058" max="10058" width="11.109375" style="4" customWidth="1"/>
    <col min="10059" max="10063" width="9.77734375" style="4" customWidth="1"/>
    <col min="10064" max="10064" width="11.109375" style="4" customWidth="1"/>
    <col min="10065" max="10069" width="9.77734375" style="4" customWidth="1"/>
    <col min="10070" max="10070" width="11.109375" style="4" customWidth="1"/>
    <col min="10071" max="10075" width="9.77734375" style="4" customWidth="1"/>
    <col min="10076" max="10241" width="8.88671875" style="4"/>
    <col min="10242" max="10242" width="12.109375" style="4" bestFit="1" customWidth="1"/>
    <col min="10243" max="10243" width="11.109375" style="4" bestFit="1" customWidth="1"/>
    <col min="10244" max="10253" width="9.77734375" style="4" customWidth="1"/>
    <col min="10254" max="10254" width="11.109375" style="4" bestFit="1" customWidth="1"/>
    <col min="10255" max="10259" width="9.77734375" style="4" customWidth="1"/>
    <col min="10260" max="10260" width="11.109375" style="4" customWidth="1"/>
    <col min="10261" max="10265" width="9.77734375" style="4" customWidth="1"/>
    <col min="10266" max="10266" width="11.109375" style="4" customWidth="1"/>
    <col min="10267" max="10271" width="9.77734375" style="4" customWidth="1"/>
    <col min="10272" max="10272" width="11.109375" style="4" customWidth="1"/>
    <col min="10273" max="10277" width="9.77734375" style="4" customWidth="1"/>
    <col min="10278" max="10278" width="11.109375" style="4" customWidth="1"/>
    <col min="10279" max="10283" width="9.77734375" style="4" customWidth="1"/>
    <col min="10284" max="10284" width="11.109375" style="4" customWidth="1"/>
    <col min="10285" max="10289" width="9.77734375" style="4" customWidth="1"/>
    <col min="10290" max="10290" width="11.109375" style="4" customWidth="1"/>
    <col min="10291" max="10295" width="9.77734375" style="4" customWidth="1"/>
    <col min="10296" max="10296" width="11.109375" style="4" customWidth="1"/>
    <col min="10297" max="10301" width="9.77734375" style="4" customWidth="1"/>
    <col min="10302" max="10302" width="11.109375" style="4" customWidth="1"/>
    <col min="10303" max="10307" width="9.77734375" style="4" customWidth="1"/>
    <col min="10308" max="10308" width="11.109375" style="4" customWidth="1"/>
    <col min="10309" max="10313" width="9.77734375" style="4" customWidth="1"/>
    <col min="10314" max="10314" width="11.109375" style="4" customWidth="1"/>
    <col min="10315" max="10319" width="9.77734375" style="4" customWidth="1"/>
    <col min="10320" max="10320" width="11.109375" style="4" customWidth="1"/>
    <col min="10321" max="10325" width="9.77734375" style="4" customWidth="1"/>
    <col min="10326" max="10326" width="11.109375" style="4" customWidth="1"/>
    <col min="10327" max="10331" width="9.77734375" style="4" customWidth="1"/>
    <col min="10332" max="10497" width="8.88671875" style="4"/>
    <col min="10498" max="10498" width="12.109375" style="4" bestFit="1" customWidth="1"/>
    <col min="10499" max="10499" width="11.109375" style="4" bestFit="1" customWidth="1"/>
    <col min="10500" max="10509" width="9.77734375" style="4" customWidth="1"/>
    <col min="10510" max="10510" width="11.109375" style="4" bestFit="1" customWidth="1"/>
    <col min="10511" max="10515" width="9.77734375" style="4" customWidth="1"/>
    <col min="10516" max="10516" width="11.109375" style="4" customWidth="1"/>
    <col min="10517" max="10521" width="9.77734375" style="4" customWidth="1"/>
    <col min="10522" max="10522" width="11.109375" style="4" customWidth="1"/>
    <col min="10523" max="10527" width="9.77734375" style="4" customWidth="1"/>
    <col min="10528" max="10528" width="11.109375" style="4" customWidth="1"/>
    <col min="10529" max="10533" width="9.77734375" style="4" customWidth="1"/>
    <col min="10534" max="10534" width="11.109375" style="4" customWidth="1"/>
    <col min="10535" max="10539" width="9.77734375" style="4" customWidth="1"/>
    <col min="10540" max="10540" width="11.109375" style="4" customWidth="1"/>
    <col min="10541" max="10545" width="9.77734375" style="4" customWidth="1"/>
    <col min="10546" max="10546" width="11.109375" style="4" customWidth="1"/>
    <col min="10547" max="10551" width="9.77734375" style="4" customWidth="1"/>
    <col min="10552" max="10552" width="11.109375" style="4" customWidth="1"/>
    <col min="10553" max="10557" width="9.77734375" style="4" customWidth="1"/>
    <col min="10558" max="10558" width="11.109375" style="4" customWidth="1"/>
    <col min="10559" max="10563" width="9.77734375" style="4" customWidth="1"/>
    <col min="10564" max="10564" width="11.109375" style="4" customWidth="1"/>
    <col min="10565" max="10569" width="9.77734375" style="4" customWidth="1"/>
    <col min="10570" max="10570" width="11.109375" style="4" customWidth="1"/>
    <col min="10571" max="10575" width="9.77734375" style="4" customWidth="1"/>
    <col min="10576" max="10576" width="11.109375" style="4" customWidth="1"/>
    <col min="10577" max="10581" width="9.77734375" style="4" customWidth="1"/>
    <col min="10582" max="10582" width="11.109375" style="4" customWidth="1"/>
    <col min="10583" max="10587" width="9.77734375" style="4" customWidth="1"/>
    <col min="10588" max="10753" width="8.88671875" style="4"/>
    <col min="10754" max="10754" width="12.109375" style="4" bestFit="1" customWidth="1"/>
    <col min="10755" max="10755" width="11.109375" style="4" bestFit="1" customWidth="1"/>
    <col min="10756" max="10765" width="9.77734375" style="4" customWidth="1"/>
    <col min="10766" max="10766" width="11.109375" style="4" bestFit="1" customWidth="1"/>
    <col min="10767" max="10771" width="9.77734375" style="4" customWidth="1"/>
    <col min="10772" max="10772" width="11.109375" style="4" customWidth="1"/>
    <col min="10773" max="10777" width="9.77734375" style="4" customWidth="1"/>
    <col min="10778" max="10778" width="11.109375" style="4" customWidth="1"/>
    <col min="10779" max="10783" width="9.77734375" style="4" customWidth="1"/>
    <col min="10784" max="10784" width="11.109375" style="4" customWidth="1"/>
    <col min="10785" max="10789" width="9.77734375" style="4" customWidth="1"/>
    <col min="10790" max="10790" width="11.109375" style="4" customWidth="1"/>
    <col min="10791" max="10795" width="9.77734375" style="4" customWidth="1"/>
    <col min="10796" max="10796" width="11.109375" style="4" customWidth="1"/>
    <col min="10797" max="10801" width="9.77734375" style="4" customWidth="1"/>
    <col min="10802" max="10802" width="11.109375" style="4" customWidth="1"/>
    <col min="10803" max="10807" width="9.77734375" style="4" customWidth="1"/>
    <col min="10808" max="10808" width="11.109375" style="4" customWidth="1"/>
    <col min="10809" max="10813" width="9.77734375" style="4" customWidth="1"/>
    <col min="10814" max="10814" width="11.109375" style="4" customWidth="1"/>
    <col min="10815" max="10819" width="9.77734375" style="4" customWidth="1"/>
    <col min="10820" max="10820" width="11.109375" style="4" customWidth="1"/>
    <col min="10821" max="10825" width="9.77734375" style="4" customWidth="1"/>
    <col min="10826" max="10826" width="11.109375" style="4" customWidth="1"/>
    <col min="10827" max="10831" width="9.77734375" style="4" customWidth="1"/>
    <col min="10832" max="10832" width="11.109375" style="4" customWidth="1"/>
    <col min="10833" max="10837" width="9.77734375" style="4" customWidth="1"/>
    <col min="10838" max="10838" width="11.109375" style="4" customWidth="1"/>
    <col min="10839" max="10843" width="9.77734375" style="4" customWidth="1"/>
    <col min="10844" max="11009" width="8.88671875" style="4"/>
    <col min="11010" max="11010" width="12.109375" style="4" bestFit="1" customWidth="1"/>
    <col min="11011" max="11011" width="11.109375" style="4" bestFit="1" customWidth="1"/>
    <col min="11012" max="11021" width="9.77734375" style="4" customWidth="1"/>
    <col min="11022" max="11022" width="11.109375" style="4" bestFit="1" customWidth="1"/>
    <col min="11023" max="11027" width="9.77734375" style="4" customWidth="1"/>
    <col min="11028" max="11028" width="11.109375" style="4" customWidth="1"/>
    <col min="11029" max="11033" width="9.77734375" style="4" customWidth="1"/>
    <col min="11034" max="11034" width="11.109375" style="4" customWidth="1"/>
    <col min="11035" max="11039" width="9.77734375" style="4" customWidth="1"/>
    <col min="11040" max="11040" width="11.109375" style="4" customWidth="1"/>
    <col min="11041" max="11045" width="9.77734375" style="4" customWidth="1"/>
    <col min="11046" max="11046" width="11.109375" style="4" customWidth="1"/>
    <col min="11047" max="11051" width="9.77734375" style="4" customWidth="1"/>
    <col min="11052" max="11052" width="11.109375" style="4" customWidth="1"/>
    <col min="11053" max="11057" width="9.77734375" style="4" customWidth="1"/>
    <col min="11058" max="11058" width="11.109375" style="4" customWidth="1"/>
    <col min="11059" max="11063" width="9.77734375" style="4" customWidth="1"/>
    <col min="11064" max="11064" width="11.109375" style="4" customWidth="1"/>
    <col min="11065" max="11069" width="9.77734375" style="4" customWidth="1"/>
    <col min="11070" max="11070" width="11.109375" style="4" customWidth="1"/>
    <col min="11071" max="11075" width="9.77734375" style="4" customWidth="1"/>
    <col min="11076" max="11076" width="11.109375" style="4" customWidth="1"/>
    <col min="11077" max="11081" width="9.77734375" style="4" customWidth="1"/>
    <col min="11082" max="11082" width="11.109375" style="4" customWidth="1"/>
    <col min="11083" max="11087" width="9.77734375" style="4" customWidth="1"/>
    <col min="11088" max="11088" width="11.109375" style="4" customWidth="1"/>
    <col min="11089" max="11093" width="9.77734375" style="4" customWidth="1"/>
    <col min="11094" max="11094" width="11.109375" style="4" customWidth="1"/>
    <col min="11095" max="11099" width="9.77734375" style="4" customWidth="1"/>
    <col min="11100" max="11265" width="8.88671875" style="4"/>
    <col min="11266" max="11266" width="12.109375" style="4" bestFit="1" customWidth="1"/>
    <col min="11267" max="11267" width="11.109375" style="4" bestFit="1" customWidth="1"/>
    <col min="11268" max="11277" width="9.77734375" style="4" customWidth="1"/>
    <col min="11278" max="11278" width="11.109375" style="4" bestFit="1" customWidth="1"/>
    <col min="11279" max="11283" width="9.77734375" style="4" customWidth="1"/>
    <col min="11284" max="11284" width="11.109375" style="4" customWidth="1"/>
    <col min="11285" max="11289" width="9.77734375" style="4" customWidth="1"/>
    <col min="11290" max="11290" width="11.109375" style="4" customWidth="1"/>
    <col min="11291" max="11295" width="9.77734375" style="4" customWidth="1"/>
    <col min="11296" max="11296" width="11.109375" style="4" customWidth="1"/>
    <col min="11297" max="11301" width="9.77734375" style="4" customWidth="1"/>
    <col min="11302" max="11302" width="11.109375" style="4" customWidth="1"/>
    <col min="11303" max="11307" width="9.77734375" style="4" customWidth="1"/>
    <col min="11308" max="11308" width="11.109375" style="4" customWidth="1"/>
    <col min="11309" max="11313" width="9.77734375" style="4" customWidth="1"/>
    <col min="11314" max="11314" width="11.109375" style="4" customWidth="1"/>
    <col min="11315" max="11319" width="9.77734375" style="4" customWidth="1"/>
    <col min="11320" max="11320" width="11.109375" style="4" customWidth="1"/>
    <col min="11321" max="11325" width="9.77734375" style="4" customWidth="1"/>
    <col min="11326" max="11326" width="11.109375" style="4" customWidth="1"/>
    <col min="11327" max="11331" width="9.77734375" style="4" customWidth="1"/>
    <col min="11332" max="11332" width="11.109375" style="4" customWidth="1"/>
    <col min="11333" max="11337" width="9.77734375" style="4" customWidth="1"/>
    <col min="11338" max="11338" width="11.109375" style="4" customWidth="1"/>
    <col min="11339" max="11343" width="9.77734375" style="4" customWidth="1"/>
    <col min="11344" max="11344" width="11.109375" style="4" customWidth="1"/>
    <col min="11345" max="11349" width="9.77734375" style="4" customWidth="1"/>
    <col min="11350" max="11350" width="11.109375" style="4" customWidth="1"/>
    <col min="11351" max="11355" width="9.77734375" style="4" customWidth="1"/>
    <col min="11356" max="11521" width="8.88671875" style="4"/>
    <col min="11522" max="11522" width="12.109375" style="4" bestFit="1" customWidth="1"/>
    <col min="11523" max="11523" width="11.109375" style="4" bestFit="1" customWidth="1"/>
    <col min="11524" max="11533" width="9.77734375" style="4" customWidth="1"/>
    <col min="11534" max="11534" width="11.109375" style="4" bestFit="1" customWidth="1"/>
    <col min="11535" max="11539" width="9.77734375" style="4" customWidth="1"/>
    <col min="11540" max="11540" width="11.109375" style="4" customWidth="1"/>
    <col min="11541" max="11545" width="9.77734375" style="4" customWidth="1"/>
    <col min="11546" max="11546" width="11.109375" style="4" customWidth="1"/>
    <col min="11547" max="11551" width="9.77734375" style="4" customWidth="1"/>
    <col min="11552" max="11552" width="11.109375" style="4" customWidth="1"/>
    <col min="11553" max="11557" width="9.77734375" style="4" customWidth="1"/>
    <col min="11558" max="11558" width="11.109375" style="4" customWidth="1"/>
    <col min="11559" max="11563" width="9.77734375" style="4" customWidth="1"/>
    <col min="11564" max="11564" width="11.109375" style="4" customWidth="1"/>
    <col min="11565" max="11569" width="9.77734375" style="4" customWidth="1"/>
    <col min="11570" max="11570" width="11.109375" style="4" customWidth="1"/>
    <col min="11571" max="11575" width="9.77734375" style="4" customWidth="1"/>
    <col min="11576" max="11576" width="11.109375" style="4" customWidth="1"/>
    <col min="11577" max="11581" width="9.77734375" style="4" customWidth="1"/>
    <col min="11582" max="11582" width="11.109375" style="4" customWidth="1"/>
    <col min="11583" max="11587" width="9.77734375" style="4" customWidth="1"/>
    <col min="11588" max="11588" width="11.109375" style="4" customWidth="1"/>
    <col min="11589" max="11593" width="9.77734375" style="4" customWidth="1"/>
    <col min="11594" max="11594" width="11.109375" style="4" customWidth="1"/>
    <col min="11595" max="11599" width="9.77734375" style="4" customWidth="1"/>
    <col min="11600" max="11600" width="11.109375" style="4" customWidth="1"/>
    <col min="11601" max="11605" width="9.77734375" style="4" customWidth="1"/>
    <col min="11606" max="11606" width="11.109375" style="4" customWidth="1"/>
    <col min="11607" max="11611" width="9.77734375" style="4" customWidth="1"/>
    <col min="11612" max="11777" width="8.88671875" style="4"/>
    <col min="11778" max="11778" width="12.109375" style="4" bestFit="1" customWidth="1"/>
    <col min="11779" max="11779" width="11.109375" style="4" bestFit="1" customWidth="1"/>
    <col min="11780" max="11789" width="9.77734375" style="4" customWidth="1"/>
    <col min="11790" max="11790" width="11.109375" style="4" bestFit="1" customWidth="1"/>
    <col min="11791" max="11795" width="9.77734375" style="4" customWidth="1"/>
    <col min="11796" max="11796" width="11.109375" style="4" customWidth="1"/>
    <col min="11797" max="11801" width="9.77734375" style="4" customWidth="1"/>
    <col min="11802" max="11802" width="11.109375" style="4" customWidth="1"/>
    <col min="11803" max="11807" width="9.77734375" style="4" customWidth="1"/>
    <col min="11808" max="11808" width="11.109375" style="4" customWidth="1"/>
    <col min="11809" max="11813" width="9.77734375" style="4" customWidth="1"/>
    <col min="11814" max="11814" width="11.109375" style="4" customWidth="1"/>
    <col min="11815" max="11819" width="9.77734375" style="4" customWidth="1"/>
    <col min="11820" max="11820" width="11.109375" style="4" customWidth="1"/>
    <col min="11821" max="11825" width="9.77734375" style="4" customWidth="1"/>
    <col min="11826" max="11826" width="11.109375" style="4" customWidth="1"/>
    <col min="11827" max="11831" width="9.77734375" style="4" customWidth="1"/>
    <col min="11832" max="11832" width="11.109375" style="4" customWidth="1"/>
    <col min="11833" max="11837" width="9.77734375" style="4" customWidth="1"/>
    <col min="11838" max="11838" width="11.109375" style="4" customWidth="1"/>
    <col min="11839" max="11843" width="9.77734375" style="4" customWidth="1"/>
    <col min="11844" max="11844" width="11.109375" style="4" customWidth="1"/>
    <col min="11845" max="11849" width="9.77734375" style="4" customWidth="1"/>
    <col min="11850" max="11850" width="11.109375" style="4" customWidth="1"/>
    <col min="11851" max="11855" width="9.77734375" style="4" customWidth="1"/>
    <col min="11856" max="11856" width="11.109375" style="4" customWidth="1"/>
    <col min="11857" max="11861" width="9.77734375" style="4" customWidth="1"/>
    <col min="11862" max="11862" width="11.109375" style="4" customWidth="1"/>
    <col min="11863" max="11867" width="9.77734375" style="4" customWidth="1"/>
    <col min="11868" max="12033" width="8.88671875" style="4"/>
    <col min="12034" max="12034" width="12.109375" style="4" bestFit="1" customWidth="1"/>
    <col min="12035" max="12035" width="11.109375" style="4" bestFit="1" customWidth="1"/>
    <col min="12036" max="12045" width="9.77734375" style="4" customWidth="1"/>
    <col min="12046" max="12046" width="11.109375" style="4" bestFit="1" customWidth="1"/>
    <col min="12047" max="12051" width="9.77734375" style="4" customWidth="1"/>
    <col min="12052" max="12052" width="11.109375" style="4" customWidth="1"/>
    <col min="12053" max="12057" width="9.77734375" style="4" customWidth="1"/>
    <col min="12058" max="12058" width="11.109375" style="4" customWidth="1"/>
    <col min="12059" max="12063" width="9.77734375" style="4" customWidth="1"/>
    <col min="12064" max="12064" width="11.109375" style="4" customWidth="1"/>
    <col min="12065" max="12069" width="9.77734375" style="4" customWidth="1"/>
    <col min="12070" max="12070" width="11.109375" style="4" customWidth="1"/>
    <col min="12071" max="12075" width="9.77734375" style="4" customWidth="1"/>
    <col min="12076" max="12076" width="11.109375" style="4" customWidth="1"/>
    <col min="12077" max="12081" width="9.77734375" style="4" customWidth="1"/>
    <col min="12082" max="12082" width="11.109375" style="4" customWidth="1"/>
    <col min="12083" max="12087" width="9.77734375" style="4" customWidth="1"/>
    <col min="12088" max="12088" width="11.109375" style="4" customWidth="1"/>
    <col min="12089" max="12093" width="9.77734375" style="4" customWidth="1"/>
    <col min="12094" max="12094" width="11.109375" style="4" customWidth="1"/>
    <col min="12095" max="12099" width="9.77734375" style="4" customWidth="1"/>
    <col min="12100" max="12100" width="11.109375" style="4" customWidth="1"/>
    <col min="12101" max="12105" width="9.77734375" style="4" customWidth="1"/>
    <col min="12106" max="12106" width="11.109375" style="4" customWidth="1"/>
    <col min="12107" max="12111" width="9.77734375" style="4" customWidth="1"/>
    <col min="12112" max="12112" width="11.109375" style="4" customWidth="1"/>
    <col min="12113" max="12117" width="9.77734375" style="4" customWidth="1"/>
    <col min="12118" max="12118" width="11.109375" style="4" customWidth="1"/>
    <col min="12119" max="12123" width="9.77734375" style="4" customWidth="1"/>
    <col min="12124" max="12289" width="8.88671875" style="4"/>
    <col min="12290" max="12290" width="12.109375" style="4" bestFit="1" customWidth="1"/>
    <col min="12291" max="12291" width="11.109375" style="4" bestFit="1" customWidth="1"/>
    <col min="12292" max="12301" width="9.77734375" style="4" customWidth="1"/>
    <col min="12302" max="12302" width="11.109375" style="4" bestFit="1" customWidth="1"/>
    <col min="12303" max="12307" width="9.77734375" style="4" customWidth="1"/>
    <col min="12308" max="12308" width="11.109375" style="4" customWidth="1"/>
    <col min="12309" max="12313" width="9.77734375" style="4" customWidth="1"/>
    <col min="12314" max="12314" width="11.109375" style="4" customWidth="1"/>
    <col min="12315" max="12319" width="9.77734375" style="4" customWidth="1"/>
    <col min="12320" max="12320" width="11.109375" style="4" customWidth="1"/>
    <col min="12321" max="12325" width="9.77734375" style="4" customWidth="1"/>
    <col min="12326" max="12326" width="11.109375" style="4" customWidth="1"/>
    <col min="12327" max="12331" width="9.77734375" style="4" customWidth="1"/>
    <col min="12332" max="12332" width="11.109375" style="4" customWidth="1"/>
    <col min="12333" max="12337" width="9.77734375" style="4" customWidth="1"/>
    <col min="12338" max="12338" width="11.109375" style="4" customWidth="1"/>
    <col min="12339" max="12343" width="9.77734375" style="4" customWidth="1"/>
    <col min="12344" max="12344" width="11.109375" style="4" customWidth="1"/>
    <col min="12345" max="12349" width="9.77734375" style="4" customWidth="1"/>
    <col min="12350" max="12350" width="11.109375" style="4" customWidth="1"/>
    <col min="12351" max="12355" width="9.77734375" style="4" customWidth="1"/>
    <col min="12356" max="12356" width="11.109375" style="4" customWidth="1"/>
    <col min="12357" max="12361" width="9.77734375" style="4" customWidth="1"/>
    <col min="12362" max="12362" width="11.109375" style="4" customWidth="1"/>
    <col min="12363" max="12367" width="9.77734375" style="4" customWidth="1"/>
    <col min="12368" max="12368" width="11.109375" style="4" customWidth="1"/>
    <col min="12369" max="12373" width="9.77734375" style="4" customWidth="1"/>
    <col min="12374" max="12374" width="11.109375" style="4" customWidth="1"/>
    <col min="12375" max="12379" width="9.77734375" style="4" customWidth="1"/>
    <col min="12380" max="12545" width="8.88671875" style="4"/>
    <col min="12546" max="12546" width="12.109375" style="4" bestFit="1" customWidth="1"/>
    <col min="12547" max="12547" width="11.109375" style="4" bestFit="1" customWidth="1"/>
    <col min="12548" max="12557" width="9.77734375" style="4" customWidth="1"/>
    <col min="12558" max="12558" width="11.109375" style="4" bestFit="1" customWidth="1"/>
    <col min="12559" max="12563" width="9.77734375" style="4" customWidth="1"/>
    <col min="12564" max="12564" width="11.109375" style="4" customWidth="1"/>
    <col min="12565" max="12569" width="9.77734375" style="4" customWidth="1"/>
    <col min="12570" max="12570" width="11.109375" style="4" customWidth="1"/>
    <col min="12571" max="12575" width="9.77734375" style="4" customWidth="1"/>
    <col min="12576" max="12576" width="11.109375" style="4" customWidth="1"/>
    <col min="12577" max="12581" width="9.77734375" style="4" customWidth="1"/>
    <col min="12582" max="12582" width="11.109375" style="4" customWidth="1"/>
    <col min="12583" max="12587" width="9.77734375" style="4" customWidth="1"/>
    <col min="12588" max="12588" width="11.109375" style="4" customWidth="1"/>
    <col min="12589" max="12593" width="9.77734375" style="4" customWidth="1"/>
    <col min="12594" max="12594" width="11.109375" style="4" customWidth="1"/>
    <col min="12595" max="12599" width="9.77734375" style="4" customWidth="1"/>
    <col min="12600" max="12600" width="11.109375" style="4" customWidth="1"/>
    <col min="12601" max="12605" width="9.77734375" style="4" customWidth="1"/>
    <col min="12606" max="12606" width="11.109375" style="4" customWidth="1"/>
    <col min="12607" max="12611" width="9.77734375" style="4" customWidth="1"/>
    <col min="12612" max="12612" width="11.109375" style="4" customWidth="1"/>
    <col min="12613" max="12617" width="9.77734375" style="4" customWidth="1"/>
    <col min="12618" max="12618" width="11.109375" style="4" customWidth="1"/>
    <col min="12619" max="12623" width="9.77734375" style="4" customWidth="1"/>
    <col min="12624" max="12624" width="11.109375" style="4" customWidth="1"/>
    <col min="12625" max="12629" width="9.77734375" style="4" customWidth="1"/>
    <col min="12630" max="12630" width="11.109375" style="4" customWidth="1"/>
    <col min="12631" max="12635" width="9.77734375" style="4" customWidth="1"/>
    <col min="12636" max="12801" width="8.88671875" style="4"/>
    <col min="12802" max="12802" width="12.109375" style="4" bestFit="1" customWidth="1"/>
    <col min="12803" max="12803" width="11.109375" style="4" bestFit="1" customWidth="1"/>
    <col min="12804" max="12813" width="9.77734375" style="4" customWidth="1"/>
    <col min="12814" max="12814" width="11.109375" style="4" bestFit="1" customWidth="1"/>
    <col min="12815" max="12819" width="9.77734375" style="4" customWidth="1"/>
    <col min="12820" max="12820" width="11.109375" style="4" customWidth="1"/>
    <col min="12821" max="12825" width="9.77734375" style="4" customWidth="1"/>
    <col min="12826" max="12826" width="11.109375" style="4" customWidth="1"/>
    <col min="12827" max="12831" width="9.77734375" style="4" customWidth="1"/>
    <col min="12832" max="12832" width="11.109375" style="4" customWidth="1"/>
    <col min="12833" max="12837" width="9.77734375" style="4" customWidth="1"/>
    <col min="12838" max="12838" width="11.109375" style="4" customWidth="1"/>
    <col min="12839" max="12843" width="9.77734375" style="4" customWidth="1"/>
    <col min="12844" max="12844" width="11.109375" style="4" customWidth="1"/>
    <col min="12845" max="12849" width="9.77734375" style="4" customWidth="1"/>
    <col min="12850" max="12850" width="11.109375" style="4" customWidth="1"/>
    <col min="12851" max="12855" width="9.77734375" style="4" customWidth="1"/>
    <col min="12856" max="12856" width="11.109375" style="4" customWidth="1"/>
    <col min="12857" max="12861" width="9.77734375" style="4" customWidth="1"/>
    <col min="12862" max="12862" width="11.109375" style="4" customWidth="1"/>
    <col min="12863" max="12867" width="9.77734375" style="4" customWidth="1"/>
    <col min="12868" max="12868" width="11.109375" style="4" customWidth="1"/>
    <col min="12869" max="12873" width="9.77734375" style="4" customWidth="1"/>
    <col min="12874" max="12874" width="11.109375" style="4" customWidth="1"/>
    <col min="12875" max="12879" width="9.77734375" style="4" customWidth="1"/>
    <col min="12880" max="12880" width="11.109375" style="4" customWidth="1"/>
    <col min="12881" max="12885" width="9.77734375" style="4" customWidth="1"/>
    <col min="12886" max="12886" width="11.109375" style="4" customWidth="1"/>
    <col min="12887" max="12891" width="9.77734375" style="4" customWidth="1"/>
    <col min="12892" max="13057" width="8.88671875" style="4"/>
    <col min="13058" max="13058" width="12.109375" style="4" bestFit="1" customWidth="1"/>
    <col min="13059" max="13059" width="11.109375" style="4" bestFit="1" customWidth="1"/>
    <col min="13060" max="13069" width="9.77734375" style="4" customWidth="1"/>
    <col min="13070" max="13070" width="11.109375" style="4" bestFit="1" customWidth="1"/>
    <col min="13071" max="13075" width="9.77734375" style="4" customWidth="1"/>
    <col min="13076" max="13076" width="11.109375" style="4" customWidth="1"/>
    <col min="13077" max="13081" width="9.77734375" style="4" customWidth="1"/>
    <col min="13082" max="13082" width="11.109375" style="4" customWidth="1"/>
    <col min="13083" max="13087" width="9.77734375" style="4" customWidth="1"/>
    <col min="13088" max="13088" width="11.109375" style="4" customWidth="1"/>
    <col min="13089" max="13093" width="9.77734375" style="4" customWidth="1"/>
    <col min="13094" max="13094" width="11.109375" style="4" customWidth="1"/>
    <col min="13095" max="13099" width="9.77734375" style="4" customWidth="1"/>
    <col min="13100" max="13100" width="11.109375" style="4" customWidth="1"/>
    <col min="13101" max="13105" width="9.77734375" style="4" customWidth="1"/>
    <col min="13106" max="13106" width="11.109375" style="4" customWidth="1"/>
    <col min="13107" max="13111" width="9.77734375" style="4" customWidth="1"/>
    <col min="13112" max="13112" width="11.109375" style="4" customWidth="1"/>
    <col min="13113" max="13117" width="9.77734375" style="4" customWidth="1"/>
    <col min="13118" max="13118" width="11.109375" style="4" customWidth="1"/>
    <col min="13119" max="13123" width="9.77734375" style="4" customWidth="1"/>
    <col min="13124" max="13124" width="11.109375" style="4" customWidth="1"/>
    <col min="13125" max="13129" width="9.77734375" style="4" customWidth="1"/>
    <col min="13130" max="13130" width="11.109375" style="4" customWidth="1"/>
    <col min="13131" max="13135" width="9.77734375" style="4" customWidth="1"/>
    <col min="13136" max="13136" width="11.109375" style="4" customWidth="1"/>
    <col min="13137" max="13141" width="9.77734375" style="4" customWidth="1"/>
    <col min="13142" max="13142" width="11.109375" style="4" customWidth="1"/>
    <col min="13143" max="13147" width="9.77734375" style="4" customWidth="1"/>
    <col min="13148" max="13313" width="8.88671875" style="4"/>
    <col min="13314" max="13314" width="12.109375" style="4" bestFit="1" customWidth="1"/>
    <col min="13315" max="13315" width="11.109375" style="4" bestFit="1" customWidth="1"/>
    <col min="13316" max="13325" width="9.77734375" style="4" customWidth="1"/>
    <col min="13326" max="13326" width="11.109375" style="4" bestFit="1" customWidth="1"/>
    <col min="13327" max="13331" width="9.77734375" style="4" customWidth="1"/>
    <col min="13332" max="13332" width="11.109375" style="4" customWidth="1"/>
    <col min="13333" max="13337" width="9.77734375" style="4" customWidth="1"/>
    <col min="13338" max="13338" width="11.109375" style="4" customWidth="1"/>
    <col min="13339" max="13343" width="9.77734375" style="4" customWidth="1"/>
    <col min="13344" max="13344" width="11.109375" style="4" customWidth="1"/>
    <col min="13345" max="13349" width="9.77734375" style="4" customWidth="1"/>
    <col min="13350" max="13350" width="11.109375" style="4" customWidth="1"/>
    <col min="13351" max="13355" width="9.77734375" style="4" customWidth="1"/>
    <col min="13356" max="13356" width="11.109375" style="4" customWidth="1"/>
    <col min="13357" max="13361" width="9.77734375" style="4" customWidth="1"/>
    <col min="13362" max="13362" width="11.109375" style="4" customWidth="1"/>
    <col min="13363" max="13367" width="9.77734375" style="4" customWidth="1"/>
    <col min="13368" max="13368" width="11.109375" style="4" customWidth="1"/>
    <col min="13369" max="13373" width="9.77734375" style="4" customWidth="1"/>
    <col min="13374" max="13374" width="11.109375" style="4" customWidth="1"/>
    <col min="13375" max="13379" width="9.77734375" style="4" customWidth="1"/>
    <col min="13380" max="13380" width="11.109375" style="4" customWidth="1"/>
    <col min="13381" max="13385" width="9.77734375" style="4" customWidth="1"/>
    <col min="13386" max="13386" width="11.109375" style="4" customWidth="1"/>
    <col min="13387" max="13391" width="9.77734375" style="4" customWidth="1"/>
    <col min="13392" max="13392" width="11.109375" style="4" customWidth="1"/>
    <col min="13393" max="13397" width="9.77734375" style="4" customWidth="1"/>
    <col min="13398" max="13398" width="11.109375" style="4" customWidth="1"/>
    <col min="13399" max="13403" width="9.77734375" style="4" customWidth="1"/>
    <col min="13404" max="13569" width="8.88671875" style="4"/>
    <col min="13570" max="13570" width="12.109375" style="4" bestFit="1" customWidth="1"/>
    <col min="13571" max="13571" width="11.109375" style="4" bestFit="1" customWidth="1"/>
    <col min="13572" max="13581" width="9.77734375" style="4" customWidth="1"/>
    <col min="13582" max="13582" width="11.109375" style="4" bestFit="1" customWidth="1"/>
    <col min="13583" max="13587" width="9.77734375" style="4" customWidth="1"/>
    <col min="13588" max="13588" width="11.109375" style="4" customWidth="1"/>
    <col min="13589" max="13593" width="9.77734375" style="4" customWidth="1"/>
    <col min="13594" max="13594" width="11.109375" style="4" customWidth="1"/>
    <col min="13595" max="13599" width="9.77734375" style="4" customWidth="1"/>
    <col min="13600" max="13600" width="11.109375" style="4" customWidth="1"/>
    <col min="13601" max="13605" width="9.77734375" style="4" customWidth="1"/>
    <col min="13606" max="13606" width="11.109375" style="4" customWidth="1"/>
    <col min="13607" max="13611" width="9.77734375" style="4" customWidth="1"/>
    <col min="13612" max="13612" width="11.109375" style="4" customWidth="1"/>
    <col min="13613" max="13617" width="9.77734375" style="4" customWidth="1"/>
    <col min="13618" max="13618" width="11.109375" style="4" customWidth="1"/>
    <col min="13619" max="13623" width="9.77734375" style="4" customWidth="1"/>
    <col min="13624" max="13624" width="11.109375" style="4" customWidth="1"/>
    <col min="13625" max="13629" width="9.77734375" style="4" customWidth="1"/>
    <col min="13630" max="13630" width="11.109375" style="4" customWidth="1"/>
    <col min="13631" max="13635" width="9.77734375" style="4" customWidth="1"/>
    <col min="13636" max="13636" width="11.109375" style="4" customWidth="1"/>
    <col min="13637" max="13641" width="9.77734375" style="4" customWidth="1"/>
    <col min="13642" max="13642" width="11.109375" style="4" customWidth="1"/>
    <col min="13643" max="13647" width="9.77734375" style="4" customWidth="1"/>
    <col min="13648" max="13648" width="11.109375" style="4" customWidth="1"/>
    <col min="13649" max="13653" width="9.77734375" style="4" customWidth="1"/>
    <col min="13654" max="13654" width="11.109375" style="4" customWidth="1"/>
    <col min="13655" max="13659" width="9.77734375" style="4" customWidth="1"/>
    <col min="13660" max="13825" width="8.88671875" style="4"/>
    <col min="13826" max="13826" width="12.109375" style="4" bestFit="1" customWidth="1"/>
    <col min="13827" max="13827" width="11.109375" style="4" bestFit="1" customWidth="1"/>
    <col min="13828" max="13837" width="9.77734375" style="4" customWidth="1"/>
    <col min="13838" max="13838" width="11.109375" style="4" bestFit="1" customWidth="1"/>
    <col min="13839" max="13843" width="9.77734375" style="4" customWidth="1"/>
    <col min="13844" max="13844" width="11.109375" style="4" customWidth="1"/>
    <col min="13845" max="13849" width="9.77734375" style="4" customWidth="1"/>
    <col min="13850" max="13850" width="11.109375" style="4" customWidth="1"/>
    <col min="13851" max="13855" width="9.77734375" style="4" customWidth="1"/>
    <col min="13856" max="13856" width="11.109375" style="4" customWidth="1"/>
    <col min="13857" max="13861" width="9.77734375" style="4" customWidth="1"/>
    <col min="13862" max="13862" width="11.109375" style="4" customWidth="1"/>
    <col min="13863" max="13867" width="9.77734375" style="4" customWidth="1"/>
    <col min="13868" max="13868" width="11.109375" style="4" customWidth="1"/>
    <col min="13869" max="13873" width="9.77734375" style="4" customWidth="1"/>
    <col min="13874" max="13874" width="11.109375" style="4" customWidth="1"/>
    <col min="13875" max="13879" width="9.77734375" style="4" customWidth="1"/>
    <col min="13880" max="13880" width="11.109375" style="4" customWidth="1"/>
    <col min="13881" max="13885" width="9.77734375" style="4" customWidth="1"/>
    <col min="13886" max="13886" width="11.109375" style="4" customWidth="1"/>
    <col min="13887" max="13891" width="9.77734375" style="4" customWidth="1"/>
    <col min="13892" max="13892" width="11.109375" style="4" customWidth="1"/>
    <col min="13893" max="13897" width="9.77734375" style="4" customWidth="1"/>
    <col min="13898" max="13898" width="11.109375" style="4" customWidth="1"/>
    <col min="13899" max="13903" width="9.77734375" style="4" customWidth="1"/>
    <col min="13904" max="13904" width="11.109375" style="4" customWidth="1"/>
    <col min="13905" max="13909" width="9.77734375" style="4" customWidth="1"/>
    <col min="13910" max="13910" width="11.109375" style="4" customWidth="1"/>
    <col min="13911" max="13915" width="9.77734375" style="4" customWidth="1"/>
    <col min="13916" max="14081" width="8.88671875" style="4"/>
    <col min="14082" max="14082" width="12.109375" style="4" bestFit="1" customWidth="1"/>
    <col min="14083" max="14083" width="11.109375" style="4" bestFit="1" customWidth="1"/>
    <col min="14084" max="14093" width="9.77734375" style="4" customWidth="1"/>
    <col min="14094" max="14094" width="11.109375" style="4" bestFit="1" customWidth="1"/>
    <col min="14095" max="14099" width="9.77734375" style="4" customWidth="1"/>
    <col min="14100" max="14100" width="11.109375" style="4" customWidth="1"/>
    <col min="14101" max="14105" width="9.77734375" style="4" customWidth="1"/>
    <col min="14106" max="14106" width="11.109375" style="4" customWidth="1"/>
    <col min="14107" max="14111" width="9.77734375" style="4" customWidth="1"/>
    <col min="14112" max="14112" width="11.109375" style="4" customWidth="1"/>
    <col min="14113" max="14117" width="9.77734375" style="4" customWidth="1"/>
    <col min="14118" max="14118" width="11.109375" style="4" customWidth="1"/>
    <col min="14119" max="14123" width="9.77734375" style="4" customWidth="1"/>
    <col min="14124" max="14124" width="11.109375" style="4" customWidth="1"/>
    <col min="14125" max="14129" width="9.77734375" style="4" customWidth="1"/>
    <col min="14130" max="14130" width="11.109375" style="4" customWidth="1"/>
    <col min="14131" max="14135" width="9.77734375" style="4" customWidth="1"/>
    <col min="14136" max="14136" width="11.109375" style="4" customWidth="1"/>
    <col min="14137" max="14141" width="9.77734375" style="4" customWidth="1"/>
    <col min="14142" max="14142" width="11.109375" style="4" customWidth="1"/>
    <col min="14143" max="14147" width="9.77734375" style="4" customWidth="1"/>
    <col min="14148" max="14148" width="11.109375" style="4" customWidth="1"/>
    <col min="14149" max="14153" width="9.77734375" style="4" customWidth="1"/>
    <col min="14154" max="14154" width="11.109375" style="4" customWidth="1"/>
    <col min="14155" max="14159" width="9.77734375" style="4" customWidth="1"/>
    <col min="14160" max="14160" width="11.109375" style="4" customWidth="1"/>
    <col min="14161" max="14165" width="9.77734375" style="4" customWidth="1"/>
    <col min="14166" max="14166" width="11.109375" style="4" customWidth="1"/>
    <col min="14167" max="14171" width="9.77734375" style="4" customWidth="1"/>
    <col min="14172" max="14337" width="8.88671875" style="4"/>
    <col min="14338" max="14338" width="12.109375" style="4" bestFit="1" customWidth="1"/>
    <col min="14339" max="14339" width="11.109375" style="4" bestFit="1" customWidth="1"/>
    <col min="14340" max="14349" width="9.77734375" style="4" customWidth="1"/>
    <col min="14350" max="14350" width="11.109375" style="4" bestFit="1" customWidth="1"/>
    <col min="14351" max="14355" width="9.77734375" style="4" customWidth="1"/>
    <col min="14356" max="14356" width="11.109375" style="4" customWidth="1"/>
    <col min="14357" max="14361" width="9.77734375" style="4" customWidth="1"/>
    <col min="14362" max="14362" width="11.109375" style="4" customWidth="1"/>
    <col min="14363" max="14367" width="9.77734375" style="4" customWidth="1"/>
    <col min="14368" max="14368" width="11.109375" style="4" customWidth="1"/>
    <col min="14369" max="14373" width="9.77734375" style="4" customWidth="1"/>
    <col min="14374" max="14374" width="11.109375" style="4" customWidth="1"/>
    <col min="14375" max="14379" width="9.77734375" style="4" customWidth="1"/>
    <col min="14380" max="14380" width="11.109375" style="4" customWidth="1"/>
    <col min="14381" max="14385" width="9.77734375" style="4" customWidth="1"/>
    <col min="14386" max="14386" width="11.109375" style="4" customWidth="1"/>
    <col min="14387" max="14391" width="9.77734375" style="4" customWidth="1"/>
    <col min="14392" max="14392" width="11.109375" style="4" customWidth="1"/>
    <col min="14393" max="14397" width="9.77734375" style="4" customWidth="1"/>
    <col min="14398" max="14398" width="11.109375" style="4" customWidth="1"/>
    <col min="14399" max="14403" width="9.77734375" style="4" customWidth="1"/>
    <col min="14404" max="14404" width="11.109375" style="4" customWidth="1"/>
    <col min="14405" max="14409" width="9.77734375" style="4" customWidth="1"/>
    <col min="14410" max="14410" width="11.109375" style="4" customWidth="1"/>
    <col min="14411" max="14415" width="9.77734375" style="4" customWidth="1"/>
    <col min="14416" max="14416" width="11.109375" style="4" customWidth="1"/>
    <col min="14417" max="14421" width="9.77734375" style="4" customWidth="1"/>
    <col min="14422" max="14422" width="11.109375" style="4" customWidth="1"/>
    <col min="14423" max="14427" width="9.77734375" style="4" customWidth="1"/>
    <col min="14428" max="14593" width="8.88671875" style="4"/>
    <col min="14594" max="14594" width="12.109375" style="4" bestFit="1" customWidth="1"/>
    <col min="14595" max="14595" width="11.109375" style="4" bestFit="1" customWidth="1"/>
    <col min="14596" max="14605" width="9.77734375" style="4" customWidth="1"/>
    <col min="14606" max="14606" width="11.109375" style="4" bestFit="1" customWidth="1"/>
    <col min="14607" max="14611" width="9.77734375" style="4" customWidth="1"/>
    <col min="14612" max="14612" width="11.109375" style="4" customWidth="1"/>
    <col min="14613" max="14617" width="9.77734375" style="4" customWidth="1"/>
    <col min="14618" max="14618" width="11.109375" style="4" customWidth="1"/>
    <col min="14619" max="14623" width="9.77734375" style="4" customWidth="1"/>
    <col min="14624" max="14624" width="11.109375" style="4" customWidth="1"/>
    <col min="14625" max="14629" width="9.77734375" style="4" customWidth="1"/>
    <col min="14630" max="14630" width="11.109375" style="4" customWidth="1"/>
    <col min="14631" max="14635" width="9.77734375" style="4" customWidth="1"/>
    <col min="14636" max="14636" width="11.109375" style="4" customWidth="1"/>
    <col min="14637" max="14641" width="9.77734375" style="4" customWidth="1"/>
    <col min="14642" max="14642" width="11.109375" style="4" customWidth="1"/>
    <col min="14643" max="14647" width="9.77734375" style="4" customWidth="1"/>
    <col min="14648" max="14648" width="11.109375" style="4" customWidth="1"/>
    <col min="14649" max="14653" width="9.77734375" style="4" customWidth="1"/>
    <col min="14654" max="14654" width="11.109375" style="4" customWidth="1"/>
    <col min="14655" max="14659" width="9.77734375" style="4" customWidth="1"/>
    <col min="14660" max="14660" width="11.109375" style="4" customWidth="1"/>
    <col min="14661" max="14665" width="9.77734375" style="4" customWidth="1"/>
    <col min="14666" max="14666" width="11.109375" style="4" customWidth="1"/>
    <col min="14667" max="14671" width="9.77734375" style="4" customWidth="1"/>
    <col min="14672" max="14672" width="11.109375" style="4" customWidth="1"/>
    <col min="14673" max="14677" width="9.77734375" style="4" customWidth="1"/>
    <col min="14678" max="14678" width="11.109375" style="4" customWidth="1"/>
    <col min="14679" max="14683" width="9.77734375" style="4" customWidth="1"/>
    <col min="14684" max="14849" width="8.88671875" style="4"/>
    <col min="14850" max="14850" width="12.109375" style="4" bestFit="1" customWidth="1"/>
    <col min="14851" max="14851" width="11.109375" style="4" bestFit="1" customWidth="1"/>
    <col min="14852" max="14861" width="9.77734375" style="4" customWidth="1"/>
    <col min="14862" max="14862" width="11.109375" style="4" bestFit="1" customWidth="1"/>
    <col min="14863" max="14867" width="9.77734375" style="4" customWidth="1"/>
    <col min="14868" max="14868" width="11.109375" style="4" customWidth="1"/>
    <col min="14869" max="14873" width="9.77734375" style="4" customWidth="1"/>
    <col min="14874" max="14874" width="11.109375" style="4" customWidth="1"/>
    <col min="14875" max="14879" width="9.77734375" style="4" customWidth="1"/>
    <col min="14880" max="14880" width="11.109375" style="4" customWidth="1"/>
    <col min="14881" max="14885" width="9.77734375" style="4" customWidth="1"/>
    <col min="14886" max="14886" width="11.109375" style="4" customWidth="1"/>
    <col min="14887" max="14891" width="9.77734375" style="4" customWidth="1"/>
    <col min="14892" max="14892" width="11.109375" style="4" customWidth="1"/>
    <col min="14893" max="14897" width="9.77734375" style="4" customWidth="1"/>
    <col min="14898" max="14898" width="11.109375" style="4" customWidth="1"/>
    <col min="14899" max="14903" width="9.77734375" style="4" customWidth="1"/>
    <col min="14904" max="14904" width="11.109375" style="4" customWidth="1"/>
    <col min="14905" max="14909" width="9.77734375" style="4" customWidth="1"/>
    <col min="14910" max="14910" width="11.109375" style="4" customWidth="1"/>
    <col min="14911" max="14915" width="9.77734375" style="4" customWidth="1"/>
    <col min="14916" max="14916" width="11.109375" style="4" customWidth="1"/>
    <col min="14917" max="14921" width="9.77734375" style="4" customWidth="1"/>
    <col min="14922" max="14922" width="11.109375" style="4" customWidth="1"/>
    <col min="14923" max="14927" width="9.77734375" style="4" customWidth="1"/>
    <col min="14928" max="14928" width="11.109375" style="4" customWidth="1"/>
    <col min="14929" max="14933" width="9.77734375" style="4" customWidth="1"/>
    <col min="14934" max="14934" width="11.109375" style="4" customWidth="1"/>
    <col min="14935" max="14939" width="9.77734375" style="4" customWidth="1"/>
    <col min="14940" max="15105" width="8.88671875" style="4"/>
    <col min="15106" max="15106" width="12.109375" style="4" bestFit="1" customWidth="1"/>
    <col min="15107" max="15107" width="11.109375" style="4" bestFit="1" customWidth="1"/>
    <col min="15108" max="15117" width="9.77734375" style="4" customWidth="1"/>
    <col min="15118" max="15118" width="11.109375" style="4" bestFit="1" customWidth="1"/>
    <col min="15119" max="15123" width="9.77734375" style="4" customWidth="1"/>
    <col min="15124" max="15124" width="11.109375" style="4" customWidth="1"/>
    <col min="15125" max="15129" width="9.77734375" style="4" customWidth="1"/>
    <col min="15130" max="15130" width="11.109375" style="4" customWidth="1"/>
    <col min="15131" max="15135" width="9.77734375" style="4" customWidth="1"/>
    <col min="15136" max="15136" width="11.109375" style="4" customWidth="1"/>
    <col min="15137" max="15141" width="9.77734375" style="4" customWidth="1"/>
    <col min="15142" max="15142" width="11.109375" style="4" customWidth="1"/>
    <col min="15143" max="15147" width="9.77734375" style="4" customWidth="1"/>
    <col min="15148" max="15148" width="11.109375" style="4" customWidth="1"/>
    <col min="15149" max="15153" width="9.77734375" style="4" customWidth="1"/>
    <col min="15154" max="15154" width="11.109375" style="4" customWidth="1"/>
    <col min="15155" max="15159" width="9.77734375" style="4" customWidth="1"/>
    <col min="15160" max="15160" width="11.109375" style="4" customWidth="1"/>
    <col min="15161" max="15165" width="9.77734375" style="4" customWidth="1"/>
    <col min="15166" max="15166" width="11.109375" style="4" customWidth="1"/>
    <col min="15167" max="15171" width="9.77734375" style="4" customWidth="1"/>
    <col min="15172" max="15172" width="11.109375" style="4" customWidth="1"/>
    <col min="15173" max="15177" width="9.77734375" style="4" customWidth="1"/>
    <col min="15178" max="15178" width="11.109375" style="4" customWidth="1"/>
    <col min="15179" max="15183" width="9.77734375" style="4" customWidth="1"/>
    <col min="15184" max="15184" width="11.109375" style="4" customWidth="1"/>
    <col min="15185" max="15189" width="9.77734375" style="4" customWidth="1"/>
    <col min="15190" max="15190" width="11.109375" style="4" customWidth="1"/>
    <col min="15191" max="15195" width="9.77734375" style="4" customWidth="1"/>
    <col min="15196" max="15361" width="8.88671875" style="4"/>
    <col min="15362" max="15362" width="12.109375" style="4" bestFit="1" customWidth="1"/>
    <col min="15363" max="15363" width="11.109375" style="4" bestFit="1" customWidth="1"/>
    <col min="15364" max="15373" width="9.77734375" style="4" customWidth="1"/>
    <col min="15374" max="15374" width="11.109375" style="4" bestFit="1" customWidth="1"/>
    <col min="15375" max="15379" width="9.77734375" style="4" customWidth="1"/>
    <col min="15380" max="15380" width="11.109375" style="4" customWidth="1"/>
    <col min="15381" max="15385" width="9.77734375" style="4" customWidth="1"/>
    <col min="15386" max="15386" width="11.109375" style="4" customWidth="1"/>
    <col min="15387" max="15391" width="9.77734375" style="4" customWidth="1"/>
    <col min="15392" max="15392" width="11.109375" style="4" customWidth="1"/>
    <col min="15393" max="15397" width="9.77734375" style="4" customWidth="1"/>
    <col min="15398" max="15398" width="11.109375" style="4" customWidth="1"/>
    <col min="15399" max="15403" width="9.77734375" style="4" customWidth="1"/>
    <col min="15404" max="15404" width="11.109375" style="4" customWidth="1"/>
    <col min="15405" max="15409" width="9.77734375" style="4" customWidth="1"/>
    <col min="15410" max="15410" width="11.109375" style="4" customWidth="1"/>
    <col min="15411" max="15415" width="9.77734375" style="4" customWidth="1"/>
    <col min="15416" max="15416" width="11.109375" style="4" customWidth="1"/>
    <col min="15417" max="15421" width="9.77734375" style="4" customWidth="1"/>
    <col min="15422" max="15422" width="11.109375" style="4" customWidth="1"/>
    <col min="15423" max="15427" width="9.77734375" style="4" customWidth="1"/>
    <col min="15428" max="15428" width="11.109375" style="4" customWidth="1"/>
    <col min="15429" max="15433" width="9.77734375" style="4" customWidth="1"/>
    <col min="15434" max="15434" width="11.109375" style="4" customWidth="1"/>
    <col min="15435" max="15439" width="9.77734375" style="4" customWidth="1"/>
    <col min="15440" max="15440" width="11.109375" style="4" customWidth="1"/>
    <col min="15441" max="15445" width="9.77734375" style="4" customWidth="1"/>
    <col min="15446" max="15446" width="11.109375" style="4" customWidth="1"/>
    <col min="15447" max="15451" width="9.77734375" style="4" customWidth="1"/>
    <col min="15452" max="15617" width="8.88671875" style="4"/>
    <col min="15618" max="15618" width="12.109375" style="4" bestFit="1" customWidth="1"/>
    <col min="15619" max="15619" width="11.109375" style="4" bestFit="1" customWidth="1"/>
    <col min="15620" max="15629" width="9.77734375" style="4" customWidth="1"/>
    <col min="15630" max="15630" width="11.109375" style="4" bestFit="1" customWidth="1"/>
    <col min="15631" max="15635" width="9.77734375" style="4" customWidth="1"/>
    <col min="15636" max="15636" width="11.109375" style="4" customWidth="1"/>
    <col min="15637" max="15641" width="9.77734375" style="4" customWidth="1"/>
    <col min="15642" max="15642" width="11.109375" style="4" customWidth="1"/>
    <col min="15643" max="15647" width="9.77734375" style="4" customWidth="1"/>
    <col min="15648" max="15648" width="11.109375" style="4" customWidth="1"/>
    <col min="15649" max="15653" width="9.77734375" style="4" customWidth="1"/>
    <col min="15654" max="15654" width="11.109375" style="4" customWidth="1"/>
    <col min="15655" max="15659" width="9.77734375" style="4" customWidth="1"/>
    <col min="15660" max="15660" width="11.109375" style="4" customWidth="1"/>
    <col min="15661" max="15665" width="9.77734375" style="4" customWidth="1"/>
    <col min="15666" max="15666" width="11.109375" style="4" customWidth="1"/>
    <col min="15667" max="15671" width="9.77734375" style="4" customWidth="1"/>
    <col min="15672" max="15672" width="11.109375" style="4" customWidth="1"/>
    <col min="15673" max="15677" width="9.77734375" style="4" customWidth="1"/>
    <col min="15678" max="15678" width="11.109375" style="4" customWidth="1"/>
    <col min="15679" max="15683" width="9.77734375" style="4" customWidth="1"/>
    <col min="15684" max="15684" width="11.109375" style="4" customWidth="1"/>
    <col min="15685" max="15689" width="9.77734375" style="4" customWidth="1"/>
    <col min="15690" max="15690" width="11.109375" style="4" customWidth="1"/>
    <col min="15691" max="15695" width="9.77734375" style="4" customWidth="1"/>
    <col min="15696" max="15696" width="11.109375" style="4" customWidth="1"/>
    <col min="15697" max="15701" width="9.77734375" style="4" customWidth="1"/>
    <col min="15702" max="15702" width="11.109375" style="4" customWidth="1"/>
    <col min="15703" max="15707" width="9.77734375" style="4" customWidth="1"/>
    <col min="15708" max="15873" width="8.88671875" style="4"/>
    <col min="15874" max="15874" width="12.109375" style="4" bestFit="1" customWidth="1"/>
    <col min="15875" max="15875" width="11.109375" style="4" bestFit="1" customWidth="1"/>
    <col min="15876" max="15885" width="9.77734375" style="4" customWidth="1"/>
    <col min="15886" max="15886" width="11.109375" style="4" bestFit="1" customWidth="1"/>
    <col min="15887" max="15891" width="9.77734375" style="4" customWidth="1"/>
    <col min="15892" max="15892" width="11.109375" style="4" customWidth="1"/>
    <col min="15893" max="15897" width="9.77734375" style="4" customWidth="1"/>
    <col min="15898" max="15898" width="11.109375" style="4" customWidth="1"/>
    <col min="15899" max="15903" width="9.77734375" style="4" customWidth="1"/>
    <col min="15904" max="15904" width="11.109375" style="4" customWidth="1"/>
    <col min="15905" max="15909" width="9.77734375" style="4" customWidth="1"/>
    <col min="15910" max="15910" width="11.109375" style="4" customWidth="1"/>
    <col min="15911" max="15915" width="9.77734375" style="4" customWidth="1"/>
    <col min="15916" max="15916" width="11.109375" style="4" customWidth="1"/>
    <col min="15917" max="15921" width="9.77734375" style="4" customWidth="1"/>
    <col min="15922" max="15922" width="11.109375" style="4" customWidth="1"/>
    <col min="15923" max="15927" width="9.77734375" style="4" customWidth="1"/>
    <col min="15928" max="15928" width="11.109375" style="4" customWidth="1"/>
    <col min="15929" max="15933" width="9.77734375" style="4" customWidth="1"/>
    <col min="15934" max="15934" width="11.109375" style="4" customWidth="1"/>
    <col min="15935" max="15939" width="9.77734375" style="4" customWidth="1"/>
    <col min="15940" max="15940" width="11.109375" style="4" customWidth="1"/>
    <col min="15941" max="15945" width="9.77734375" style="4" customWidth="1"/>
    <col min="15946" max="15946" width="11.109375" style="4" customWidth="1"/>
    <col min="15947" max="15951" width="9.77734375" style="4" customWidth="1"/>
    <col min="15952" max="15952" width="11.109375" style="4" customWidth="1"/>
    <col min="15953" max="15957" width="9.77734375" style="4" customWidth="1"/>
    <col min="15958" max="15958" width="11.109375" style="4" customWidth="1"/>
    <col min="15959" max="15963" width="9.77734375" style="4" customWidth="1"/>
    <col min="15964" max="16129" width="8.88671875" style="4"/>
    <col min="16130" max="16130" width="12.109375" style="4" bestFit="1" customWidth="1"/>
    <col min="16131" max="16131" width="11.109375" style="4" bestFit="1" customWidth="1"/>
    <col min="16132" max="16141" width="9.77734375" style="4" customWidth="1"/>
    <col min="16142" max="16142" width="11.109375" style="4" bestFit="1" customWidth="1"/>
    <col min="16143" max="16147" width="9.77734375" style="4" customWidth="1"/>
    <col min="16148" max="16148" width="11.109375" style="4" customWidth="1"/>
    <col min="16149" max="16153" width="9.77734375" style="4" customWidth="1"/>
    <col min="16154" max="16154" width="11.109375" style="4" customWidth="1"/>
    <col min="16155" max="16159" width="9.77734375" style="4" customWidth="1"/>
    <col min="16160" max="16160" width="11.109375" style="4" customWidth="1"/>
    <col min="16161" max="16165" width="9.77734375" style="4" customWidth="1"/>
    <col min="16166" max="16166" width="11.109375" style="4" customWidth="1"/>
    <col min="16167" max="16171" width="9.77734375" style="4" customWidth="1"/>
    <col min="16172" max="16172" width="11.109375" style="4" customWidth="1"/>
    <col min="16173" max="16177" width="9.77734375" style="4" customWidth="1"/>
    <col min="16178" max="16178" width="11.109375" style="4" customWidth="1"/>
    <col min="16179" max="16183" width="9.77734375" style="4" customWidth="1"/>
    <col min="16184" max="16184" width="11.109375" style="4" customWidth="1"/>
    <col min="16185" max="16189" width="9.77734375" style="4" customWidth="1"/>
    <col min="16190" max="16190" width="11.109375" style="4" customWidth="1"/>
    <col min="16191" max="16195" width="9.77734375" style="4" customWidth="1"/>
    <col min="16196" max="16196" width="11.109375" style="4" customWidth="1"/>
    <col min="16197" max="16201" width="9.77734375" style="4" customWidth="1"/>
    <col min="16202" max="16202" width="11.109375" style="4" customWidth="1"/>
    <col min="16203" max="16207" width="9.77734375" style="4" customWidth="1"/>
    <col min="16208" max="16208" width="11.109375" style="4" customWidth="1"/>
    <col min="16209" max="16213" width="9.77734375" style="4" customWidth="1"/>
    <col min="16214" max="16214" width="11.109375" style="4" customWidth="1"/>
    <col min="16215" max="16219" width="9.77734375" style="4" customWidth="1"/>
    <col min="16220" max="16384" width="8.88671875" style="4"/>
  </cols>
  <sheetData>
    <row r="1" spans="1:91" x14ac:dyDescent="0.3">
      <c r="A1" s="1"/>
      <c r="B1" s="29" t="s">
        <v>0</v>
      </c>
      <c r="C1" s="29"/>
      <c r="D1" s="29"/>
      <c r="E1" s="29"/>
      <c r="F1" s="29"/>
      <c r="G1" s="29"/>
      <c r="H1" s="29" t="s">
        <v>1</v>
      </c>
      <c r="I1" s="29"/>
      <c r="J1" s="29"/>
      <c r="K1" s="29"/>
      <c r="L1" s="29"/>
      <c r="M1" s="29"/>
      <c r="N1" s="29" t="s">
        <v>2</v>
      </c>
      <c r="O1" s="29"/>
      <c r="P1" s="29"/>
      <c r="Q1" s="29"/>
      <c r="R1" s="29"/>
      <c r="S1" s="29"/>
      <c r="T1" s="29" t="s">
        <v>3</v>
      </c>
      <c r="U1" s="29"/>
      <c r="V1" s="29"/>
      <c r="W1" s="29"/>
      <c r="X1" s="29"/>
      <c r="Y1" s="29"/>
      <c r="Z1" s="29" t="s">
        <v>4</v>
      </c>
      <c r="AA1" s="29"/>
      <c r="AB1" s="29"/>
      <c r="AC1" s="29"/>
      <c r="AD1" s="29"/>
      <c r="AE1" s="29"/>
      <c r="AF1" s="29" t="s">
        <v>5</v>
      </c>
      <c r="AG1" s="29"/>
      <c r="AH1" s="29"/>
      <c r="AI1" s="29"/>
      <c r="AJ1" s="29"/>
      <c r="AK1" s="29"/>
      <c r="AL1" s="29" t="s">
        <v>6</v>
      </c>
      <c r="AM1" s="29"/>
      <c r="AN1" s="29"/>
      <c r="AO1" s="29"/>
      <c r="AP1" s="29"/>
      <c r="AQ1" s="29"/>
      <c r="AR1" s="29" t="s">
        <v>7</v>
      </c>
      <c r="AS1" s="29"/>
      <c r="AT1" s="29"/>
      <c r="AU1" s="29"/>
      <c r="AV1" s="29"/>
      <c r="AW1" s="29"/>
      <c r="AX1" s="29" t="s">
        <v>8</v>
      </c>
      <c r="AY1" s="29"/>
      <c r="AZ1" s="29"/>
      <c r="BA1" s="29"/>
      <c r="BB1" s="29"/>
      <c r="BC1" s="29"/>
      <c r="BD1" s="29" t="s">
        <v>9</v>
      </c>
      <c r="BE1" s="29"/>
      <c r="BF1" s="29"/>
      <c r="BG1" s="29"/>
      <c r="BH1" s="29"/>
      <c r="BI1" s="29"/>
      <c r="BJ1" s="29" t="s">
        <v>10</v>
      </c>
      <c r="BK1" s="29"/>
      <c r="BL1" s="29"/>
      <c r="BM1" s="29"/>
      <c r="BN1" s="29"/>
      <c r="BO1" s="29"/>
      <c r="BP1" s="29" t="s">
        <v>11</v>
      </c>
      <c r="BQ1" s="29"/>
      <c r="BR1" s="29"/>
      <c r="BS1" s="29"/>
      <c r="BT1" s="29"/>
      <c r="BU1" s="29"/>
      <c r="BV1" s="29" t="s">
        <v>12</v>
      </c>
      <c r="BW1" s="29"/>
      <c r="BX1" s="29"/>
      <c r="BY1" s="29"/>
      <c r="BZ1" s="29"/>
      <c r="CA1" s="29"/>
      <c r="CB1" s="30" t="s">
        <v>13</v>
      </c>
      <c r="CC1" s="30"/>
      <c r="CD1" s="30"/>
      <c r="CE1" s="30"/>
      <c r="CF1" s="30"/>
      <c r="CG1" s="30"/>
      <c r="CH1" s="29" t="s">
        <v>14</v>
      </c>
      <c r="CI1" s="29"/>
      <c r="CJ1" s="29"/>
      <c r="CK1" s="29"/>
      <c r="CL1" s="29"/>
      <c r="CM1" s="29"/>
    </row>
    <row r="2" spans="1:91" s="7" customFormat="1" ht="72" x14ac:dyDescent="0.3">
      <c r="A2" s="5"/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18</v>
      </c>
      <c r="X2" s="6" t="s">
        <v>19</v>
      </c>
      <c r="Y2" s="6" t="s">
        <v>20</v>
      </c>
      <c r="Z2" s="6" t="s">
        <v>21</v>
      </c>
      <c r="AA2" s="6" t="s">
        <v>22</v>
      </c>
      <c r="AB2" s="6" t="s">
        <v>23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23</v>
      </c>
      <c r="AI2" s="6" t="s">
        <v>18</v>
      </c>
      <c r="AJ2" s="6" t="s">
        <v>19</v>
      </c>
      <c r="AK2" s="6" t="s">
        <v>20</v>
      </c>
      <c r="AL2" s="6" t="s">
        <v>21</v>
      </c>
      <c r="AM2" s="6" t="s">
        <v>22</v>
      </c>
      <c r="AN2" s="6" t="s">
        <v>23</v>
      </c>
      <c r="AO2" s="6" t="s">
        <v>18</v>
      </c>
      <c r="AP2" s="6" t="s">
        <v>19</v>
      </c>
      <c r="AQ2" s="6" t="s">
        <v>20</v>
      </c>
      <c r="AR2" s="6" t="s">
        <v>21</v>
      </c>
      <c r="AS2" s="6" t="s">
        <v>22</v>
      </c>
      <c r="AT2" s="6" t="s">
        <v>23</v>
      </c>
      <c r="AU2" s="6" t="s">
        <v>18</v>
      </c>
      <c r="AV2" s="6" t="s">
        <v>19</v>
      </c>
      <c r="AW2" s="6" t="s">
        <v>20</v>
      </c>
      <c r="AX2" s="6" t="s">
        <v>21</v>
      </c>
      <c r="AY2" s="6" t="s">
        <v>22</v>
      </c>
      <c r="AZ2" s="6" t="s">
        <v>23</v>
      </c>
      <c r="BA2" s="6" t="s">
        <v>18</v>
      </c>
      <c r="BB2" s="6" t="s">
        <v>19</v>
      </c>
      <c r="BC2" s="6" t="s">
        <v>20</v>
      </c>
      <c r="BD2" s="6" t="s">
        <v>21</v>
      </c>
      <c r="BE2" s="6" t="s">
        <v>22</v>
      </c>
      <c r="BF2" s="6" t="s">
        <v>23</v>
      </c>
      <c r="BG2" s="6" t="s">
        <v>18</v>
      </c>
      <c r="BH2" s="6" t="s">
        <v>19</v>
      </c>
      <c r="BI2" s="6" t="s">
        <v>20</v>
      </c>
      <c r="BJ2" s="6" t="s">
        <v>21</v>
      </c>
      <c r="BK2" s="6" t="s">
        <v>22</v>
      </c>
      <c r="BL2" s="6" t="s">
        <v>23</v>
      </c>
      <c r="BM2" s="6" t="s">
        <v>18</v>
      </c>
      <c r="BN2" s="6" t="s">
        <v>19</v>
      </c>
      <c r="BO2" s="6" t="s">
        <v>20</v>
      </c>
      <c r="BP2" s="6" t="s">
        <v>21</v>
      </c>
      <c r="BQ2" s="6" t="s">
        <v>22</v>
      </c>
      <c r="BR2" s="6" t="s">
        <v>23</v>
      </c>
      <c r="BS2" s="6" t="s">
        <v>18</v>
      </c>
      <c r="BT2" s="6" t="s">
        <v>19</v>
      </c>
      <c r="BU2" s="6" t="s">
        <v>20</v>
      </c>
      <c r="BV2" s="6" t="s">
        <v>21</v>
      </c>
      <c r="BW2" s="6" t="s">
        <v>22</v>
      </c>
      <c r="BX2" s="6" t="s">
        <v>23</v>
      </c>
      <c r="BY2" s="6" t="s">
        <v>18</v>
      </c>
      <c r="BZ2" s="6" t="s">
        <v>19</v>
      </c>
      <c r="CA2" s="6" t="s">
        <v>20</v>
      </c>
      <c r="CB2" s="6" t="s">
        <v>21</v>
      </c>
      <c r="CC2" s="6" t="s">
        <v>22</v>
      </c>
      <c r="CD2" s="6" t="s">
        <v>23</v>
      </c>
      <c r="CE2" s="6" t="s">
        <v>18</v>
      </c>
      <c r="CF2" s="6" t="s">
        <v>19</v>
      </c>
      <c r="CG2" s="6" t="s">
        <v>20</v>
      </c>
      <c r="CH2" s="6" t="s">
        <v>15</v>
      </c>
      <c r="CI2" s="6" t="s">
        <v>16</v>
      </c>
      <c r="CJ2" s="6" t="s">
        <v>17</v>
      </c>
      <c r="CK2" s="6" t="s">
        <v>18</v>
      </c>
      <c r="CL2" s="6" t="s">
        <v>19</v>
      </c>
      <c r="CM2" s="6" t="s">
        <v>20</v>
      </c>
    </row>
    <row r="3" spans="1:91" x14ac:dyDescent="0.3">
      <c r="A3" s="8" t="s">
        <v>24</v>
      </c>
      <c r="B3" s="9">
        <v>37994.25</v>
      </c>
      <c r="C3" s="9">
        <v>12597.833333333334</v>
      </c>
      <c r="D3" s="9">
        <v>204</v>
      </c>
      <c r="E3" s="10">
        <v>6704.8676470588234</v>
      </c>
      <c r="F3" s="10">
        <v>2223.1470588235293</v>
      </c>
      <c r="G3" s="11">
        <v>9.4383333333333326</v>
      </c>
      <c r="H3" s="9">
        <v>31784.636363636364</v>
      </c>
      <c r="I3" s="9">
        <v>9056.363636363636</v>
      </c>
      <c r="J3" s="9">
        <v>174</v>
      </c>
      <c r="K3" s="10">
        <v>6028.1206896551721</v>
      </c>
      <c r="L3" s="10">
        <v>1717.5862068965519</v>
      </c>
      <c r="M3" s="11">
        <v>8.9818181818181824</v>
      </c>
      <c r="N3" s="12">
        <v>15400</v>
      </c>
      <c r="O3" s="12">
        <v>3831</v>
      </c>
      <c r="P3" s="12">
        <v>4</v>
      </c>
      <c r="Q3" s="13">
        <f>IFERROR(N3/P3*3,"")</f>
        <v>11550</v>
      </c>
      <c r="R3" s="13">
        <f>IFERROR(O3/P3*3,"")</f>
        <v>2873.25</v>
      </c>
      <c r="S3" s="14"/>
      <c r="T3" s="12">
        <v>42370</v>
      </c>
      <c r="U3" s="12">
        <v>14311</v>
      </c>
      <c r="V3" s="12">
        <v>10</v>
      </c>
      <c r="W3" s="13">
        <f>IFERROR(T3/V3*3,"")</f>
        <v>12711</v>
      </c>
      <c r="X3" s="13">
        <f>IFERROR(U3/V3*3,"")</f>
        <v>4293.2999999999993</v>
      </c>
      <c r="Y3" s="14"/>
      <c r="Z3" s="12">
        <v>24000</v>
      </c>
      <c r="AA3" s="12">
        <v>5685</v>
      </c>
      <c r="AB3" s="12">
        <v>4</v>
      </c>
      <c r="AC3" s="13">
        <f>IFERROR(Z3/AB3*3," ")</f>
        <v>18000</v>
      </c>
      <c r="AD3" s="13">
        <f>IFERROR(AA3/AB3*3," ")</f>
        <v>4263.75</v>
      </c>
      <c r="AE3" s="14"/>
      <c r="AF3" s="12">
        <v>21000</v>
      </c>
      <c r="AG3" s="12">
        <v>6212</v>
      </c>
      <c r="AH3" s="12">
        <v>6</v>
      </c>
      <c r="AI3" s="13">
        <f>IFERROR(AF3/AH3*3," ")</f>
        <v>10500</v>
      </c>
      <c r="AJ3" s="13">
        <f>IFERROR(AG3/AH3*3," ")</f>
        <v>3106</v>
      </c>
      <c r="AK3" s="14"/>
      <c r="AL3" s="12">
        <v>27000</v>
      </c>
      <c r="AM3" s="12">
        <v>7722</v>
      </c>
      <c r="AN3" s="12">
        <v>8</v>
      </c>
      <c r="AO3" s="13">
        <f>IFERROR(AL3/AN3*3," ")</f>
        <v>10125</v>
      </c>
      <c r="AP3" s="13">
        <f>IFERROR(AM3/AN3*3," ")</f>
        <v>2895.75</v>
      </c>
      <c r="AQ3" s="14"/>
      <c r="AR3" s="12">
        <v>3000</v>
      </c>
      <c r="AS3" s="12">
        <v>669</v>
      </c>
      <c r="AT3" s="12">
        <v>1</v>
      </c>
      <c r="AU3" s="13">
        <f>IFERROR(AR3/AT3*3," ")</f>
        <v>9000</v>
      </c>
      <c r="AV3" s="13">
        <f>IFERROR(AS3/AT3*3," ")</f>
        <v>2007</v>
      </c>
      <c r="AW3" s="14"/>
      <c r="AX3" s="12">
        <v>138000</v>
      </c>
      <c r="AY3" s="12">
        <v>47760</v>
      </c>
      <c r="AZ3" s="12">
        <v>27</v>
      </c>
      <c r="BA3" s="13">
        <f>IFERROR(AX3/AZ3*3," ")</f>
        <v>15333.333333333334</v>
      </c>
      <c r="BB3" s="13">
        <f>IFERROR(AY3/AZ3*3," ")</f>
        <v>5306.666666666667</v>
      </c>
      <c r="BC3" s="14"/>
      <c r="BD3" s="12">
        <v>180000</v>
      </c>
      <c r="BE3" s="12">
        <v>63525</v>
      </c>
      <c r="BF3" s="12">
        <v>35</v>
      </c>
      <c r="BG3" s="13">
        <f>IFERROR(BD3/BF3*3," ")</f>
        <v>15428.571428571429</v>
      </c>
      <c r="BH3" s="13">
        <f>IFERROR(BE3/BF3*3," ")</f>
        <v>5445</v>
      </c>
      <c r="BI3" s="14"/>
      <c r="BJ3" s="12">
        <v>78000</v>
      </c>
      <c r="BK3" s="12">
        <v>25977</v>
      </c>
      <c r="BL3" s="12">
        <v>19</v>
      </c>
      <c r="BM3" s="13">
        <f>IFERROR(BJ3/BL3*3," ")</f>
        <v>12315.78947368421</v>
      </c>
      <c r="BN3" s="13">
        <f>IFERROR(BK3/BL3*3," ")</f>
        <v>4101.6315789473683</v>
      </c>
      <c r="BO3" s="14"/>
      <c r="BP3" s="12">
        <v>280975</v>
      </c>
      <c r="BQ3" s="12">
        <v>97779</v>
      </c>
      <c r="BR3" s="12">
        <v>39</v>
      </c>
      <c r="BS3" s="13">
        <f>IFERROR(BP3/BR3*3," ")</f>
        <v>21613.461538461539</v>
      </c>
      <c r="BT3" s="13">
        <f>IFERROR(BQ3/BR3*3," ")</f>
        <v>7521.461538461539</v>
      </c>
      <c r="BU3" s="14"/>
      <c r="BV3" s="12">
        <v>34111</v>
      </c>
      <c r="BW3" s="12">
        <v>10617</v>
      </c>
      <c r="BX3" s="12">
        <v>12</v>
      </c>
      <c r="BY3" s="13">
        <f>IFERROR(BV3/BX3*3," ")</f>
        <v>8527.75</v>
      </c>
      <c r="BZ3" s="13">
        <f>IFERROR(BW3/BX3*3," ")</f>
        <v>2654.25</v>
      </c>
      <c r="CA3" s="14"/>
      <c r="CB3" s="12">
        <v>65867</v>
      </c>
      <c r="CC3" s="12">
        <v>16876</v>
      </c>
      <c r="CD3" s="12">
        <v>22</v>
      </c>
      <c r="CE3" s="13">
        <f>IFERROR(CB3/CD3*3," ")</f>
        <v>8981.863636363636</v>
      </c>
      <c r="CF3" s="13">
        <f>IFERROR(CC3/CD3*3," ")</f>
        <v>2301.2727272727275</v>
      </c>
      <c r="CG3" s="14" t="s">
        <v>51</v>
      </c>
      <c r="CH3" s="9">
        <f>IFERROR(AVERAGE(N3,T3,Z3,AF3,AL3,AR3,AX3,BD3,BJ3,BP3,BV3,CB3)," ")</f>
        <v>75810.25</v>
      </c>
      <c r="CI3" s="9">
        <f>IFERROR(AVERAGE(O3,U3,AA3,AG3,AM3,AS3,AY3,BE3,BK3,BQ3,BW3,CC3)," ")</f>
        <v>25080.333333333332</v>
      </c>
      <c r="CJ3" s="9">
        <f>IFERROR(SUM(P3,V3,AB3,AH3,AN3,AT3,AZ3,BF3,BL3,BR3,BX3,CD3)," ")</f>
        <v>187</v>
      </c>
      <c r="CK3" s="10">
        <f>IFERROR(SUM(N3,T3,Z3,AF3,AL3,AR3,AX3,BD3,BJ3,BP3,BV3,CB3)/CJ3*3," ")</f>
        <v>14594.486631016043</v>
      </c>
      <c r="CL3" s="10">
        <f>IFERROR(SUM(O3,U3,AA3,AG3,AM3,AS3,AY3,BE3,BK3,BQ3,BW3,CC3)/CJ3*3," ")</f>
        <v>4828.2994652406414</v>
      </c>
      <c r="CM3" s="11" t="str">
        <f>IFERROR(AVERAGE(S3,Y3,AE3,AK3,AQ3,AW3,BC3,BI3,BO3,BU3,CA3,CG3)," ")</f>
        <v xml:space="preserve"> </v>
      </c>
    </row>
    <row r="4" spans="1:91" x14ac:dyDescent="0.3">
      <c r="A4" s="8" t="s">
        <v>25</v>
      </c>
      <c r="B4" s="9">
        <v>349779.33333333331</v>
      </c>
      <c r="C4" s="9">
        <v>13901.833333333334</v>
      </c>
      <c r="D4" s="9">
        <v>992</v>
      </c>
      <c r="E4" s="10">
        <v>12693.604838709676</v>
      </c>
      <c r="F4" s="10">
        <v>504.5020161290322</v>
      </c>
      <c r="G4" s="11">
        <v>2.7650000000000001</v>
      </c>
      <c r="H4" s="9">
        <v>298974.36363636365</v>
      </c>
      <c r="I4" s="9">
        <v>11388.545454545454</v>
      </c>
      <c r="J4" s="9">
        <v>721</v>
      </c>
      <c r="K4" s="10">
        <v>13683.98613037448</v>
      </c>
      <c r="L4" s="10">
        <v>521.25104022191408</v>
      </c>
      <c r="M4" s="11">
        <v>2.6927272727272729</v>
      </c>
      <c r="N4" s="12">
        <v>180140</v>
      </c>
      <c r="O4" s="12">
        <v>6676</v>
      </c>
      <c r="P4" s="12">
        <v>31</v>
      </c>
      <c r="Q4" s="13">
        <f t="shared" ref="Q4:Q62" si="0">IFERROR(N4/P4*3,"")</f>
        <v>17432.903225806451</v>
      </c>
      <c r="R4" s="13">
        <f t="shared" ref="R4:R62" si="1">IFERROR(O4/P4*3,"")</f>
        <v>646.0645161290322</v>
      </c>
      <c r="S4" s="14"/>
      <c r="T4" s="12">
        <v>250840</v>
      </c>
      <c r="U4" s="12">
        <v>9300</v>
      </c>
      <c r="V4" s="12">
        <v>48</v>
      </c>
      <c r="W4" s="13">
        <f t="shared" ref="W4:W62" si="2">IFERROR(T4/V4*3,"")</f>
        <v>15677.5</v>
      </c>
      <c r="X4" s="13">
        <f t="shared" ref="X4:X62" si="3">IFERROR(U4/V4*3,"")</f>
        <v>581.25</v>
      </c>
      <c r="Y4" s="14"/>
      <c r="Z4" s="12">
        <v>141324</v>
      </c>
      <c r="AA4" s="12">
        <v>6765</v>
      </c>
      <c r="AB4" s="12">
        <v>27</v>
      </c>
      <c r="AC4" s="13">
        <f t="shared" ref="AC4:AC50" si="4">IFERROR(Z4/AB4*3," ")</f>
        <v>15702.666666666668</v>
      </c>
      <c r="AD4" s="13">
        <f t="shared" ref="AD4:AD50" si="5">IFERROR(AA4/AB4*3," ")</f>
        <v>751.66666666666663</v>
      </c>
      <c r="AE4" s="14"/>
      <c r="AF4" s="12">
        <v>169761</v>
      </c>
      <c r="AG4" s="12">
        <v>7093</v>
      </c>
      <c r="AH4" s="12">
        <v>33</v>
      </c>
      <c r="AI4" s="13">
        <f t="shared" ref="AI4:AI50" si="6">IFERROR(AF4/AH4*3," ")</f>
        <v>15432.81818181818</v>
      </c>
      <c r="AJ4" s="13">
        <f t="shared" ref="AJ4:AJ50" si="7">IFERROR(AG4/AH4*3," ")</f>
        <v>644.81818181818176</v>
      </c>
      <c r="AK4" s="14"/>
      <c r="AL4" s="12">
        <v>345980</v>
      </c>
      <c r="AM4" s="12">
        <v>12831</v>
      </c>
      <c r="AN4" s="12">
        <v>54</v>
      </c>
      <c r="AO4" s="13">
        <f t="shared" ref="AO4:AO50" si="8">IFERROR(AL4/AN4*3," ")</f>
        <v>19221.111111111113</v>
      </c>
      <c r="AP4" s="13">
        <f t="shared" ref="AP4:AP50" si="9">IFERROR(AM4/AN4*3," ")</f>
        <v>712.83333333333337</v>
      </c>
      <c r="AQ4" s="14"/>
      <c r="AR4" s="12">
        <v>251778</v>
      </c>
      <c r="AS4" s="12">
        <v>9335</v>
      </c>
      <c r="AT4" s="12">
        <v>42</v>
      </c>
      <c r="AU4" s="13">
        <f t="shared" ref="AU4:AU50" si="10">IFERROR(AR4/AT4*3," ")</f>
        <v>17984.142857142855</v>
      </c>
      <c r="AV4" s="13">
        <f t="shared" ref="AV4:AV50" si="11">IFERROR(AS4/AT4*3," ")</f>
        <v>666.78571428571422</v>
      </c>
      <c r="AW4" s="14"/>
      <c r="AX4" s="12">
        <v>271418</v>
      </c>
      <c r="AY4" s="12">
        <v>11531</v>
      </c>
      <c r="AZ4" s="12">
        <v>50</v>
      </c>
      <c r="BA4" s="13">
        <f t="shared" ref="BA4:BA50" si="12">IFERROR(AX4/AZ4*3," ")</f>
        <v>16285.079999999998</v>
      </c>
      <c r="BB4" s="13">
        <f t="shared" ref="BB4:BB50" si="13">IFERROR(AY4/AZ4*3," ")</f>
        <v>691.86</v>
      </c>
      <c r="BC4" s="14"/>
      <c r="BD4" s="12">
        <v>202553</v>
      </c>
      <c r="BE4" s="12">
        <v>7849</v>
      </c>
      <c r="BF4" s="12">
        <v>43</v>
      </c>
      <c r="BG4" s="13">
        <f t="shared" ref="BG4:BG50" si="14">IFERROR(BD4/BF4*3," ")</f>
        <v>14131.60465116279</v>
      </c>
      <c r="BH4" s="13">
        <f t="shared" ref="BH4:BH50" si="15">IFERROR(BE4/BF4*3," ")</f>
        <v>547.60465116279067</v>
      </c>
      <c r="BI4" s="14"/>
      <c r="BJ4" s="12">
        <v>169285</v>
      </c>
      <c r="BK4" s="12">
        <v>6972</v>
      </c>
      <c r="BL4" s="12">
        <v>42</v>
      </c>
      <c r="BM4" s="13">
        <f t="shared" ref="BM4:BM62" si="16">IFERROR(BJ4/BL4*3," ")</f>
        <v>12091.785714285714</v>
      </c>
      <c r="BN4" s="13">
        <f t="shared" ref="BN4:BN62" si="17">IFERROR(BK4/BL4*3," ")</f>
        <v>498</v>
      </c>
      <c r="BO4" s="14"/>
      <c r="BP4" s="12">
        <v>269580</v>
      </c>
      <c r="BQ4" s="12">
        <v>9997</v>
      </c>
      <c r="BR4" s="12">
        <v>47</v>
      </c>
      <c r="BS4" s="13">
        <f t="shared" ref="BS4:BS62" si="18">IFERROR(BP4/BR4*3," ")</f>
        <v>17207.234042553191</v>
      </c>
      <c r="BT4" s="13">
        <f t="shared" ref="BT4:BT62" si="19">IFERROR(BQ4/BR4*3," ")</f>
        <v>638.10638297872345</v>
      </c>
      <c r="BU4" s="14"/>
      <c r="BV4" s="12">
        <v>229382</v>
      </c>
      <c r="BW4" s="12">
        <v>8978</v>
      </c>
      <c r="BX4" s="12">
        <v>42</v>
      </c>
      <c r="BY4" s="13">
        <f t="shared" ref="BY4:BY62" si="20">IFERROR(BV4/BX4*3," ")</f>
        <v>16384.428571428572</v>
      </c>
      <c r="BZ4" s="13">
        <f t="shared" ref="BZ4:BZ62" si="21">IFERROR(BW4/BX4*3," ")</f>
        <v>641.28571428571422</v>
      </c>
      <c r="CA4" s="14"/>
      <c r="CB4" s="12">
        <v>259747</v>
      </c>
      <c r="CC4" s="12">
        <v>9764</v>
      </c>
      <c r="CD4" s="12">
        <v>47</v>
      </c>
      <c r="CE4" s="13">
        <f t="shared" ref="CE4:CE62" si="22">IFERROR(CB4/CD4*3," ")</f>
        <v>16579.59574468085</v>
      </c>
      <c r="CF4" s="13">
        <f t="shared" ref="CF4:CF62" si="23">IFERROR(CC4/CD4*3," ")</f>
        <v>623.23404255319156</v>
      </c>
      <c r="CG4" s="14" t="s">
        <v>51</v>
      </c>
      <c r="CH4" s="9">
        <f t="shared" ref="CH4:CI52" si="24">IFERROR(AVERAGE(N4,T4,Z4,AF4,AL4,AR4,AX4,BD4,BJ4,BP4,BV4,CB4)," ")</f>
        <v>228482.33333333334</v>
      </c>
      <c r="CI4" s="9">
        <f t="shared" si="24"/>
        <v>8924.25</v>
      </c>
      <c r="CJ4" s="9">
        <f t="shared" ref="CJ4:CJ62" si="25">IFERROR(SUM(P4,V4,AB4,AH4,AN4,AT4,AZ4,BF4,BL4,BR4,BX4,CD4)," ")</f>
        <v>506</v>
      </c>
      <c r="CK4" s="10">
        <f t="shared" ref="CK4:CK62" si="26">IFERROR(SUM(N4,T4,Z4,AF4,AL4,AR4,AX4,BD4,BJ4,BP4,BV4,CB4)/CJ4*3," ")</f>
        <v>16255.660079051382</v>
      </c>
      <c r="CL4" s="10">
        <f t="shared" ref="CL4:CL62" si="27">IFERROR(SUM(O4,U4,AA4,AG4,AM4,AS4,AY4,BE4,BK4,BQ4,BW4,CC4)/CJ4*3," ")</f>
        <v>634.92687747035575</v>
      </c>
      <c r="CM4" s="11" t="str">
        <f t="shared" ref="CM4:CM62" si="28">IFERROR(AVERAGE(S4,Y4,AE4,AK4,AQ4,AW4,BC4,BI4,BO4,BU4,CA4,CG4)," ")</f>
        <v xml:space="preserve"> </v>
      </c>
    </row>
    <row r="5" spans="1:91" x14ac:dyDescent="0.3">
      <c r="A5" s="8" t="s">
        <v>26</v>
      </c>
      <c r="B5" s="9">
        <v>357912.25</v>
      </c>
      <c r="C5" s="9">
        <v>15778.416666666666</v>
      </c>
      <c r="D5" s="9">
        <v>990</v>
      </c>
      <c r="E5" s="10">
        <v>13014.99090909091</v>
      </c>
      <c r="F5" s="10">
        <v>573.76060606060605</v>
      </c>
      <c r="G5" s="11">
        <v>2.8950000000000009</v>
      </c>
      <c r="H5" s="9">
        <v>358289</v>
      </c>
      <c r="I5" s="9">
        <v>14085.545454545454</v>
      </c>
      <c r="J5" s="9">
        <v>794</v>
      </c>
      <c r="K5" s="10">
        <v>14891.104534005037</v>
      </c>
      <c r="L5" s="10">
        <v>585.41939546599497</v>
      </c>
      <c r="M5" s="11">
        <v>2.7354545454545449</v>
      </c>
      <c r="N5" s="12">
        <v>142832</v>
      </c>
      <c r="O5" s="12">
        <v>5655</v>
      </c>
      <c r="P5" s="12">
        <v>22</v>
      </c>
      <c r="Q5" s="13">
        <f t="shared" si="0"/>
        <v>19477.090909090908</v>
      </c>
      <c r="R5" s="13">
        <f t="shared" si="1"/>
        <v>771.13636363636374</v>
      </c>
      <c r="S5" s="14"/>
      <c r="T5" s="12">
        <v>241516</v>
      </c>
      <c r="U5" s="12">
        <v>10269</v>
      </c>
      <c r="V5" s="12">
        <v>46</v>
      </c>
      <c r="W5" s="13">
        <f t="shared" si="2"/>
        <v>15751.043478260872</v>
      </c>
      <c r="X5" s="13">
        <f t="shared" si="3"/>
        <v>669.71739130434776</v>
      </c>
      <c r="Y5" s="14"/>
      <c r="Z5" s="12">
        <v>172532</v>
      </c>
      <c r="AA5" s="12">
        <v>7315</v>
      </c>
      <c r="AB5" s="12">
        <v>32</v>
      </c>
      <c r="AC5" s="13">
        <f t="shared" si="4"/>
        <v>16174.875</v>
      </c>
      <c r="AD5" s="13">
        <f t="shared" si="5"/>
        <v>685.78125</v>
      </c>
      <c r="AE5" s="14"/>
      <c r="AF5" s="12">
        <v>151936</v>
      </c>
      <c r="AG5" s="12">
        <v>7467</v>
      </c>
      <c r="AH5" s="12">
        <v>25</v>
      </c>
      <c r="AI5" s="13">
        <f t="shared" si="6"/>
        <v>18232.32</v>
      </c>
      <c r="AJ5" s="13">
        <f t="shared" si="7"/>
        <v>896.04</v>
      </c>
      <c r="AK5" s="14"/>
      <c r="AL5" s="12">
        <v>70429086</v>
      </c>
      <c r="AM5" s="12">
        <v>2605905</v>
      </c>
      <c r="AN5" s="12">
        <v>55</v>
      </c>
      <c r="AO5" s="13">
        <f t="shared" si="8"/>
        <v>3841586.5090909093</v>
      </c>
      <c r="AP5" s="13">
        <f t="shared" si="9"/>
        <v>142140.27272727274</v>
      </c>
      <c r="AQ5" s="14"/>
      <c r="AR5" s="12">
        <v>230692</v>
      </c>
      <c r="AS5" s="12">
        <v>10023</v>
      </c>
      <c r="AT5" s="12">
        <v>39</v>
      </c>
      <c r="AU5" s="13">
        <f t="shared" si="10"/>
        <v>17745.538461538461</v>
      </c>
      <c r="AV5" s="13">
        <f t="shared" si="11"/>
        <v>771</v>
      </c>
      <c r="AW5" s="14"/>
      <c r="AX5" s="12">
        <v>304390</v>
      </c>
      <c r="AY5" s="12">
        <v>11288</v>
      </c>
      <c r="AZ5" s="12">
        <v>45</v>
      </c>
      <c r="BA5" s="13">
        <f t="shared" si="12"/>
        <v>20292.666666666668</v>
      </c>
      <c r="BB5" s="13">
        <f t="shared" si="13"/>
        <v>752.5333333333333</v>
      </c>
      <c r="BC5" s="14"/>
      <c r="BD5" s="12">
        <v>242157</v>
      </c>
      <c r="BE5" s="12">
        <v>9082</v>
      </c>
      <c r="BF5" s="12">
        <v>41</v>
      </c>
      <c r="BG5" s="13">
        <f t="shared" si="14"/>
        <v>17718.804878048781</v>
      </c>
      <c r="BH5" s="13">
        <f t="shared" si="15"/>
        <v>664.53658536585363</v>
      </c>
      <c r="BI5" s="14"/>
      <c r="BJ5" s="12">
        <v>193860</v>
      </c>
      <c r="BK5" s="12">
        <v>11127</v>
      </c>
      <c r="BL5" s="12">
        <v>46</v>
      </c>
      <c r="BM5" s="13">
        <f t="shared" si="16"/>
        <v>12643.043478260872</v>
      </c>
      <c r="BN5" s="13">
        <f t="shared" si="17"/>
        <v>725.67391304347825</v>
      </c>
      <c r="BO5" s="14"/>
      <c r="BP5" s="12">
        <v>303360</v>
      </c>
      <c r="BQ5" s="12">
        <v>13480</v>
      </c>
      <c r="BR5" s="12">
        <v>46</v>
      </c>
      <c r="BS5" s="13">
        <f t="shared" si="18"/>
        <v>19784.347826086956</v>
      </c>
      <c r="BT5" s="13">
        <f t="shared" si="19"/>
        <v>879.13043478260875</v>
      </c>
      <c r="BU5" s="14"/>
      <c r="BV5" s="12">
        <v>258516</v>
      </c>
      <c r="BW5" s="12">
        <v>10675</v>
      </c>
      <c r="BX5" s="12">
        <v>43</v>
      </c>
      <c r="BY5" s="13">
        <f t="shared" si="20"/>
        <v>18036</v>
      </c>
      <c r="BZ5" s="13">
        <f t="shared" si="21"/>
        <v>744.76744186046517</v>
      </c>
      <c r="CA5" s="14"/>
      <c r="CB5" s="12">
        <v>252958</v>
      </c>
      <c r="CC5" s="12">
        <v>12526</v>
      </c>
      <c r="CD5" s="12">
        <v>54</v>
      </c>
      <c r="CE5" s="13">
        <f t="shared" si="22"/>
        <v>14053.222222222223</v>
      </c>
      <c r="CF5" s="13">
        <f t="shared" si="23"/>
        <v>695.88888888888891</v>
      </c>
      <c r="CG5" s="14" t="s">
        <v>51</v>
      </c>
      <c r="CH5" s="9">
        <f t="shared" si="24"/>
        <v>6076986.25</v>
      </c>
      <c r="CI5" s="9">
        <f t="shared" si="24"/>
        <v>226234.33333333334</v>
      </c>
      <c r="CJ5" s="9">
        <f t="shared" si="25"/>
        <v>494</v>
      </c>
      <c r="CK5" s="10">
        <f t="shared" si="26"/>
        <v>442857.29757085018</v>
      </c>
      <c r="CL5" s="10">
        <f t="shared" si="27"/>
        <v>16486.712550607288</v>
      </c>
      <c r="CM5" s="11" t="str">
        <f t="shared" si="28"/>
        <v xml:space="preserve"> </v>
      </c>
    </row>
    <row r="6" spans="1:91" x14ac:dyDescent="0.3">
      <c r="A6" s="8" t="s">
        <v>27</v>
      </c>
      <c r="B6" s="9">
        <v>290602.58333333331</v>
      </c>
      <c r="C6" s="9">
        <v>23802.166666666668</v>
      </c>
      <c r="D6" s="9">
        <v>983</v>
      </c>
      <c r="E6" s="10">
        <v>10642.617497456764</v>
      </c>
      <c r="F6" s="10">
        <v>871.69684638860633</v>
      </c>
      <c r="G6" s="11">
        <v>3.8808333333333338</v>
      </c>
      <c r="H6" s="9">
        <v>223175.72727272726</v>
      </c>
      <c r="I6" s="9">
        <v>15731.181818181818</v>
      </c>
      <c r="J6" s="9">
        <v>750</v>
      </c>
      <c r="K6" s="10">
        <v>9819.732</v>
      </c>
      <c r="L6" s="10">
        <v>692.17200000000003</v>
      </c>
      <c r="M6" s="11">
        <v>3.6236363636363635</v>
      </c>
      <c r="N6" s="12">
        <v>194550</v>
      </c>
      <c r="O6" s="12">
        <v>17311</v>
      </c>
      <c r="P6" s="12">
        <v>42</v>
      </c>
      <c r="Q6" s="13">
        <f t="shared" si="0"/>
        <v>13896.428571428571</v>
      </c>
      <c r="R6" s="13">
        <f t="shared" si="1"/>
        <v>1236.5</v>
      </c>
      <c r="S6" s="14"/>
      <c r="T6" s="12">
        <v>190989</v>
      </c>
      <c r="U6" s="12">
        <v>15171</v>
      </c>
      <c r="V6" s="12">
        <v>59</v>
      </c>
      <c r="W6" s="13">
        <f t="shared" si="2"/>
        <v>9711.3050847457616</v>
      </c>
      <c r="X6" s="13">
        <f t="shared" si="3"/>
        <v>771.40677966101703</v>
      </c>
      <c r="Y6" s="14"/>
      <c r="Z6" s="12">
        <v>147351</v>
      </c>
      <c r="AA6" s="12">
        <v>6594</v>
      </c>
      <c r="AB6" s="12">
        <v>35</v>
      </c>
      <c r="AC6" s="13">
        <f t="shared" si="4"/>
        <v>12630.085714285713</v>
      </c>
      <c r="AD6" s="13">
        <f t="shared" si="5"/>
        <v>565.20000000000005</v>
      </c>
      <c r="AE6" s="14"/>
      <c r="AF6" s="12">
        <v>125082</v>
      </c>
      <c r="AG6" s="12">
        <v>5543</v>
      </c>
      <c r="AH6" s="12">
        <v>35</v>
      </c>
      <c r="AI6" s="13">
        <f t="shared" si="6"/>
        <v>10721.314285714287</v>
      </c>
      <c r="AJ6" s="13">
        <f t="shared" si="7"/>
        <v>475.1142857142857</v>
      </c>
      <c r="AK6" s="14"/>
      <c r="AL6" s="12">
        <v>250618</v>
      </c>
      <c r="AM6" s="12">
        <v>11864</v>
      </c>
      <c r="AN6" s="12">
        <v>56</v>
      </c>
      <c r="AO6" s="13">
        <f t="shared" si="8"/>
        <v>13425.964285714286</v>
      </c>
      <c r="AP6" s="13">
        <f t="shared" si="9"/>
        <v>635.57142857142856</v>
      </c>
      <c r="AQ6" s="14"/>
      <c r="AR6" s="12">
        <v>197927</v>
      </c>
      <c r="AS6" s="12">
        <v>14615</v>
      </c>
      <c r="AT6" s="12">
        <v>43</v>
      </c>
      <c r="AU6" s="13">
        <f t="shared" si="10"/>
        <v>13808.860465116279</v>
      </c>
      <c r="AV6" s="13">
        <f t="shared" si="11"/>
        <v>1019.6511627906978</v>
      </c>
      <c r="AW6" s="14"/>
      <c r="AX6" s="12">
        <v>215968</v>
      </c>
      <c r="AY6" s="12">
        <v>11434</v>
      </c>
      <c r="AZ6" s="12">
        <v>48</v>
      </c>
      <c r="BA6" s="13">
        <f t="shared" si="12"/>
        <v>13498</v>
      </c>
      <c r="BB6" s="13">
        <f t="shared" si="13"/>
        <v>714.625</v>
      </c>
      <c r="BC6" s="14"/>
      <c r="BD6" s="12">
        <v>243486</v>
      </c>
      <c r="BE6" s="12">
        <v>13856</v>
      </c>
      <c r="BF6" s="12">
        <v>47</v>
      </c>
      <c r="BG6" s="13">
        <f t="shared" si="14"/>
        <v>15541.659574468085</v>
      </c>
      <c r="BH6" s="13">
        <f t="shared" si="15"/>
        <v>884.42553191489367</v>
      </c>
      <c r="BI6" s="14"/>
      <c r="BJ6" s="12">
        <v>199619</v>
      </c>
      <c r="BK6" s="12">
        <v>18470</v>
      </c>
      <c r="BL6" s="12">
        <v>54</v>
      </c>
      <c r="BM6" s="13">
        <f t="shared" si="16"/>
        <v>11089.944444444445</v>
      </c>
      <c r="BN6" s="13">
        <f t="shared" si="17"/>
        <v>1026.1111111111111</v>
      </c>
      <c r="BO6" s="14"/>
      <c r="BP6" s="12">
        <v>260428</v>
      </c>
      <c r="BQ6" s="12">
        <v>19303</v>
      </c>
      <c r="BR6" s="12">
        <v>65</v>
      </c>
      <c r="BS6" s="13">
        <f t="shared" si="18"/>
        <v>12019.753846153846</v>
      </c>
      <c r="BT6" s="13">
        <f t="shared" si="19"/>
        <v>890.90769230769229</v>
      </c>
      <c r="BU6" s="14"/>
      <c r="BV6" s="12">
        <v>253487</v>
      </c>
      <c r="BW6" s="12">
        <v>21094</v>
      </c>
      <c r="BX6" s="12">
        <v>50</v>
      </c>
      <c r="BY6" s="13">
        <f t="shared" si="20"/>
        <v>15209.22</v>
      </c>
      <c r="BZ6" s="13">
        <f t="shared" si="21"/>
        <v>1265.6399999999999</v>
      </c>
      <c r="CA6" s="14"/>
      <c r="CB6" s="12">
        <v>321184</v>
      </c>
      <c r="CC6" s="12">
        <v>24447</v>
      </c>
      <c r="CD6" s="12">
        <v>67</v>
      </c>
      <c r="CE6" s="13">
        <f t="shared" si="22"/>
        <v>14381.373134328358</v>
      </c>
      <c r="CF6" s="13">
        <f t="shared" si="23"/>
        <v>1094.6417910447763</v>
      </c>
      <c r="CG6" s="14" t="s">
        <v>51</v>
      </c>
      <c r="CH6" s="9">
        <f t="shared" si="24"/>
        <v>216724.08333333334</v>
      </c>
      <c r="CI6" s="9">
        <f t="shared" si="24"/>
        <v>14975.166666666666</v>
      </c>
      <c r="CJ6" s="9">
        <f t="shared" si="25"/>
        <v>601</v>
      </c>
      <c r="CK6" s="10">
        <f t="shared" si="26"/>
        <v>12981.808652246258</v>
      </c>
      <c r="CL6" s="10">
        <f t="shared" si="27"/>
        <v>897.01497504159738</v>
      </c>
      <c r="CM6" s="11" t="str">
        <f t="shared" si="28"/>
        <v xml:space="preserve"> </v>
      </c>
    </row>
    <row r="7" spans="1:91" x14ac:dyDescent="0.3">
      <c r="A7" s="8" t="s">
        <v>28</v>
      </c>
      <c r="B7" s="9">
        <v>472947.66666666669</v>
      </c>
      <c r="C7" s="9">
        <v>74095.666666666672</v>
      </c>
      <c r="D7" s="9">
        <v>994</v>
      </c>
      <c r="E7" s="10">
        <v>17128.889336016098</v>
      </c>
      <c r="F7" s="10">
        <v>2683.5452716297787</v>
      </c>
      <c r="G7" s="11">
        <v>5.3833333333333337</v>
      </c>
      <c r="H7" s="9">
        <v>338306.63636363635</v>
      </c>
      <c r="I7" s="9">
        <v>49892.090909090912</v>
      </c>
      <c r="J7" s="9">
        <v>774</v>
      </c>
      <c r="K7" s="10">
        <v>14423.926356589147</v>
      </c>
      <c r="L7" s="10">
        <v>2127.1821705426355</v>
      </c>
      <c r="M7" s="11">
        <v>5.23</v>
      </c>
      <c r="N7" s="12">
        <v>199829</v>
      </c>
      <c r="O7" s="12">
        <v>32648</v>
      </c>
      <c r="P7" s="12">
        <v>43</v>
      </c>
      <c r="Q7" s="13">
        <f t="shared" si="0"/>
        <v>13941.558139534884</v>
      </c>
      <c r="R7" s="13">
        <f t="shared" si="1"/>
        <v>2277.7674418604652</v>
      </c>
      <c r="S7" s="14"/>
      <c r="T7" s="12">
        <v>322727</v>
      </c>
      <c r="U7" s="12">
        <v>42895</v>
      </c>
      <c r="V7" s="12">
        <v>64</v>
      </c>
      <c r="W7" s="13">
        <f t="shared" si="2"/>
        <v>15127.828125</v>
      </c>
      <c r="X7" s="13">
        <f t="shared" si="3"/>
        <v>2010.703125</v>
      </c>
      <c r="Y7" s="14"/>
      <c r="Z7" s="12">
        <v>207985</v>
      </c>
      <c r="AA7" s="12">
        <v>35274</v>
      </c>
      <c r="AB7" s="12">
        <v>53</v>
      </c>
      <c r="AC7" s="13">
        <f t="shared" si="4"/>
        <v>11772.735849056604</v>
      </c>
      <c r="AD7" s="13">
        <f t="shared" si="5"/>
        <v>1996.6415094339623</v>
      </c>
      <c r="AE7" s="14"/>
      <c r="AF7" s="12">
        <v>194686</v>
      </c>
      <c r="AG7" s="12">
        <v>20912</v>
      </c>
      <c r="AH7" s="12">
        <v>40</v>
      </c>
      <c r="AI7" s="13">
        <f t="shared" si="6"/>
        <v>14601.449999999999</v>
      </c>
      <c r="AJ7" s="13">
        <f t="shared" si="7"/>
        <v>1568.3999999999999</v>
      </c>
      <c r="AK7" s="14"/>
      <c r="AL7" s="12">
        <v>360032</v>
      </c>
      <c r="AM7" s="12">
        <v>68457</v>
      </c>
      <c r="AN7" s="12">
        <v>62</v>
      </c>
      <c r="AO7" s="13">
        <f t="shared" si="8"/>
        <v>17420.903225806451</v>
      </c>
      <c r="AP7" s="13">
        <f t="shared" si="9"/>
        <v>3312.4354838709678</v>
      </c>
      <c r="AQ7" s="14"/>
      <c r="AR7" s="12">
        <v>237726</v>
      </c>
      <c r="AS7" s="12">
        <v>31164</v>
      </c>
      <c r="AT7" s="12">
        <v>41</v>
      </c>
      <c r="AU7" s="13">
        <f t="shared" si="10"/>
        <v>17394.585365853658</v>
      </c>
      <c r="AV7" s="13">
        <f t="shared" si="11"/>
        <v>2280.2926829268295</v>
      </c>
      <c r="AW7" s="14"/>
      <c r="AX7" s="12">
        <v>328590</v>
      </c>
      <c r="AY7" s="12">
        <v>50214</v>
      </c>
      <c r="AZ7" s="12">
        <v>64</v>
      </c>
      <c r="BA7" s="13">
        <f t="shared" si="12"/>
        <v>15402.65625</v>
      </c>
      <c r="BB7" s="13">
        <f t="shared" si="13"/>
        <v>2353.78125</v>
      </c>
      <c r="BC7" s="14"/>
      <c r="BD7" s="12">
        <v>271957</v>
      </c>
      <c r="BE7" s="12">
        <v>45720</v>
      </c>
      <c r="BF7" s="12">
        <v>54</v>
      </c>
      <c r="BG7" s="13">
        <f t="shared" si="14"/>
        <v>15108.722222222223</v>
      </c>
      <c r="BH7" s="13">
        <f t="shared" si="15"/>
        <v>2540</v>
      </c>
      <c r="BI7" s="14"/>
      <c r="BJ7" s="12">
        <v>316166</v>
      </c>
      <c r="BK7" s="12">
        <v>55901</v>
      </c>
      <c r="BL7" s="12">
        <v>59</v>
      </c>
      <c r="BM7" s="13">
        <f t="shared" si="16"/>
        <v>16076.237288135595</v>
      </c>
      <c r="BN7" s="13">
        <f t="shared" si="17"/>
        <v>2842.4237288135596</v>
      </c>
      <c r="BO7" s="14"/>
      <c r="BP7" s="12">
        <v>431553</v>
      </c>
      <c r="BQ7" s="12">
        <v>83352</v>
      </c>
      <c r="BR7" s="12">
        <v>73</v>
      </c>
      <c r="BS7" s="13">
        <f t="shared" si="18"/>
        <v>17735.054794520547</v>
      </c>
      <c r="BT7" s="13">
        <f t="shared" si="19"/>
        <v>3425.4246575342468</v>
      </c>
      <c r="BU7" s="14"/>
      <c r="BV7" s="12">
        <v>364520</v>
      </c>
      <c r="BW7" s="12">
        <v>65752</v>
      </c>
      <c r="BX7" s="12">
        <v>62</v>
      </c>
      <c r="BY7" s="13">
        <f t="shared" si="20"/>
        <v>17638.06451612903</v>
      </c>
      <c r="BZ7" s="13">
        <f t="shared" si="21"/>
        <v>3181.5483870967741</v>
      </c>
      <c r="CA7" s="14"/>
      <c r="CB7" s="12">
        <v>366394</v>
      </c>
      <c r="CC7" s="12">
        <v>62355</v>
      </c>
      <c r="CD7" s="12">
        <v>77</v>
      </c>
      <c r="CE7" s="13">
        <f t="shared" si="22"/>
        <v>14275.090909090908</v>
      </c>
      <c r="CF7" s="13">
        <f t="shared" si="23"/>
        <v>2429.4155844155844</v>
      </c>
      <c r="CG7" s="14" t="s">
        <v>51</v>
      </c>
      <c r="CH7" s="9">
        <f t="shared" si="24"/>
        <v>300180.41666666669</v>
      </c>
      <c r="CI7" s="9">
        <f t="shared" si="24"/>
        <v>49553.666666666664</v>
      </c>
      <c r="CJ7" s="9">
        <f t="shared" si="25"/>
        <v>692</v>
      </c>
      <c r="CK7" s="10">
        <f t="shared" si="26"/>
        <v>15616.32225433526</v>
      </c>
      <c r="CL7" s="10">
        <f t="shared" si="27"/>
        <v>2577.9364161849712</v>
      </c>
      <c r="CM7" s="11" t="str">
        <f t="shared" si="28"/>
        <v xml:space="preserve"> </v>
      </c>
    </row>
    <row r="8" spans="1:91" x14ac:dyDescent="0.3">
      <c r="A8" s="8" t="s">
        <v>29</v>
      </c>
      <c r="B8" s="9">
        <v>340415.66666666669</v>
      </c>
      <c r="C8" s="9">
        <v>46282.083333333336</v>
      </c>
      <c r="D8" s="9">
        <v>939</v>
      </c>
      <c r="E8" s="10">
        <v>13051.079872204471</v>
      </c>
      <c r="F8" s="10">
        <v>1774.3929712460063</v>
      </c>
      <c r="G8" s="11">
        <v>4.9966666666666661</v>
      </c>
      <c r="H8" s="9">
        <v>275239.90000000002</v>
      </c>
      <c r="I8" s="9">
        <v>37069.199999999997</v>
      </c>
      <c r="J8" s="9">
        <v>678</v>
      </c>
      <c r="K8" s="10">
        <v>12178.756637168142</v>
      </c>
      <c r="L8" s="10">
        <v>1640.2300884955753</v>
      </c>
      <c r="M8" s="11">
        <v>4.9389999999999992</v>
      </c>
      <c r="N8" s="12">
        <v>243201.07142857142</v>
      </c>
      <c r="O8" s="12">
        <v>32482</v>
      </c>
      <c r="P8" s="12">
        <v>39</v>
      </c>
      <c r="Q8" s="13">
        <f t="shared" si="0"/>
        <v>18707.774725274725</v>
      </c>
      <c r="R8" s="13">
        <f t="shared" si="1"/>
        <v>2498.6153846153848</v>
      </c>
      <c r="S8" s="14"/>
      <c r="T8" s="12">
        <v>318695</v>
      </c>
      <c r="U8" s="12">
        <v>45316</v>
      </c>
      <c r="V8" s="12">
        <v>61</v>
      </c>
      <c r="W8" s="13">
        <f t="shared" si="2"/>
        <v>15673.524590163935</v>
      </c>
      <c r="X8" s="13">
        <f t="shared" si="3"/>
        <v>2228.655737704918</v>
      </c>
      <c r="Y8" s="14"/>
      <c r="Z8" s="12">
        <v>216766</v>
      </c>
      <c r="AA8" s="12">
        <v>31869</v>
      </c>
      <c r="AB8" s="12">
        <v>44</v>
      </c>
      <c r="AC8" s="13">
        <f t="shared" si="4"/>
        <v>14779.5</v>
      </c>
      <c r="AD8" s="13">
        <f t="shared" si="5"/>
        <v>2172.8863636363635</v>
      </c>
      <c r="AE8" s="14"/>
      <c r="AF8" s="12">
        <v>230718</v>
      </c>
      <c r="AG8" s="12">
        <v>11555</v>
      </c>
      <c r="AH8" s="12">
        <v>33</v>
      </c>
      <c r="AI8" s="13">
        <f t="shared" si="6"/>
        <v>20974.363636363636</v>
      </c>
      <c r="AJ8" s="13">
        <f t="shared" si="7"/>
        <v>1050.4545454545455</v>
      </c>
      <c r="AK8" s="14"/>
      <c r="AL8" s="12">
        <v>182393</v>
      </c>
      <c r="AM8" s="12">
        <v>18981</v>
      </c>
      <c r="AN8" s="12">
        <v>35</v>
      </c>
      <c r="AO8" s="13">
        <f t="shared" si="8"/>
        <v>15633.685714285715</v>
      </c>
      <c r="AP8" s="13">
        <f t="shared" si="9"/>
        <v>1626.9428571428571</v>
      </c>
      <c r="AQ8" s="14"/>
      <c r="AR8" s="12">
        <v>224216</v>
      </c>
      <c r="AS8" s="12">
        <v>17234</v>
      </c>
      <c r="AT8" s="12">
        <v>44</v>
      </c>
      <c r="AU8" s="13">
        <f t="shared" si="10"/>
        <v>15287.454545454546</v>
      </c>
      <c r="AV8" s="13">
        <f t="shared" si="11"/>
        <v>1175.0454545454545</v>
      </c>
      <c r="AW8" s="14"/>
      <c r="AX8" s="12">
        <v>313735</v>
      </c>
      <c r="AY8" s="12">
        <v>39805</v>
      </c>
      <c r="AZ8" s="12">
        <v>64</v>
      </c>
      <c r="BA8" s="13">
        <f t="shared" si="12"/>
        <v>14706.328125</v>
      </c>
      <c r="BB8" s="13">
        <f t="shared" si="13"/>
        <v>1865.859375</v>
      </c>
      <c r="BC8" s="14"/>
      <c r="BD8" s="12">
        <v>316485</v>
      </c>
      <c r="BE8" s="12">
        <v>41586</v>
      </c>
      <c r="BF8" s="12">
        <v>66</v>
      </c>
      <c r="BG8" s="13">
        <f t="shared" si="14"/>
        <v>14385.68181818182</v>
      </c>
      <c r="BH8" s="13">
        <f t="shared" si="15"/>
        <v>1890.2727272727275</v>
      </c>
      <c r="BI8" s="14"/>
      <c r="BJ8" s="12">
        <v>317142</v>
      </c>
      <c r="BK8" s="12">
        <v>45894</v>
      </c>
      <c r="BL8" s="12">
        <v>61</v>
      </c>
      <c r="BM8" s="13">
        <f t="shared" si="16"/>
        <v>15597.147540983608</v>
      </c>
      <c r="BN8" s="13">
        <f t="shared" si="17"/>
        <v>2257.0819672131147</v>
      </c>
      <c r="BO8" s="14"/>
      <c r="BP8" s="12">
        <v>304041</v>
      </c>
      <c r="BQ8" s="12">
        <v>39254</v>
      </c>
      <c r="BR8" s="12">
        <v>58</v>
      </c>
      <c r="BS8" s="13">
        <f t="shared" si="18"/>
        <v>15726.258620689656</v>
      </c>
      <c r="BT8" s="13">
        <f t="shared" si="19"/>
        <v>2030.3793103448274</v>
      </c>
      <c r="BU8" s="14"/>
      <c r="BV8" s="12">
        <v>366213</v>
      </c>
      <c r="BW8" s="12">
        <v>58253</v>
      </c>
      <c r="BX8" s="12">
        <v>68</v>
      </c>
      <c r="BY8" s="13">
        <f t="shared" si="20"/>
        <v>16156.455882352941</v>
      </c>
      <c r="BZ8" s="13">
        <f t="shared" si="21"/>
        <v>2569.9852941176468</v>
      </c>
      <c r="CA8" s="14"/>
      <c r="CB8" s="12">
        <v>431163</v>
      </c>
      <c r="CC8" s="12">
        <v>72479</v>
      </c>
      <c r="CD8" s="12">
        <v>77</v>
      </c>
      <c r="CE8" s="13">
        <f t="shared" si="22"/>
        <v>16798.558441558442</v>
      </c>
      <c r="CF8" s="13">
        <f t="shared" si="23"/>
        <v>2823.8571428571431</v>
      </c>
      <c r="CG8" s="14" t="s">
        <v>51</v>
      </c>
      <c r="CH8" s="9">
        <f t="shared" si="24"/>
        <v>288730.67261904763</v>
      </c>
      <c r="CI8" s="9">
        <f t="shared" si="24"/>
        <v>37892.333333333336</v>
      </c>
      <c r="CJ8" s="9">
        <f t="shared" si="25"/>
        <v>650</v>
      </c>
      <c r="CK8" s="10">
        <f t="shared" si="26"/>
        <v>15991.237252747251</v>
      </c>
      <c r="CL8" s="10">
        <f t="shared" si="27"/>
        <v>2098.6523076923077</v>
      </c>
      <c r="CM8" s="11" t="str">
        <f t="shared" si="28"/>
        <v xml:space="preserve"> </v>
      </c>
    </row>
    <row r="9" spans="1:91" x14ac:dyDescent="0.3">
      <c r="A9" s="8" t="s">
        <v>30</v>
      </c>
      <c r="B9" s="9">
        <v>294202.83333333331</v>
      </c>
      <c r="C9" s="9">
        <v>9616.3333333333339</v>
      </c>
      <c r="D9" s="9">
        <v>936</v>
      </c>
      <c r="E9" s="10">
        <v>11315.49358974359</v>
      </c>
      <c r="F9" s="10">
        <v>369.85897435897436</v>
      </c>
      <c r="G9" s="11">
        <v>2.4908333333333332</v>
      </c>
      <c r="H9" s="9">
        <v>192300</v>
      </c>
      <c r="I9" s="9">
        <v>6066.3</v>
      </c>
      <c r="J9" s="9">
        <v>551</v>
      </c>
      <c r="K9" s="10">
        <v>10470.054446460979</v>
      </c>
      <c r="L9" s="10">
        <v>330.28856624319423</v>
      </c>
      <c r="M9" s="11">
        <v>2.4559999999999995</v>
      </c>
      <c r="N9" s="12">
        <v>197162</v>
      </c>
      <c r="O9" s="12">
        <v>5609</v>
      </c>
      <c r="P9" s="12">
        <v>25</v>
      </c>
      <c r="Q9" s="13">
        <f t="shared" si="0"/>
        <v>23659.439999999999</v>
      </c>
      <c r="R9" s="13">
        <f t="shared" si="1"/>
        <v>673.08</v>
      </c>
      <c r="S9" s="14"/>
      <c r="T9" s="12">
        <v>282351</v>
      </c>
      <c r="U9" s="12">
        <v>6059</v>
      </c>
      <c r="V9" s="12">
        <v>50</v>
      </c>
      <c r="W9" s="13">
        <f t="shared" si="2"/>
        <v>16941.060000000001</v>
      </c>
      <c r="X9" s="13">
        <f t="shared" si="3"/>
        <v>363.54</v>
      </c>
      <c r="Y9" s="14"/>
      <c r="Z9" s="12">
        <v>87248</v>
      </c>
      <c r="AA9" s="12">
        <v>1888</v>
      </c>
      <c r="AB9" s="12">
        <v>22</v>
      </c>
      <c r="AC9" s="13">
        <f t="shared" si="4"/>
        <v>11897.454545454546</v>
      </c>
      <c r="AD9" s="13">
        <f t="shared" si="5"/>
        <v>257.45454545454544</v>
      </c>
      <c r="AE9" s="14"/>
      <c r="AF9" s="12">
        <v>165528</v>
      </c>
      <c r="AG9" s="12">
        <v>8138</v>
      </c>
      <c r="AH9" s="12">
        <v>32</v>
      </c>
      <c r="AI9" s="13">
        <f t="shared" si="6"/>
        <v>15518.25</v>
      </c>
      <c r="AJ9" s="13">
        <f t="shared" si="7"/>
        <v>762.9375</v>
      </c>
      <c r="AK9" s="14"/>
      <c r="AL9" s="12">
        <v>218952</v>
      </c>
      <c r="AM9" s="12">
        <v>6729</v>
      </c>
      <c r="AN9" s="12">
        <v>36</v>
      </c>
      <c r="AO9" s="13">
        <f t="shared" si="8"/>
        <v>18246</v>
      </c>
      <c r="AP9" s="13">
        <f t="shared" si="9"/>
        <v>560.75</v>
      </c>
      <c r="AQ9" s="14"/>
      <c r="AR9" s="12">
        <v>229752</v>
      </c>
      <c r="AS9" s="12">
        <v>7844</v>
      </c>
      <c r="AT9" s="12">
        <v>41</v>
      </c>
      <c r="AU9" s="13">
        <f t="shared" si="10"/>
        <v>16811.121951219513</v>
      </c>
      <c r="AV9" s="13">
        <f t="shared" si="11"/>
        <v>573.95121951219517</v>
      </c>
      <c r="AW9" s="14"/>
      <c r="AX9" s="12">
        <v>267736</v>
      </c>
      <c r="AY9" s="12">
        <v>11267</v>
      </c>
      <c r="AZ9" s="12">
        <v>47</v>
      </c>
      <c r="BA9" s="13">
        <f t="shared" si="12"/>
        <v>17089.531914893618</v>
      </c>
      <c r="BB9" s="13">
        <f t="shared" si="13"/>
        <v>719.17021276595744</v>
      </c>
      <c r="BC9" s="14"/>
      <c r="BD9" s="12">
        <v>332621</v>
      </c>
      <c r="BE9" s="12">
        <v>10471</v>
      </c>
      <c r="BF9" s="12">
        <v>44</v>
      </c>
      <c r="BG9" s="13">
        <f t="shared" si="14"/>
        <v>22678.704545454544</v>
      </c>
      <c r="BH9" s="13">
        <f t="shared" si="15"/>
        <v>713.93181818181813</v>
      </c>
      <c r="BI9" s="14"/>
      <c r="BJ9" s="12">
        <v>269355</v>
      </c>
      <c r="BK9" s="12">
        <v>5376</v>
      </c>
      <c r="BL9" s="12">
        <v>56</v>
      </c>
      <c r="BM9" s="13">
        <f t="shared" si="16"/>
        <v>14429.732142857145</v>
      </c>
      <c r="BN9" s="13">
        <f t="shared" si="17"/>
        <v>288</v>
      </c>
      <c r="BO9" s="14"/>
      <c r="BP9" s="12">
        <v>286906</v>
      </c>
      <c r="BQ9" s="12">
        <v>10347</v>
      </c>
      <c r="BR9" s="12">
        <v>46</v>
      </c>
      <c r="BS9" s="13">
        <f t="shared" si="18"/>
        <v>18711.260869565216</v>
      </c>
      <c r="BT9" s="13">
        <f t="shared" si="19"/>
        <v>674.804347826087</v>
      </c>
      <c r="BU9" s="14"/>
      <c r="BV9" s="12">
        <v>252443</v>
      </c>
      <c r="BW9" s="12">
        <v>5909</v>
      </c>
      <c r="BX9" s="12">
        <v>50</v>
      </c>
      <c r="BY9" s="13">
        <f t="shared" si="20"/>
        <v>15146.579999999998</v>
      </c>
      <c r="BZ9" s="13">
        <f t="shared" si="21"/>
        <v>354.54</v>
      </c>
      <c r="CA9" s="14"/>
      <c r="CB9" s="12">
        <v>289244</v>
      </c>
      <c r="CC9" s="12">
        <v>7877</v>
      </c>
      <c r="CD9" s="12">
        <v>52</v>
      </c>
      <c r="CE9" s="13">
        <f t="shared" si="22"/>
        <v>16687.153846153844</v>
      </c>
      <c r="CF9" s="13">
        <f t="shared" si="23"/>
        <v>454.44230769230768</v>
      </c>
      <c r="CG9" s="14" t="s">
        <v>51</v>
      </c>
      <c r="CH9" s="9">
        <f t="shared" si="24"/>
        <v>239941.5</v>
      </c>
      <c r="CI9" s="9">
        <f t="shared" si="24"/>
        <v>7292.833333333333</v>
      </c>
      <c r="CJ9" s="9">
        <f t="shared" si="25"/>
        <v>501</v>
      </c>
      <c r="CK9" s="10">
        <f t="shared" si="26"/>
        <v>17241.305389221554</v>
      </c>
      <c r="CL9" s="10">
        <f t="shared" si="27"/>
        <v>524.03592814371257</v>
      </c>
      <c r="CM9" s="11" t="str">
        <f t="shared" si="28"/>
        <v xml:space="preserve"> </v>
      </c>
    </row>
    <row r="10" spans="1:91" x14ac:dyDescent="0.3">
      <c r="A10" s="8" t="s">
        <v>31</v>
      </c>
      <c r="B10" s="9">
        <v>454085.66666666669</v>
      </c>
      <c r="C10" s="9">
        <v>17204.416666666668</v>
      </c>
      <c r="D10" s="9">
        <v>965</v>
      </c>
      <c r="E10" s="10">
        <v>16939.983419689121</v>
      </c>
      <c r="F10" s="10">
        <v>641.82279792746112</v>
      </c>
      <c r="G10" s="11">
        <v>2.7358333333333338</v>
      </c>
      <c r="H10" s="9">
        <v>365658.09090909088</v>
      </c>
      <c r="I10" s="9">
        <v>14679.363636363636</v>
      </c>
      <c r="J10" s="9">
        <v>720</v>
      </c>
      <c r="K10" s="10">
        <v>16759.329166666666</v>
      </c>
      <c r="L10" s="10">
        <v>672.80416666666667</v>
      </c>
      <c r="M10" s="11">
        <v>2.8090909090909091</v>
      </c>
      <c r="N10" s="12">
        <v>217317</v>
      </c>
      <c r="O10" s="12">
        <v>5869</v>
      </c>
      <c r="P10" s="12">
        <v>29</v>
      </c>
      <c r="Q10" s="13">
        <f t="shared" si="0"/>
        <v>22481.068965517243</v>
      </c>
      <c r="R10" s="13">
        <f t="shared" si="1"/>
        <v>607.13793103448279</v>
      </c>
      <c r="S10" s="14"/>
      <c r="T10" s="12">
        <v>245082</v>
      </c>
      <c r="U10" s="12">
        <v>5802</v>
      </c>
      <c r="V10" s="12">
        <v>48</v>
      </c>
      <c r="W10" s="13">
        <f t="shared" si="2"/>
        <v>15317.625</v>
      </c>
      <c r="X10" s="13">
        <f t="shared" si="3"/>
        <v>362.625</v>
      </c>
      <c r="Y10" s="14"/>
      <c r="Z10" s="12">
        <v>275570</v>
      </c>
      <c r="AA10" s="12">
        <v>12588</v>
      </c>
      <c r="AB10" s="12">
        <v>43</v>
      </c>
      <c r="AC10" s="13">
        <f t="shared" si="4"/>
        <v>19225.813953488374</v>
      </c>
      <c r="AD10" s="13">
        <f t="shared" si="5"/>
        <v>878.23255813953483</v>
      </c>
      <c r="AE10" s="14"/>
      <c r="AF10" s="12">
        <v>93477</v>
      </c>
      <c r="AG10" s="12">
        <v>4585</v>
      </c>
      <c r="AH10" s="12">
        <v>19</v>
      </c>
      <c r="AI10" s="13">
        <f t="shared" si="6"/>
        <v>14759.526315789473</v>
      </c>
      <c r="AJ10" s="13">
        <f t="shared" si="7"/>
        <v>723.94736842105272</v>
      </c>
      <c r="AK10" s="14"/>
      <c r="AL10" s="12">
        <v>351001</v>
      </c>
      <c r="AM10" s="12">
        <v>15194</v>
      </c>
      <c r="AN10" s="12">
        <v>53</v>
      </c>
      <c r="AO10" s="13">
        <f t="shared" si="8"/>
        <v>19867.981132075471</v>
      </c>
      <c r="AP10" s="13">
        <f t="shared" si="9"/>
        <v>860.03773584905662</v>
      </c>
      <c r="AQ10" s="14"/>
      <c r="AR10" s="12">
        <v>245772</v>
      </c>
      <c r="AS10" s="12">
        <v>13072</v>
      </c>
      <c r="AT10" s="12">
        <v>43</v>
      </c>
      <c r="AU10" s="13">
        <f t="shared" si="10"/>
        <v>17146.883720930233</v>
      </c>
      <c r="AV10" s="13">
        <f t="shared" si="11"/>
        <v>912</v>
      </c>
      <c r="AW10" s="14"/>
      <c r="AX10" s="12">
        <v>290163</v>
      </c>
      <c r="AY10" s="12">
        <v>12906</v>
      </c>
      <c r="AZ10" s="12">
        <v>51</v>
      </c>
      <c r="BA10" s="13">
        <f t="shared" si="12"/>
        <v>17068.411764705881</v>
      </c>
      <c r="BB10" s="13">
        <f t="shared" si="13"/>
        <v>759.17647058823536</v>
      </c>
      <c r="BC10" s="14"/>
      <c r="BD10" s="12">
        <v>229139</v>
      </c>
      <c r="BE10" s="12">
        <v>10399</v>
      </c>
      <c r="BF10" s="12">
        <v>41</v>
      </c>
      <c r="BG10" s="13">
        <f t="shared" si="14"/>
        <v>16766.268292682929</v>
      </c>
      <c r="BH10" s="13">
        <f t="shared" si="15"/>
        <v>760.90243902439022</v>
      </c>
      <c r="BI10" s="14"/>
      <c r="BJ10" s="12">
        <v>438947</v>
      </c>
      <c r="BK10" s="12">
        <v>16604</v>
      </c>
      <c r="BL10" s="12">
        <v>61</v>
      </c>
      <c r="BM10" s="13">
        <f t="shared" si="16"/>
        <v>21587.557377049179</v>
      </c>
      <c r="BN10" s="13">
        <f t="shared" si="17"/>
        <v>816.5901639344263</v>
      </c>
      <c r="BO10" s="14"/>
      <c r="BP10" s="12">
        <v>471654</v>
      </c>
      <c r="BQ10" s="12">
        <v>18920</v>
      </c>
      <c r="BR10" s="12">
        <v>73</v>
      </c>
      <c r="BS10" s="13">
        <f t="shared" si="18"/>
        <v>19383.04109589041</v>
      </c>
      <c r="BT10" s="13">
        <f t="shared" si="19"/>
        <v>777.53424657534254</v>
      </c>
      <c r="BU10" s="14"/>
      <c r="BV10" s="12">
        <v>381440</v>
      </c>
      <c r="BW10" s="12">
        <v>13541</v>
      </c>
      <c r="BX10" s="12">
        <v>52</v>
      </c>
      <c r="BY10" s="13">
        <f t="shared" si="20"/>
        <v>22006.153846153844</v>
      </c>
      <c r="BZ10" s="13">
        <f t="shared" si="21"/>
        <v>781.21153846153834</v>
      </c>
      <c r="CA10" s="14"/>
      <c r="CB10" s="12">
        <v>293065</v>
      </c>
      <c r="CC10" s="12">
        <v>9829</v>
      </c>
      <c r="CD10" s="12">
        <v>52</v>
      </c>
      <c r="CE10" s="13">
        <f t="shared" si="22"/>
        <v>16907.596153846156</v>
      </c>
      <c r="CF10" s="13">
        <f t="shared" si="23"/>
        <v>567.05769230769238</v>
      </c>
      <c r="CG10" s="14" t="s">
        <v>51</v>
      </c>
      <c r="CH10" s="9">
        <f t="shared" si="24"/>
        <v>294385.58333333331</v>
      </c>
      <c r="CI10" s="9">
        <f t="shared" si="24"/>
        <v>11609.083333333334</v>
      </c>
      <c r="CJ10" s="9">
        <f t="shared" si="25"/>
        <v>565</v>
      </c>
      <c r="CK10" s="10">
        <f t="shared" si="26"/>
        <v>18757.311504424779</v>
      </c>
      <c r="CL10" s="10">
        <f t="shared" si="27"/>
        <v>739.69380530973444</v>
      </c>
      <c r="CM10" s="11" t="str">
        <f t="shared" si="28"/>
        <v xml:space="preserve"> </v>
      </c>
    </row>
    <row r="11" spans="1:91" x14ac:dyDescent="0.3">
      <c r="A11" s="8" t="s">
        <v>32</v>
      </c>
      <c r="B11" s="9">
        <v>425928.5</v>
      </c>
      <c r="C11" s="9">
        <v>15973.416666666666</v>
      </c>
      <c r="D11" s="9">
        <v>957</v>
      </c>
      <c r="E11" s="10">
        <v>16022.388714733541</v>
      </c>
      <c r="F11" s="10">
        <v>600.88087774294672</v>
      </c>
      <c r="G11" s="11">
        <v>2.7283333333333331</v>
      </c>
      <c r="H11" s="9">
        <v>333216</v>
      </c>
      <c r="I11" s="9">
        <v>12876.09090909091</v>
      </c>
      <c r="J11" s="9">
        <v>698</v>
      </c>
      <c r="K11" s="10">
        <v>15753.765042979941</v>
      </c>
      <c r="L11" s="10">
        <v>608.7550143266476</v>
      </c>
      <c r="M11" s="11">
        <v>2.7818181818181817</v>
      </c>
      <c r="N11" s="12">
        <v>228132</v>
      </c>
      <c r="O11" s="12">
        <v>4763</v>
      </c>
      <c r="P11" s="12">
        <v>28</v>
      </c>
      <c r="Q11" s="13">
        <f t="shared" si="0"/>
        <v>24442.714285714286</v>
      </c>
      <c r="R11" s="13">
        <f t="shared" si="1"/>
        <v>510.32142857142856</v>
      </c>
      <c r="S11" s="14"/>
      <c r="T11" s="12">
        <v>243774</v>
      </c>
      <c r="U11" s="12">
        <v>7144</v>
      </c>
      <c r="V11" s="12">
        <v>49</v>
      </c>
      <c r="W11" s="13">
        <f t="shared" si="2"/>
        <v>14924.938775510203</v>
      </c>
      <c r="X11" s="13">
        <f t="shared" si="3"/>
        <v>437.38775510204079</v>
      </c>
      <c r="Y11" s="14"/>
      <c r="Z11" s="12">
        <v>219927</v>
      </c>
      <c r="AA11" s="12">
        <v>9190</v>
      </c>
      <c r="AB11" s="12">
        <v>36</v>
      </c>
      <c r="AC11" s="13">
        <f t="shared" si="4"/>
        <v>18327.25</v>
      </c>
      <c r="AD11" s="13">
        <f t="shared" si="5"/>
        <v>765.83333333333326</v>
      </c>
      <c r="AE11" s="14"/>
      <c r="AF11" s="12">
        <v>131837</v>
      </c>
      <c r="AG11" s="12">
        <v>5976</v>
      </c>
      <c r="AH11" s="12">
        <v>27</v>
      </c>
      <c r="AI11" s="13">
        <f t="shared" si="6"/>
        <v>14648.555555555557</v>
      </c>
      <c r="AJ11" s="13">
        <f t="shared" si="7"/>
        <v>664</v>
      </c>
      <c r="AK11" s="14"/>
      <c r="AL11" s="12">
        <v>231018</v>
      </c>
      <c r="AM11" s="12">
        <v>9035</v>
      </c>
      <c r="AN11" s="12">
        <v>39</v>
      </c>
      <c r="AO11" s="13">
        <f t="shared" si="8"/>
        <v>17770.615384615387</v>
      </c>
      <c r="AP11" s="13">
        <f t="shared" si="9"/>
        <v>695</v>
      </c>
      <c r="AQ11" s="14"/>
      <c r="AR11" s="12">
        <v>260527</v>
      </c>
      <c r="AS11" s="12">
        <v>13521</v>
      </c>
      <c r="AT11" s="12">
        <v>47</v>
      </c>
      <c r="AU11" s="13">
        <f t="shared" si="10"/>
        <v>16629.382978723406</v>
      </c>
      <c r="AV11" s="13">
        <f t="shared" si="11"/>
        <v>863.04255319148933</v>
      </c>
      <c r="AW11" s="14"/>
      <c r="AX11" s="12">
        <v>309096</v>
      </c>
      <c r="AY11" s="12">
        <v>10366</v>
      </c>
      <c r="AZ11" s="12">
        <v>50</v>
      </c>
      <c r="BA11" s="13">
        <f t="shared" si="12"/>
        <v>18545.760000000002</v>
      </c>
      <c r="BB11" s="13">
        <f t="shared" si="13"/>
        <v>621.96</v>
      </c>
      <c r="BC11" s="14"/>
      <c r="BD11" s="12">
        <v>410506</v>
      </c>
      <c r="BE11" s="12">
        <v>17851</v>
      </c>
      <c r="BF11" s="12">
        <v>56</v>
      </c>
      <c r="BG11" s="13">
        <f t="shared" si="14"/>
        <v>21991.392857142855</v>
      </c>
      <c r="BH11" s="13">
        <f t="shared" si="15"/>
        <v>956.30357142857156</v>
      </c>
      <c r="BI11" s="14"/>
      <c r="BJ11" s="12">
        <v>446412</v>
      </c>
      <c r="BK11" s="12">
        <v>19450</v>
      </c>
      <c r="BL11" s="12">
        <v>57</v>
      </c>
      <c r="BM11" s="13">
        <f t="shared" si="16"/>
        <v>23495.368421052633</v>
      </c>
      <c r="BN11" s="13">
        <f t="shared" si="17"/>
        <v>1023.6842105263157</v>
      </c>
      <c r="BO11" s="14"/>
      <c r="BP11" s="12">
        <v>597864</v>
      </c>
      <c r="BQ11" s="12">
        <v>23628</v>
      </c>
      <c r="BR11" s="12">
        <v>77</v>
      </c>
      <c r="BS11" s="13">
        <f t="shared" si="18"/>
        <v>23293.402597402597</v>
      </c>
      <c r="BT11" s="13">
        <f t="shared" si="19"/>
        <v>920.57142857142844</v>
      </c>
      <c r="BU11" s="14"/>
      <c r="BV11" s="12">
        <v>424281</v>
      </c>
      <c r="BW11" s="12">
        <v>14427</v>
      </c>
      <c r="BX11" s="12">
        <v>55</v>
      </c>
      <c r="BY11" s="13">
        <f t="shared" si="20"/>
        <v>23142.6</v>
      </c>
      <c r="BZ11" s="13">
        <f t="shared" si="21"/>
        <v>786.92727272727279</v>
      </c>
      <c r="CA11" s="14"/>
      <c r="CB11" s="12">
        <v>377703</v>
      </c>
      <c r="CC11" s="12">
        <v>13743</v>
      </c>
      <c r="CD11" s="12">
        <v>61</v>
      </c>
      <c r="CE11" s="13">
        <f t="shared" si="22"/>
        <v>18575.557377049179</v>
      </c>
      <c r="CF11" s="13">
        <f t="shared" si="23"/>
        <v>675.88524590163934</v>
      </c>
      <c r="CG11" s="14" t="s">
        <v>51</v>
      </c>
      <c r="CH11" s="9">
        <f t="shared" si="24"/>
        <v>323423.08333333331</v>
      </c>
      <c r="CI11" s="9">
        <f t="shared" si="24"/>
        <v>12424.5</v>
      </c>
      <c r="CJ11" s="9">
        <f t="shared" si="25"/>
        <v>582</v>
      </c>
      <c r="CK11" s="10">
        <f t="shared" si="26"/>
        <v>20005.551546391751</v>
      </c>
      <c r="CL11" s="10">
        <f t="shared" si="27"/>
        <v>768.52577319587635</v>
      </c>
      <c r="CM11" s="11" t="str">
        <f t="shared" si="28"/>
        <v xml:space="preserve"> </v>
      </c>
    </row>
    <row r="12" spans="1:91" x14ac:dyDescent="0.3">
      <c r="A12" s="8" t="s">
        <v>33</v>
      </c>
      <c r="B12" s="9">
        <v>257640.08333333334</v>
      </c>
      <c r="C12" s="9">
        <v>20880.75</v>
      </c>
      <c r="D12" s="9">
        <v>980</v>
      </c>
      <c r="E12" s="10">
        <v>9464.3295918367348</v>
      </c>
      <c r="F12" s="10">
        <v>767.04795918367347</v>
      </c>
      <c r="G12" s="11">
        <v>3.8908333333333331</v>
      </c>
      <c r="H12" s="9">
        <v>187984.81818181818</v>
      </c>
      <c r="I12" s="9">
        <v>12133.727272727272</v>
      </c>
      <c r="J12" s="9">
        <v>725</v>
      </c>
      <c r="K12" s="10">
        <v>8556.5503448275867</v>
      </c>
      <c r="L12" s="10">
        <v>552.29379310344825</v>
      </c>
      <c r="M12" s="11">
        <v>3.4627272727272729</v>
      </c>
      <c r="N12" s="12">
        <v>53856</v>
      </c>
      <c r="O12" s="12">
        <v>5120</v>
      </c>
      <c r="P12" s="12">
        <v>10</v>
      </c>
      <c r="Q12" s="13">
        <f t="shared" si="0"/>
        <v>16156.800000000001</v>
      </c>
      <c r="R12" s="13">
        <f t="shared" si="1"/>
        <v>1536</v>
      </c>
      <c r="S12" s="14"/>
      <c r="T12" s="12">
        <v>225404</v>
      </c>
      <c r="U12" s="12">
        <v>18172</v>
      </c>
      <c r="V12" s="12">
        <v>41</v>
      </c>
      <c r="W12" s="13">
        <f t="shared" si="2"/>
        <v>16492.975609756097</v>
      </c>
      <c r="X12" s="13">
        <f t="shared" si="3"/>
        <v>1329.6585365853659</v>
      </c>
      <c r="Y12" s="14"/>
      <c r="Z12" s="12">
        <v>136704</v>
      </c>
      <c r="AA12" s="12">
        <v>6387</v>
      </c>
      <c r="AB12" s="12">
        <v>33</v>
      </c>
      <c r="AC12" s="13">
        <f t="shared" si="4"/>
        <v>12427.636363636364</v>
      </c>
      <c r="AD12" s="13">
        <f t="shared" si="5"/>
        <v>580.63636363636363</v>
      </c>
      <c r="AE12" s="14"/>
      <c r="AF12" s="12">
        <v>90015</v>
      </c>
      <c r="AG12" s="12">
        <v>4849</v>
      </c>
      <c r="AH12" s="12">
        <v>23</v>
      </c>
      <c r="AI12" s="13">
        <f t="shared" si="6"/>
        <v>11741.08695652174</v>
      </c>
      <c r="AJ12" s="13">
        <f t="shared" si="7"/>
        <v>632.47826086956525</v>
      </c>
      <c r="AK12" s="14"/>
      <c r="AL12" s="12">
        <v>259830</v>
      </c>
      <c r="AM12" s="12">
        <v>9770</v>
      </c>
      <c r="AN12" s="12">
        <v>47</v>
      </c>
      <c r="AO12" s="13">
        <f t="shared" si="8"/>
        <v>16584.893617021276</v>
      </c>
      <c r="AP12" s="13">
        <f t="shared" si="9"/>
        <v>623.61702127659578</v>
      </c>
      <c r="AQ12" s="14"/>
      <c r="AR12" s="12">
        <v>152980</v>
      </c>
      <c r="AS12" s="12">
        <v>8722</v>
      </c>
      <c r="AT12" s="12">
        <v>29</v>
      </c>
      <c r="AU12" s="13">
        <f t="shared" si="10"/>
        <v>15825.51724137931</v>
      </c>
      <c r="AV12" s="13">
        <f t="shared" si="11"/>
        <v>902.27586206896558</v>
      </c>
      <c r="AW12" s="14"/>
      <c r="AX12" s="12">
        <v>246352</v>
      </c>
      <c r="AY12" s="12">
        <v>8964</v>
      </c>
      <c r="AZ12" s="12">
        <v>45</v>
      </c>
      <c r="BA12" s="13">
        <f t="shared" si="12"/>
        <v>16423.466666666667</v>
      </c>
      <c r="BB12" s="13">
        <f t="shared" si="13"/>
        <v>597.59999999999991</v>
      </c>
      <c r="BC12" s="14"/>
      <c r="BD12" s="12">
        <v>315728</v>
      </c>
      <c r="BE12" s="12">
        <v>13617</v>
      </c>
      <c r="BF12" s="12">
        <v>55</v>
      </c>
      <c r="BG12" s="13">
        <f t="shared" si="14"/>
        <v>17221.527272727275</v>
      </c>
      <c r="BH12" s="13">
        <f t="shared" si="15"/>
        <v>742.74545454545455</v>
      </c>
      <c r="BI12" s="14"/>
      <c r="BJ12" s="12">
        <v>320746</v>
      </c>
      <c r="BK12" s="12">
        <v>20180</v>
      </c>
      <c r="BL12" s="12">
        <v>58</v>
      </c>
      <c r="BM12" s="13">
        <f t="shared" si="16"/>
        <v>16590.310344827587</v>
      </c>
      <c r="BN12" s="13">
        <f t="shared" si="17"/>
        <v>1043.7931034482758</v>
      </c>
      <c r="BO12" s="14"/>
      <c r="BP12" s="12">
        <v>396954</v>
      </c>
      <c r="BQ12" s="12">
        <v>19650</v>
      </c>
      <c r="BR12" s="12">
        <v>71</v>
      </c>
      <c r="BS12" s="13">
        <f t="shared" si="18"/>
        <v>16772.704225352114</v>
      </c>
      <c r="BT12" s="13">
        <f t="shared" si="19"/>
        <v>830.28169014084506</v>
      </c>
      <c r="BU12" s="14"/>
      <c r="BV12" s="12">
        <v>301946</v>
      </c>
      <c r="BW12" s="12">
        <v>23198</v>
      </c>
      <c r="BX12" s="12">
        <v>54</v>
      </c>
      <c r="BY12" s="13">
        <f t="shared" si="20"/>
        <v>16774.777777777777</v>
      </c>
      <c r="BZ12" s="13">
        <f t="shared" si="21"/>
        <v>1288.7777777777778</v>
      </c>
      <c r="CA12" s="14"/>
      <c r="CB12" s="12">
        <v>243562</v>
      </c>
      <c r="CC12" s="12">
        <v>16968</v>
      </c>
      <c r="CD12" s="12">
        <v>45</v>
      </c>
      <c r="CE12" s="13">
        <f t="shared" si="22"/>
        <v>16237.466666666667</v>
      </c>
      <c r="CF12" s="13">
        <f t="shared" si="23"/>
        <v>1131.2</v>
      </c>
      <c r="CG12" s="14" t="s">
        <v>51</v>
      </c>
      <c r="CH12" s="9">
        <f t="shared" si="24"/>
        <v>228673.08333333334</v>
      </c>
      <c r="CI12" s="9">
        <f t="shared" si="24"/>
        <v>12966.416666666666</v>
      </c>
      <c r="CJ12" s="9">
        <f t="shared" si="25"/>
        <v>511</v>
      </c>
      <c r="CK12" s="10">
        <f t="shared" si="26"/>
        <v>16110.04109589041</v>
      </c>
      <c r="CL12" s="10">
        <f t="shared" si="27"/>
        <v>913.48532289628179</v>
      </c>
      <c r="CM12" s="11" t="str">
        <f t="shared" si="28"/>
        <v xml:space="preserve"> </v>
      </c>
    </row>
    <row r="13" spans="1:91" x14ac:dyDescent="0.3">
      <c r="A13" s="8" t="s">
        <v>34</v>
      </c>
      <c r="B13" s="9">
        <v>263366.66666666669</v>
      </c>
      <c r="C13" s="9">
        <v>4358.583333333333</v>
      </c>
      <c r="D13" s="9">
        <v>833</v>
      </c>
      <c r="E13" s="10">
        <v>11381.992797118848</v>
      </c>
      <c r="F13" s="10">
        <v>188.36614645858344</v>
      </c>
      <c r="G13" s="11">
        <v>1.8166666666666667</v>
      </c>
      <c r="H13" s="9">
        <v>168754.27272727274</v>
      </c>
      <c r="I13" s="9">
        <v>3216.7272727272725</v>
      </c>
      <c r="J13" s="9">
        <v>601</v>
      </c>
      <c r="K13" s="10">
        <v>9266.0415973377694</v>
      </c>
      <c r="L13" s="10">
        <v>176.62562396006655</v>
      </c>
      <c r="M13" s="11">
        <v>1.9281818181818182</v>
      </c>
      <c r="N13" s="12">
        <v>18511.9375</v>
      </c>
      <c r="O13" s="12">
        <v>320</v>
      </c>
      <c r="P13" s="12">
        <v>1</v>
      </c>
      <c r="Q13" s="13">
        <f t="shared" si="0"/>
        <v>55535.8125</v>
      </c>
      <c r="R13" s="13">
        <f t="shared" si="1"/>
        <v>960</v>
      </c>
      <c r="S13" s="14"/>
      <c r="T13" s="12"/>
      <c r="U13" s="12"/>
      <c r="V13" s="12"/>
      <c r="W13" s="13" t="str">
        <f t="shared" si="2"/>
        <v/>
      </c>
      <c r="X13" s="13" t="str">
        <f t="shared" si="3"/>
        <v/>
      </c>
      <c r="Y13" s="14"/>
      <c r="Z13" s="12"/>
      <c r="AA13" s="12"/>
      <c r="AB13" s="12"/>
      <c r="AC13" s="13" t="str">
        <f t="shared" si="4"/>
        <v xml:space="preserve"> </v>
      </c>
      <c r="AD13" s="13" t="str">
        <f t="shared" si="5"/>
        <v xml:space="preserve"> </v>
      </c>
      <c r="AE13" s="14"/>
      <c r="AF13" s="12">
        <v>5470</v>
      </c>
      <c r="AG13" s="12">
        <v>135</v>
      </c>
      <c r="AH13" s="12">
        <v>3</v>
      </c>
      <c r="AI13" s="13">
        <f t="shared" si="6"/>
        <v>5470</v>
      </c>
      <c r="AJ13" s="13">
        <f t="shared" si="7"/>
        <v>135</v>
      </c>
      <c r="AK13" s="14"/>
      <c r="AL13" s="12"/>
      <c r="AM13" s="12"/>
      <c r="AN13" s="12"/>
      <c r="AO13" s="13" t="str">
        <f t="shared" si="8"/>
        <v xml:space="preserve"> </v>
      </c>
      <c r="AP13" s="13" t="str">
        <f t="shared" si="9"/>
        <v xml:space="preserve"> </v>
      </c>
      <c r="AQ13" s="14"/>
      <c r="AR13" s="12"/>
      <c r="AS13" s="12"/>
      <c r="AT13" s="12"/>
      <c r="AU13" s="13" t="str">
        <f t="shared" si="10"/>
        <v xml:space="preserve"> </v>
      </c>
      <c r="AV13" s="13" t="str">
        <f t="shared" si="11"/>
        <v xml:space="preserve"> </v>
      </c>
      <c r="AW13" s="14"/>
      <c r="AX13" s="12"/>
      <c r="AY13" s="12"/>
      <c r="AZ13" s="12"/>
      <c r="BA13" s="13" t="str">
        <f t="shared" si="12"/>
        <v xml:space="preserve"> </v>
      </c>
      <c r="BB13" s="13" t="str">
        <f t="shared" si="13"/>
        <v xml:space="preserve"> </v>
      </c>
      <c r="BC13" s="14"/>
      <c r="BD13" s="12"/>
      <c r="BE13" s="12"/>
      <c r="BF13" s="12"/>
      <c r="BG13" s="13" t="str">
        <f t="shared" si="14"/>
        <v xml:space="preserve"> </v>
      </c>
      <c r="BH13" s="13" t="str">
        <f t="shared" si="15"/>
        <v xml:space="preserve"> </v>
      </c>
      <c r="BI13" s="14"/>
      <c r="BJ13" s="12"/>
      <c r="BK13" s="12"/>
      <c r="BL13" s="12"/>
      <c r="BM13" s="13" t="str">
        <f t="shared" si="16"/>
        <v xml:space="preserve"> </v>
      </c>
      <c r="BN13" s="13" t="str">
        <f t="shared" si="17"/>
        <v xml:space="preserve"> </v>
      </c>
      <c r="BO13" s="14"/>
      <c r="BP13" s="12"/>
      <c r="BQ13" s="12"/>
      <c r="BR13" s="12"/>
      <c r="BS13" s="13" t="str">
        <f t="shared" si="18"/>
        <v xml:space="preserve"> </v>
      </c>
      <c r="BT13" s="13" t="str">
        <f t="shared" si="19"/>
        <v xml:space="preserve"> </v>
      </c>
      <c r="BU13" s="14"/>
      <c r="BV13" s="12"/>
      <c r="BW13" s="12"/>
      <c r="BX13" s="12"/>
      <c r="BY13" s="13" t="str">
        <f t="shared" si="20"/>
        <v xml:space="preserve"> </v>
      </c>
      <c r="BZ13" s="13" t="str">
        <f t="shared" si="21"/>
        <v xml:space="preserve"> </v>
      </c>
      <c r="CA13" s="14"/>
      <c r="CD13" s="12"/>
      <c r="CE13" s="13" t="str">
        <f t="shared" si="22"/>
        <v xml:space="preserve"> </v>
      </c>
      <c r="CF13" s="13" t="str">
        <f t="shared" si="23"/>
        <v xml:space="preserve"> </v>
      </c>
      <c r="CG13" s="14" t="s">
        <v>51</v>
      </c>
      <c r="CH13" s="9">
        <f t="shared" si="24"/>
        <v>11990.96875</v>
      </c>
      <c r="CI13" s="9">
        <f t="shared" si="24"/>
        <v>227.5</v>
      </c>
      <c r="CJ13" s="9">
        <f t="shared" si="25"/>
        <v>4</v>
      </c>
      <c r="CK13" s="10">
        <f t="shared" si="26"/>
        <v>17986.453125</v>
      </c>
      <c r="CL13" s="10">
        <f t="shared" si="27"/>
        <v>341.25</v>
      </c>
      <c r="CM13" s="11" t="str">
        <f t="shared" si="28"/>
        <v xml:space="preserve"> </v>
      </c>
    </row>
    <row r="14" spans="1:91" x14ac:dyDescent="0.3">
      <c r="A14" s="8" t="s">
        <v>35</v>
      </c>
      <c r="B14" s="9">
        <v>257525.08333333334</v>
      </c>
      <c r="C14" s="9">
        <v>17603.75</v>
      </c>
      <c r="D14" s="9">
        <v>949</v>
      </c>
      <c r="E14" s="10">
        <v>9769.1285563751317</v>
      </c>
      <c r="F14" s="10">
        <v>667.79241306638573</v>
      </c>
      <c r="G14" s="11">
        <v>3.6216666666666661</v>
      </c>
      <c r="H14" s="9">
        <v>221234.09090909091</v>
      </c>
      <c r="I14" s="9">
        <v>9644.9090909090901</v>
      </c>
      <c r="J14" s="9">
        <v>716</v>
      </c>
      <c r="K14" s="10">
        <v>10196.543296089385</v>
      </c>
      <c r="L14" s="10">
        <v>444.52793296089385</v>
      </c>
      <c r="M14" s="11">
        <v>2.9027272727272728</v>
      </c>
      <c r="N14" s="12">
        <v>109936</v>
      </c>
      <c r="O14" s="12">
        <v>5263</v>
      </c>
      <c r="P14" s="12">
        <v>24</v>
      </c>
      <c r="Q14" s="13">
        <f t="shared" si="0"/>
        <v>13742</v>
      </c>
      <c r="R14" s="13">
        <f t="shared" si="1"/>
        <v>657.875</v>
      </c>
      <c r="S14" s="14"/>
      <c r="T14" s="12">
        <v>257918</v>
      </c>
      <c r="U14" s="12">
        <v>9086</v>
      </c>
      <c r="V14" s="12">
        <v>54</v>
      </c>
      <c r="W14" s="13">
        <f t="shared" si="2"/>
        <v>14328.777777777777</v>
      </c>
      <c r="X14" s="13">
        <f t="shared" si="3"/>
        <v>504.77777777777783</v>
      </c>
      <c r="Y14" s="14"/>
      <c r="Z14" s="12">
        <v>221633</v>
      </c>
      <c r="AA14" s="12">
        <v>7446</v>
      </c>
      <c r="AB14" s="12">
        <v>46</v>
      </c>
      <c r="AC14" s="13">
        <f t="shared" si="4"/>
        <v>14454.326086956522</v>
      </c>
      <c r="AD14" s="13">
        <f t="shared" si="5"/>
        <v>485.60869565217394</v>
      </c>
      <c r="AE14" s="14"/>
      <c r="AF14" s="12">
        <v>117080</v>
      </c>
      <c r="AG14" s="12">
        <v>4534</v>
      </c>
      <c r="AH14" s="12">
        <v>20</v>
      </c>
      <c r="AI14" s="13">
        <f t="shared" si="6"/>
        <v>17562</v>
      </c>
      <c r="AJ14" s="13">
        <f t="shared" si="7"/>
        <v>680.09999999999991</v>
      </c>
      <c r="AK14" s="14"/>
      <c r="AL14" s="12">
        <v>300089</v>
      </c>
      <c r="AM14" s="12">
        <v>8856</v>
      </c>
      <c r="AN14" s="12">
        <v>64</v>
      </c>
      <c r="AO14" s="13">
        <f t="shared" si="8"/>
        <v>14066.671875</v>
      </c>
      <c r="AP14" s="13">
        <f t="shared" si="9"/>
        <v>415.125</v>
      </c>
      <c r="AQ14" s="14"/>
      <c r="AR14" s="12">
        <v>107273</v>
      </c>
      <c r="AS14" s="12">
        <v>2965</v>
      </c>
      <c r="AT14" s="12">
        <v>21</v>
      </c>
      <c r="AU14" s="13">
        <f t="shared" si="10"/>
        <v>15324.714285714286</v>
      </c>
      <c r="AV14" s="13">
        <f t="shared" si="11"/>
        <v>423.57142857142861</v>
      </c>
      <c r="AW14" s="14"/>
      <c r="AX14" s="12">
        <v>232230</v>
      </c>
      <c r="AY14" s="12">
        <v>5007</v>
      </c>
      <c r="AZ14" s="12">
        <v>42</v>
      </c>
      <c r="BA14" s="13">
        <f t="shared" si="12"/>
        <v>16587.857142857145</v>
      </c>
      <c r="BB14" s="13">
        <f t="shared" si="13"/>
        <v>357.64285714285711</v>
      </c>
      <c r="BC14" s="14"/>
      <c r="BD14" s="12">
        <v>271217</v>
      </c>
      <c r="BE14" s="12">
        <v>8324</v>
      </c>
      <c r="BF14" s="12">
        <v>54</v>
      </c>
      <c r="BG14" s="13">
        <f t="shared" si="14"/>
        <v>15067.611111111113</v>
      </c>
      <c r="BH14" s="13">
        <f t="shared" si="15"/>
        <v>462.44444444444446</v>
      </c>
      <c r="BI14" s="14"/>
      <c r="BJ14" s="12">
        <v>276845</v>
      </c>
      <c r="BK14" s="12">
        <v>7920</v>
      </c>
      <c r="BL14" s="12">
        <v>61</v>
      </c>
      <c r="BM14" s="13">
        <f t="shared" si="16"/>
        <v>13615.327868852459</v>
      </c>
      <c r="BN14" s="13">
        <f t="shared" si="17"/>
        <v>389.50819672131149</v>
      </c>
      <c r="BO14" s="14"/>
      <c r="BP14" s="12">
        <v>289150</v>
      </c>
      <c r="BQ14" s="12">
        <v>15679</v>
      </c>
      <c r="BR14" s="12">
        <v>71</v>
      </c>
      <c r="BS14" s="13">
        <f t="shared" si="18"/>
        <v>12217.605633802817</v>
      </c>
      <c r="BT14" s="13">
        <f t="shared" si="19"/>
        <v>662.49295774647885</v>
      </c>
      <c r="BU14" s="14"/>
      <c r="BV14" s="12">
        <v>292967</v>
      </c>
      <c r="BW14" s="12">
        <v>14564</v>
      </c>
      <c r="BX14" s="12">
        <v>57</v>
      </c>
      <c r="BY14" s="13">
        <f t="shared" si="20"/>
        <v>15419.315789473683</v>
      </c>
      <c r="BZ14" s="13">
        <f t="shared" si="21"/>
        <v>766.52631578947364</v>
      </c>
      <c r="CA14" s="14"/>
      <c r="CB14" s="12">
        <v>287716</v>
      </c>
      <c r="CC14" s="12">
        <v>7573</v>
      </c>
      <c r="CD14" s="12">
        <v>59</v>
      </c>
      <c r="CE14" s="13">
        <f t="shared" si="22"/>
        <v>14629.627118644068</v>
      </c>
      <c r="CF14" s="13">
        <f t="shared" si="23"/>
        <v>385.06779661016952</v>
      </c>
      <c r="CG14" s="14" t="s">
        <v>51</v>
      </c>
      <c r="CH14" s="9">
        <f t="shared" si="24"/>
        <v>230337.83333333334</v>
      </c>
      <c r="CI14" s="9">
        <f t="shared" si="24"/>
        <v>8101.416666666667</v>
      </c>
      <c r="CJ14" s="9">
        <f t="shared" si="25"/>
        <v>573</v>
      </c>
      <c r="CK14" s="10">
        <f t="shared" si="26"/>
        <v>14471.486910994763</v>
      </c>
      <c r="CL14" s="10">
        <f t="shared" si="27"/>
        <v>508.98952879581145</v>
      </c>
      <c r="CM14" s="11" t="str">
        <f t="shared" si="28"/>
        <v xml:space="preserve"> </v>
      </c>
    </row>
    <row r="15" spans="1:91" x14ac:dyDescent="0.3">
      <c r="A15" s="8" t="s">
        <v>36</v>
      </c>
      <c r="B15" s="9">
        <v>28702</v>
      </c>
      <c r="C15" s="9">
        <v>11627</v>
      </c>
      <c r="D15" s="9">
        <v>19</v>
      </c>
      <c r="E15" s="10">
        <v>9063.78947368421</v>
      </c>
      <c r="F15" s="10">
        <v>3671.6842105263158</v>
      </c>
      <c r="G15" s="11">
        <v>8.8999999999999986</v>
      </c>
      <c r="H15" s="9">
        <v>1300</v>
      </c>
      <c r="I15" s="9">
        <v>395</v>
      </c>
      <c r="J15" s="9">
        <v>1</v>
      </c>
      <c r="K15" s="10">
        <v>3900</v>
      </c>
      <c r="L15" s="10">
        <v>1185</v>
      </c>
      <c r="M15" s="11">
        <v>7.03</v>
      </c>
      <c r="N15" s="12"/>
      <c r="O15" s="12"/>
      <c r="P15" s="12"/>
      <c r="Q15" s="13" t="str">
        <f t="shared" si="0"/>
        <v/>
      </c>
      <c r="R15" s="13" t="str">
        <f t="shared" si="1"/>
        <v/>
      </c>
      <c r="S15" s="14"/>
      <c r="T15" s="12"/>
      <c r="U15" s="12"/>
      <c r="V15" s="12"/>
      <c r="W15" s="13" t="str">
        <f t="shared" si="2"/>
        <v/>
      </c>
      <c r="X15" s="13" t="str">
        <f t="shared" si="3"/>
        <v/>
      </c>
      <c r="Y15" s="14"/>
      <c r="Z15" s="12"/>
      <c r="AA15" s="12"/>
      <c r="AB15" s="12"/>
      <c r="AC15" s="13" t="str">
        <f t="shared" si="4"/>
        <v xml:space="preserve"> </v>
      </c>
      <c r="AD15" s="13" t="str">
        <f t="shared" si="5"/>
        <v xml:space="preserve"> </v>
      </c>
      <c r="AE15" s="14"/>
      <c r="AF15" s="12"/>
      <c r="AG15" s="12"/>
      <c r="AH15" s="12"/>
      <c r="AI15" s="13" t="str">
        <f t="shared" si="6"/>
        <v xml:space="preserve"> </v>
      </c>
      <c r="AJ15" s="13" t="str">
        <f t="shared" si="7"/>
        <v xml:space="preserve"> </v>
      </c>
      <c r="AK15" s="14"/>
      <c r="AL15" s="12"/>
      <c r="AM15" s="12"/>
      <c r="AN15" s="12"/>
      <c r="AO15" s="13" t="str">
        <f t="shared" si="8"/>
        <v xml:space="preserve"> </v>
      </c>
      <c r="AP15" s="13" t="str">
        <f t="shared" si="9"/>
        <v xml:space="preserve"> </v>
      </c>
      <c r="AQ15" s="14"/>
      <c r="AR15" s="12"/>
      <c r="AS15" s="12"/>
      <c r="AT15" s="12"/>
      <c r="AU15" s="13" t="str">
        <f t="shared" si="10"/>
        <v xml:space="preserve"> </v>
      </c>
      <c r="AV15" s="13" t="str">
        <f t="shared" si="11"/>
        <v xml:space="preserve"> </v>
      </c>
      <c r="AW15" s="14"/>
      <c r="AX15" s="12"/>
      <c r="AY15" s="12"/>
      <c r="AZ15" s="12"/>
      <c r="BA15" s="13" t="str">
        <f t="shared" si="12"/>
        <v xml:space="preserve"> </v>
      </c>
      <c r="BB15" s="13" t="str">
        <f t="shared" si="13"/>
        <v xml:space="preserve"> </v>
      </c>
      <c r="BC15" s="14"/>
      <c r="BD15" s="12"/>
      <c r="BE15" s="12"/>
      <c r="BF15" s="12"/>
      <c r="BG15" s="13" t="str">
        <f t="shared" si="14"/>
        <v xml:space="preserve"> </v>
      </c>
      <c r="BH15" s="13" t="str">
        <f t="shared" si="15"/>
        <v xml:space="preserve"> </v>
      </c>
      <c r="BI15" s="14"/>
      <c r="BJ15" s="12"/>
      <c r="BK15" s="12"/>
      <c r="BL15" s="12"/>
      <c r="BM15" s="13" t="str">
        <f t="shared" si="16"/>
        <v xml:space="preserve"> </v>
      </c>
      <c r="BN15" s="13" t="str">
        <f t="shared" si="17"/>
        <v xml:space="preserve"> </v>
      </c>
      <c r="BO15" s="14"/>
      <c r="BP15" s="12"/>
      <c r="BQ15" s="12"/>
      <c r="BR15" s="12"/>
      <c r="BS15" s="13" t="str">
        <f t="shared" si="18"/>
        <v xml:space="preserve"> </v>
      </c>
      <c r="BT15" s="13" t="str">
        <f t="shared" si="19"/>
        <v xml:space="preserve"> </v>
      </c>
      <c r="BU15" s="14"/>
      <c r="BV15" s="12"/>
      <c r="BW15" s="12"/>
      <c r="BX15" s="12"/>
      <c r="BY15" s="13" t="str">
        <f t="shared" si="20"/>
        <v xml:space="preserve"> </v>
      </c>
      <c r="BZ15" s="13" t="str">
        <f t="shared" si="21"/>
        <v xml:space="preserve"> </v>
      </c>
      <c r="CA15" s="14"/>
      <c r="CD15" s="12"/>
      <c r="CE15" s="13" t="str">
        <f t="shared" si="22"/>
        <v xml:space="preserve"> </v>
      </c>
      <c r="CF15" s="13" t="str">
        <f t="shared" si="23"/>
        <v xml:space="preserve"> </v>
      </c>
      <c r="CG15" s="14" t="s">
        <v>51</v>
      </c>
      <c r="CH15" s="9" t="str">
        <f>IFERROR(AVERAGE(N15,T15,Z15,AF15,AL15,AR15,AX15,BD15,BJ15,BP15,BV15,CB15)," ")</f>
        <v xml:space="preserve"> </v>
      </c>
      <c r="CI15" s="9" t="str">
        <f>IFERROR(AVERAGE(O15,U15,AA15,AG15,AM15,AS15,AY15,BE15,BK15,BQ15,BW15,CC15)," ")</f>
        <v xml:space="preserve"> </v>
      </c>
      <c r="CJ15" s="9">
        <f>IFERROR(SUM(P15,V15,AB15,AH15,AN15,AT15,AZ15,BF15,BL15,BR15,BX15,CD15)," ")</f>
        <v>0</v>
      </c>
      <c r="CK15" s="10" t="str">
        <f>IFERROR(SUM(N15,T15,Z15,AF15,AL15,AR15,AX15,BD15,BJ15,BP15,BV15,CB15)/CJ15*3," ")</f>
        <v xml:space="preserve"> </v>
      </c>
      <c r="CL15" s="10" t="str">
        <f>IFERROR(SUM(O15,U15,AA15,AG15,AM15,AS15,AY15,BE15,BK15,BQ15,BW15,CC15)/CJ15*3," ")</f>
        <v xml:space="preserve"> </v>
      </c>
      <c r="CM15" s="11" t="str">
        <f>IFERROR(AVERAGE(S15,Y15,AE15,AK15,AQ15,AW15,BC15,BI15,BO15,BU15,CA15,CG15)," ")</f>
        <v xml:space="preserve"> </v>
      </c>
    </row>
    <row r="16" spans="1:91" x14ac:dyDescent="0.3">
      <c r="A16" s="8" t="s">
        <v>37</v>
      </c>
      <c r="B16" s="9">
        <v>29528.400000000001</v>
      </c>
      <c r="C16" s="9">
        <v>12202</v>
      </c>
      <c r="D16" s="9">
        <v>35</v>
      </c>
      <c r="E16" s="10">
        <v>12655.028571428571</v>
      </c>
      <c r="F16" s="10">
        <v>5229.4285714285716</v>
      </c>
      <c r="G16" s="11">
        <v>8.7579999999999991</v>
      </c>
      <c r="H16" s="9">
        <v>15841.285714285714</v>
      </c>
      <c r="I16" s="9">
        <v>6445.4285714285716</v>
      </c>
      <c r="J16" s="9">
        <v>33</v>
      </c>
      <c r="K16" s="10">
        <v>10080.818181818182</v>
      </c>
      <c r="L16" s="10">
        <v>4101.636363636364</v>
      </c>
      <c r="M16" s="11">
        <v>8.9971428571428582</v>
      </c>
      <c r="N16" s="12">
        <v>209024.06171874999</v>
      </c>
      <c r="O16" s="12">
        <v>92342</v>
      </c>
      <c r="P16" s="12">
        <v>46</v>
      </c>
      <c r="Q16" s="13">
        <f t="shared" si="0"/>
        <v>13632.00402513587</v>
      </c>
      <c r="R16" s="13">
        <f t="shared" si="1"/>
        <v>6022.304347826087</v>
      </c>
      <c r="S16" s="14"/>
      <c r="T16" s="12">
        <v>169156</v>
      </c>
      <c r="U16" s="12">
        <v>112283</v>
      </c>
      <c r="V16" s="12">
        <v>58</v>
      </c>
      <c r="W16" s="13">
        <f t="shared" si="2"/>
        <v>8749.4482758620688</v>
      </c>
      <c r="X16" s="13">
        <f t="shared" si="3"/>
        <v>5807.7413793103451</v>
      </c>
      <c r="Y16" s="14"/>
      <c r="Z16" s="12">
        <v>247486</v>
      </c>
      <c r="AA16" s="12">
        <v>142086</v>
      </c>
      <c r="AB16" s="12">
        <v>69</v>
      </c>
      <c r="AC16" s="13">
        <f t="shared" si="4"/>
        <v>10760.260869565218</v>
      </c>
      <c r="AD16" s="13">
        <f t="shared" si="5"/>
        <v>6177.652173913044</v>
      </c>
      <c r="AE16" s="14"/>
      <c r="AF16" s="12">
        <v>187264</v>
      </c>
      <c r="AG16" s="12">
        <v>100120</v>
      </c>
      <c r="AH16" s="12">
        <v>48</v>
      </c>
      <c r="AI16" s="13">
        <f t="shared" si="6"/>
        <v>11704</v>
      </c>
      <c r="AJ16" s="13">
        <f t="shared" si="7"/>
        <v>6257.5</v>
      </c>
      <c r="AK16" s="14"/>
      <c r="AL16" s="12">
        <v>351553</v>
      </c>
      <c r="AM16" s="12">
        <v>161496</v>
      </c>
      <c r="AN16" s="12">
        <v>66</v>
      </c>
      <c r="AO16" s="13">
        <f t="shared" si="8"/>
        <v>15979.681818181818</v>
      </c>
      <c r="AP16" s="13">
        <f t="shared" si="9"/>
        <v>7340.727272727273</v>
      </c>
      <c r="AQ16" s="14"/>
      <c r="AR16" s="12">
        <v>194860</v>
      </c>
      <c r="AS16" s="12">
        <v>113199</v>
      </c>
      <c r="AT16" s="12">
        <v>48</v>
      </c>
      <c r="AU16" s="13">
        <f t="shared" si="10"/>
        <v>12178.75</v>
      </c>
      <c r="AV16" s="13">
        <f t="shared" si="11"/>
        <v>7074.9375</v>
      </c>
      <c r="AW16" s="14"/>
      <c r="AX16" s="12">
        <v>170946</v>
      </c>
      <c r="AY16" s="12">
        <v>115047</v>
      </c>
      <c r="AZ16" s="12">
        <v>52</v>
      </c>
      <c r="BA16" s="13">
        <f t="shared" si="12"/>
        <v>9862.2692307692305</v>
      </c>
      <c r="BB16" s="13">
        <f t="shared" si="13"/>
        <v>6637.3269230769229</v>
      </c>
      <c r="BC16" s="14"/>
      <c r="BD16" s="12">
        <v>290235</v>
      </c>
      <c r="BE16" s="12">
        <v>177514</v>
      </c>
      <c r="BF16" s="12">
        <v>63</v>
      </c>
      <c r="BG16" s="13">
        <f t="shared" si="14"/>
        <v>13820.714285714284</v>
      </c>
      <c r="BH16" s="13">
        <f t="shared" si="15"/>
        <v>8453.0476190476184</v>
      </c>
      <c r="BI16" s="14"/>
      <c r="BJ16" s="12">
        <v>234702</v>
      </c>
      <c r="BK16" s="12">
        <v>184895</v>
      </c>
      <c r="BL16" s="12">
        <v>74</v>
      </c>
      <c r="BM16" s="13">
        <f t="shared" si="16"/>
        <v>9514.9459459459467</v>
      </c>
      <c r="BN16" s="13">
        <f t="shared" si="17"/>
        <v>7495.7432432432433</v>
      </c>
      <c r="BO16" s="14"/>
      <c r="BP16" s="12">
        <v>361137</v>
      </c>
      <c r="BQ16" s="12">
        <v>194150</v>
      </c>
      <c r="BR16" s="12">
        <v>79</v>
      </c>
      <c r="BS16" s="13">
        <f t="shared" si="18"/>
        <v>13714.063291139242</v>
      </c>
      <c r="BT16" s="13">
        <f t="shared" si="19"/>
        <v>7372.7848101265818</v>
      </c>
      <c r="BU16" s="14"/>
      <c r="BV16" s="12">
        <v>303404</v>
      </c>
      <c r="BW16" s="12">
        <v>177176</v>
      </c>
      <c r="BX16" s="12">
        <v>70</v>
      </c>
      <c r="BY16" s="13">
        <f t="shared" si="20"/>
        <v>13003.028571428571</v>
      </c>
      <c r="BZ16" s="13">
        <f t="shared" si="21"/>
        <v>7593.2571428571428</v>
      </c>
      <c r="CA16" s="14"/>
      <c r="CB16" s="12">
        <v>348548</v>
      </c>
      <c r="CC16" s="12">
        <v>191561</v>
      </c>
      <c r="CD16" s="12">
        <v>73</v>
      </c>
      <c r="CE16" s="13">
        <f t="shared" si="22"/>
        <v>14323.890410958904</v>
      </c>
      <c r="CF16" s="13">
        <f t="shared" si="23"/>
        <v>7872.3698630136987</v>
      </c>
      <c r="CG16" s="14" t="s">
        <v>51</v>
      </c>
      <c r="CH16" s="9">
        <f>IFERROR(AVERAGE(N16,T16,Z16,AF16,AL16,AR16,AX16,BD16,BJ16,BP16,BV16,CB16)," ")</f>
        <v>255692.92180989581</v>
      </c>
      <c r="CI16" s="9">
        <f>IFERROR(AVERAGE(O16,U16,AA16,AG16,AM16,AS16,AY16,BE16,BK16,BQ16,BW16,CC16)," ")</f>
        <v>146822.41666666666</v>
      </c>
      <c r="CJ16" s="9">
        <f>IFERROR(SUM(P16,V16,AB16,AH16,AN16,AT16,AZ16,BF16,BL16,BR16,BX16,CD16)," ")</f>
        <v>746</v>
      </c>
      <c r="CK16" s="10">
        <f>IFERROR(SUM(N16,T16,Z16,AF16,AL16,AR16,AX16,BD16,BJ16,BP16,BV16,CB16)/CJ16*3," ")</f>
        <v>12339.068612809986</v>
      </c>
      <c r="CL16" s="10">
        <f>IFERROR(SUM(O16,U16,AA16,AG16,AM16,AS16,AY16,BE16,BK16,BQ16,BW16,CC16)/CJ16*3," ")</f>
        <v>7085.2640750670253</v>
      </c>
      <c r="CM16" s="11" t="str">
        <f>IFERROR(AVERAGE(S16,Y16,AE16,AK16,AQ16,AW16,BC16,BI16,BO16,BU16,CA16,CG16)," ")</f>
        <v xml:space="preserve"> </v>
      </c>
    </row>
    <row r="17" spans="1:91" x14ac:dyDescent="0.3">
      <c r="A17" s="8" t="s">
        <v>38</v>
      </c>
      <c r="B17" s="9">
        <v>488625.66666666669</v>
      </c>
      <c r="C17" s="9">
        <v>200888.33333333334</v>
      </c>
      <c r="D17" s="9">
        <v>993</v>
      </c>
      <c r="E17" s="10">
        <v>17714.525679758306</v>
      </c>
      <c r="F17" s="10">
        <v>7282.9607250755289</v>
      </c>
      <c r="G17" s="11">
        <v>8.6091666666666669</v>
      </c>
      <c r="H17" s="9">
        <v>301395.09090909088</v>
      </c>
      <c r="I17" s="9">
        <v>156037</v>
      </c>
      <c r="J17" s="9">
        <v>811</v>
      </c>
      <c r="K17" s="10">
        <v>12263.918618988902</v>
      </c>
      <c r="L17" s="10">
        <v>6349.2244143033295</v>
      </c>
      <c r="M17" s="11">
        <v>9.951818181818183</v>
      </c>
      <c r="N17" s="12"/>
      <c r="O17" s="12"/>
      <c r="P17" s="12"/>
      <c r="Q17" s="13" t="str">
        <f t="shared" si="0"/>
        <v/>
      </c>
      <c r="R17" s="13" t="str">
        <f t="shared" si="1"/>
        <v/>
      </c>
      <c r="S17" s="14"/>
      <c r="T17" s="12"/>
      <c r="U17" s="12"/>
      <c r="V17" s="12"/>
      <c r="W17" s="13" t="str">
        <f t="shared" si="2"/>
        <v/>
      </c>
      <c r="X17" s="13" t="str">
        <f t="shared" si="3"/>
        <v/>
      </c>
      <c r="Y17" s="14"/>
      <c r="Z17" s="12"/>
      <c r="AA17" s="12"/>
      <c r="AB17" s="12"/>
      <c r="AC17" s="13" t="str">
        <f t="shared" si="4"/>
        <v xml:space="preserve"> </v>
      </c>
      <c r="AD17" s="13" t="str">
        <f t="shared" si="5"/>
        <v xml:space="preserve"> </v>
      </c>
      <c r="AE17" s="14"/>
      <c r="AF17" s="12"/>
      <c r="AG17" s="12"/>
      <c r="AH17" s="12"/>
      <c r="AI17" s="13" t="str">
        <f t="shared" si="6"/>
        <v xml:space="preserve"> </v>
      </c>
      <c r="AJ17" s="13" t="str">
        <f t="shared" si="7"/>
        <v xml:space="preserve"> </v>
      </c>
      <c r="AK17" s="14"/>
      <c r="AL17" s="12"/>
      <c r="AM17" s="12"/>
      <c r="AN17" s="12"/>
      <c r="AO17" s="13" t="str">
        <f t="shared" si="8"/>
        <v xml:space="preserve"> </v>
      </c>
      <c r="AP17" s="13" t="str">
        <f t="shared" si="9"/>
        <v xml:space="preserve"> </v>
      </c>
      <c r="AQ17" s="14"/>
      <c r="AR17" s="12"/>
      <c r="AS17" s="12"/>
      <c r="AT17" s="12"/>
      <c r="AU17" s="13" t="str">
        <f t="shared" si="10"/>
        <v xml:space="preserve"> </v>
      </c>
      <c r="AV17" s="13" t="str">
        <f t="shared" si="11"/>
        <v xml:space="preserve"> </v>
      </c>
      <c r="AW17" s="14"/>
      <c r="AX17" s="12"/>
      <c r="AY17" s="12"/>
      <c r="AZ17" s="12"/>
      <c r="BA17" s="13" t="str">
        <f t="shared" si="12"/>
        <v xml:space="preserve"> </v>
      </c>
      <c r="BB17" s="13" t="str">
        <f t="shared" si="13"/>
        <v xml:space="preserve"> </v>
      </c>
      <c r="BC17" s="14"/>
      <c r="BD17" s="12"/>
      <c r="BE17" s="12"/>
      <c r="BF17" s="12"/>
      <c r="BG17" s="13" t="str">
        <f t="shared" si="14"/>
        <v xml:space="preserve"> </v>
      </c>
      <c r="BH17" s="13" t="str">
        <f t="shared" si="15"/>
        <v xml:space="preserve"> </v>
      </c>
      <c r="BI17" s="14"/>
      <c r="BJ17" s="12"/>
      <c r="BK17" s="12"/>
      <c r="BL17" s="12"/>
      <c r="BM17" s="13" t="str">
        <f t="shared" si="16"/>
        <v xml:space="preserve"> </v>
      </c>
      <c r="BN17" s="13" t="str">
        <f t="shared" si="17"/>
        <v xml:space="preserve"> </v>
      </c>
      <c r="BO17" s="14"/>
      <c r="BP17" s="12"/>
      <c r="BQ17" s="12"/>
      <c r="BR17" s="12"/>
      <c r="BS17" s="13" t="str">
        <f t="shared" si="18"/>
        <v xml:space="preserve"> </v>
      </c>
      <c r="BT17" s="13" t="str">
        <f t="shared" si="19"/>
        <v xml:space="preserve"> </v>
      </c>
      <c r="BU17" s="14"/>
      <c r="BV17" s="12"/>
      <c r="BW17" s="12"/>
      <c r="BX17" s="12"/>
      <c r="BY17" s="13" t="str">
        <f t="shared" si="20"/>
        <v xml:space="preserve"> </v>
      </c>
      <c r="BZ17" s="13" t="str">
        <f t="shared" si="21"/>
        <v xml:space="preserve"> </v>
      </c>
      <c r="CA17" s="14"/>
      <c r="CD17" s="12"/>
      <c r="CE17" s="13" t="str">
        <f t="shared" si="22"/>
        <v xml:space="preserve"> </v>
      </c>
      <c r="CF17" s="13" t="str">
        <f t="shared" si="23"/>
        <v xml:space="preserve"> </v>
      </c>
      <c r="CG17" s="14" t="s">
        <v>51</v>
      </c>
      <c r="CH17" s="9" t="str">
        <f t="shared" si="24"/>
        <v xml:space="preserve"> </v>
      </c>
      <c r="CI17" s="9" t="str">
        <f t="shared" si="24"/>
        <v xml:space="preserve"> </v>
      </c>
      <c r="CJ17" s="9">
        <f>IFERROR(SUM(P17,V17,AB17,AH17,AN17,AT17,AZ17,BF17,BL17,BR17,BX17,CD17)," ")</f>
        <v>0</v>
      </c>
      <c r="CK17" s="10" t="str">
        <f t="shared" si="26"/>
        <v xml:space="preserve"> </v>
      </c>
      <c r="CL17" s="10" t="str">
        <f t="shared" si="27"/>
        <v xml:space="preserve"> </v>
      </c>
      <c r="CM17" s="11" t="str">
        <f t="shared" si="28"/>
        <v xml:space="preserve"> </v>
      </c>
    </row>
    <row r="18" spans="1:91" x14ac:dyDescent="0.3">
      <c r="A18" s="8" t="s">
        <v>39</v>
      </c>
      <c r="B18" s="9">
        <v>204745.5</v>
      </c>
      <c r="C18" s="9">
        <v>85824.916666666672</v>
      </c>
      <c r="D18" s="9">
        <v>901</v>
      </c>
      <c r="E18" s="10">
        <v>8180.7302996670369</v>
      </c>
      <c r="F18" s="10">
        <v>3429.186459489456</v>
      </c>
      <c r="G18" s="11">
        <v>10.324166666666665</v>
      </c>
      <c r="H18" s="9">
        <v>167952.72727272726</v>
      </c>
      <c r="I18" s="9">
        <v>68969</v>
      </c>
      <c r="J18" s="9">
        <v>683</v>
      </c>
      <c r="K18" s="10">
        <v>8114.8462664714498</v>
      </c>
      <c r="L18" s="10">
        <v>3332.3235724743772</v>
      </c>
      <c r="M18" s="11">
        <v>10.119090909090909</v>
      </c>
      <c r="N18" s="12">
        <v>68878</v>
      </c>
      <c r="O18" s="12">
        <v>27879</v>
      </c>
      <c r="P18" s="12">
        <v>29</v>
      </c>
      <c r="Q18" s="13">
        <f t="shared" si="0"/>
        <v>7125.3103448275851</v>
      </c>
      <c r="R18" s="13">
        <f t="shared" si="1"/>
        <v>2884.0344827586205</v>
      </c>
      <c r="S18" s="14"/>
      <c r="T18" s="12">
        <v>112156</v>
      </c>
      <c r="U18" s="12">
        <v>45147</v>
      </c>
      <c r="V18" s="12">
        <v>46</v>
      </c>
      <c r="W18" s="13">
        <f t="shared" si="2"/>
        <v>7314.5217391304359</v>
      </c>
      <c r="X18" s="13">
        <f t="shared" si="3"/>
        <v>2944.369565217391</v>
      </c>
      <c r="Y18" s="14"/>
      <c r="Z18" s="12">
        <v>130359</v>
      </c>
      <c r="AA18" s="12">
        <v>54548</v>
      </c>
      <c r="AB18" s="12">
        <v>52</v>
      </c>
      <c r="AC18" s="13">
        <f t="shared" si="4"/>
        <v>7520.711538461539</v>
      </c>
      <c r="AD18" s="13">
        <f t="shared" si="5"/>
        <v>3147</v>
      </c>
      <c r="AE18" s="14"/>
      <c r="AF18" s="12">
        <v>66531</v>
      </c>
      <c r="AG18" s="12">
        <v>21583</v>
      </c>
      <c r="AH18" s="12">
        <v>31</v>
      </c>
      <c r="AI18" s="13">
        <f t="shared" si="6"/>
        <v>6438.4838709677415</v>
      </c>
      <c r="AJ18" s="13">
        <f t="shared" si="7"/>
        <v>2088.677419354839</v>
      </c>
      <c r="AK18" s="14"/>
      <c r="AL18" s="12">
        <v>136696</v>
      </c>
      <c r="AM18" s="12">
        <v>52408</v>
      </c>
      <c r="AN18" s="12">
        <v>52</v>
      </c>
      <c r="AO18" s="13">
        <f t="shared" si="8"/>
        <v>7886.3076923076933</v>
      </c>
      <c r="AP18" s="13">
        <f t="shared" si="9"/>
        <v>3023.5384615384614</v>
      </c>
      <c r="AQ18" s="14"/>
      <c r="AR18" s="12">
        <v>80472</v>
      </c>
      <c r="AS18" s="12">
        <v>37383</v>
      </c>
      <c r="AT18" s="12">
        <v>34</v>
      </c>
      <c r="AU18" s="13">
        <f t="shared" si="10"/>
        <v>7100.4705882352946</v>
      </c>
      <c r="AV18" s="13">
        <f t="shared" si="11"/>
        <v>3298.5</v>
      </c>
      <c r="AW18" s="14"/>
      <c r="AX18" s="12">
        <v>148098</v>
      </c>
      <c r="AY18" s="12">
        <v>55254</v>
      </c>
      <c r="AZ18" s="12">
        <v>52</v>
      </c>
      <c r="BA18" s="13">
        <f t="shared" si="12"/>
        <v>8544.1153846153848</v>
      </c>
      <c r="BB18" s="13">
        <f t="shared" si="13"/>
        <v>3187.7307692307695</v>
      </c>
      <c r="BC18" s="14"/>
      <c r="BD18" s="12">
        <v>145902</v>
      </c>
      <c r="BE18" s="12">
        <v>60663</v>
      </c>
      <c r="BF18" s="12">
        <v>58</v>
      </c>
      <c r="BG18" s="13">
        <f t="shared" si="14"/>
        <v>7546.6551724137935</v>
      </c>
      <c r="BH18" s="13">
        <f t="shared" si="15"/>
        <v>3137.7413793103451</v>
      </c>
      <c r="BI18" s="14"/>
      <c r="BJ18" s="12">
        <v>149944</v>
      </c>
      <c r="BK18" s="12">
        <v>58730</v>
      </c>
      <c r="BL18" s="12">
        <v>49</v>
      </c>
      <c r="BM18" s="13">
        <f t="shared" si="16"/>
        <v>9180.2448979591827</v>
      </c>
      <c r="BN18" s="13">
        <f t="shared" si="17"/>
        <v>3595.7142857142862</v>
      </c>
      <c r="BO18" s="14"/>
      <c r="BP18" s="12">
        <v>188086</v>
      </c>
      <c r="BQ18" s="12">
        <v>83771</v>
      </c>
      <c r="BR18" s="12">
        <v>69</v>
      </c>
      <c r="BS18" s="13">
        <f t="shared" si="18"/>
        <v>8177.652173913044</v>
      </c>
      <c r="BT18" s="13">
        <f t="shared" si="19"/>
        <v>3642.217391304348</v>
      </c>
      <c r="BU18" s="14"/>
      <c r="BV18" s="12">
        <v>160868</v>
      </c>
      <c r="BW18" s="12">
        <v>66787</v>
      </c>
      <c r="BX18" s="12">
        <v>60</v>
      </c>
      <c r="BY18" s="13">
        <f t="shared" si="20"/>
        <v>8043.4</v>
      </c>
      <c r="BZ18" s="13">
        <f t="shared" si="21"/>
        <v>3339.3499999999995</v>
      </c>
      <c r="CA18" s="14"/>
      <c r="CB18" s="12">
        <v>199185</v>
      </c>
      <c r="CC18" s="12">
        <v>82037</v>
      </c>
      <c r="CD18" s="12">
        <v>66</v>
      </c>
      <c r="CE18" s="13">
        <f t="shared" si="22"/>
        <v>9053.863636363636</v>
      </c>
      <c r="CF18" s="13">
        <f t="shared" si="23"/>
        <v>3728.9545454545455</v>
      </c>
      <c r="CG18" s="14" t="s">
        <v>51</v>
      </c>
      <c r="CH18" s="9">
        <f t="shared" si="24"/>
        <v>132264.58333333334</v>
      </c>
      <c r="CI18" s="9">
        <f t="shared" si="24"/>
        <v>53849.166666666664</v>
      </c>
      <c r="CJ18" s="9">
        <f t="shared" si="25"/>
        <v>598</v>
      </c>
      <c r="CK18" s="10">
        <f t="shared" si="26"/>
        <v>7962.4163879598655</v>
      </c>
      <c r="CL18" s="10">
        <f t="shared" si="27"/>
        <v>3241.7558528428099</v>
      </c>
      <c r="CM18" s="11" t="str">
        <f t="shared" si="28"/>
        <v xml:space="preserve"> </v>
      </c>
    </row>
    <row r="19" spans="1:91" x14ac:dyDescent="0.3">
      <c r="A19" s="8" t="s">
        <v>40</v>
      </c>
      <c r="B19" s="9">
        <v>144844.75</v>
      </c>
      <c r="C19" s="9">
        <v>220325.91666666666</v>
      </c>
      <c r="D19" s="9">
        <v>963</v>
      </c>
      <c r="E19" s="10">
        <v>5414.7570093457944</v>
      </c>
      <c r="F19" s="10">
        <v>8236.4828660436142</v>
      </c>
      <c r="G19" s="11">
        <v>19.977500000000003</v>
      </c>
      <c r="H19" s="9">
        <v>114933.81818181818</v>
      </c>
      <c r="I19" s="9">
        <v>186102.72727272726</v>
      </c>
      <c r="J19" s="9">
        <v>777</v>
      </c>
      <c r="K19" s="10">
        <v>4881.3590733590736</v>
      </c>
      <c r="L19" s="10">
        <v>7903.9768339768343</v>
      </c>
      <c r="M19" s="11">
        <v>20.541818181818179</v>
      </c>
      <c r="N19" s="12">
        <v>71424</v>
      </c>
      <c r="O19" s="12">
        <v>114275</v>
      </c>
      <c r="P19" s="12">
        <v>38</v>
      </c>
      <c r="Q19" s="13">
        <f t="shared" si="0"/>
        <v>5638.7368421052633</v>
      </c>
      <c r="R19" s="13">
        <f t="shared" si="1"/>
        <v>9021.71052631579</v>
      </c>
      <c r="S19" s="14"/>
      <c r="T19" s="12">
        <v>95965</v>
      </c>
      <c r="U19" s="12">
        <v>153350</v>
      </c>
      <c r="V19" s="12">
        <v>53</v>
      </c>
      <c r="W19" s="13">
        <f t="shared" si="2"/>
        <v>5431.9811320754725</v>
      </c>
      <c r="X19" s="13">
        <f t="shared" si="3"/>
        <v>8680.1886792452824</v>
      </c>
      <c r="Y19" s="14"/>
      <c r="Z19" s="12">
        <v>87534</v>
      </c>
      <c r="AA19" s="12">
        <v>153453</v>
      </c>
      <c r="AB19" s="12">
        <v>58</v>
      </c>
      <c r="AC19" s="13">
        <f t="shared" si="4"/>
        <v>4527.6206896551721</v>
      </c>
      <c r="AD19" s="13">
        <f t="shared" si="5"/>
        <v>7937.2241379310344</v>
      </c>
      <c r="AE19" s="14"/>
      <c r="AF19" s="12">
        <v>63819</v>
      </c>
      <c r="AG19" s="12">
        <v>113783</v>
      </c>
      <c r="AH19" s="12">
        <v>40</v>
      </c>
      <c r="AI19" s="13">
        <f t="shared" si="6"/>
        <v>4786.4249999999993</v>
      </c>
      <c r="AJ19" s="13">
        <f t="shared" si="7"/>
        <v>8533.7249999999985</v>
      </c>
      <c r="AK19" s="14"/>
      <c r="AL19" s="12">
        <v>84462</v>
      </c>
      <c r="AM19" s="12">
        <v>153403</v>
      </c>
      <c r="AN19" s="12">
        <v>46</v>
      </c>
      <c r="AO19" s="13">
        <f t="shared" si="8"/>
        <v>5508.391304347826</v>
      </c>
      <c r="AP19" s="13">
        <f t="shared" si="9"/>
        <v>10004.54347826087</v>
      </c>
      <c r="AQ19" s="14"/>
      <c r="AR19" s="12">
        <v>92780</v>
      </c>
      <c r="AS19" s="12">
        <v>148620</v>
      </c>
      <c r="AT19" s="12">
        <v>52</v>
      </c>
      <c r="AU19" s="13">
        <f t="shared" si="10"/>
        <v>5352.6923076923076</v>
      </c>
      <c r="AV19" s="13">
        <f t="shared" si="11"/>
        <v>8574.2307692307695</v>
      </c>
      <c r="AW19" s="14"/>
      <c r="AX19" s="12">
        <v>92164</v>
      </c>
      <c r="AY19" s="12">
        <v>154371</v>
      </c>
      <c r="AZ19" s="12">
        <v>53</v>
      </c>
      <c r="BA19" s="13">
        <f t="shared" si="12"/>
        <v>5216.8301886792451</v>
      </c>
      <c r="BB19" s="13">
        <f t="shared" si="13"/>
        <v>8737.9811320754725</v>
      </c>
      <c r="BC19" s="14"/>
      <c r="BD19" s="12">
        <v>113261</v>
      </c>
      <c r="BE19" s="12">
        <v>184315</v>
      </c>
      <c r="BF19" s="12">
        <v>58</v>
      </c>
      <c r="BG19" s="13">
        <f t="shared" si="14"/>
        <v>5858.3275862068967</v>
      </c>
      <c r="BH19" s="13">
        <f t="shared" si="15"/>
        <v>9533.5344827586214</v>
      </c>
      <c r="BI19" s="14"/>
      <c r="BJ19" s="12">
        <v>97663</v>
      </c>
      <c r="BK19" s="12">
        <v>150226</v>
      </c>
      <c r="BL19" s="12">
        <v>54</v>
      </c>
      <c r="BM19" s="13">
        <f t="shared" si="16"/>
        <v>5425.7222222222226</v>
      </c>
      <c r="BN19" s="13">
        <f t="shared" si="17"/>
        <v>8345.8888888888887</v>
      </c>
      <c r="BO19" s="14"/>
      <c r="BP19" s="12">
        <v>103756</v>
      </c>
      <c r="BQ19" s="12">
        <v>170368</v>
      </c>
      <c r="BR19" s="12">
        <v>56</v>
      </c>
      <c r="BS19" s="13">
        <f t="shared" si="18"/>
        <v>5558.3571428571431</v>
      </c>
      <c r="BT19" s="13">
        <f t="shared" si="19"/>
        <v>9126.8571428571431</v>
      </c>
      <c r="BU19" s="14"/>
      <c r="BV19" s="12">
        <v>121635</v>
      </c>
      <c r="BW19" s="12">
        <v>204913</v>
      </c>
      <c r="BX19" s="12">
        <v>65</v>
      </c>
      <c r="BY19" s="13">
        <f t="shared" si="20"/>
        <v>5613.9230769230771</v>
      </c>
      <c r="BZ19" s="13">
        <f t="shared" si="21"/>
        <v>9457.5230769230766</v>
      </c>
      <c r="CA19" s="14"/>
      <c r="CB19" s="12">
        <v>127887</v>
      </c>
      <c r="CC19" s="12">
        <v>188482</v>
      </c>
      <c r="CD19" s="12">
        <v>62</v>
      </c>
      <c r="CE19" s="13">
        <f t="shared" si="22"/>
        <v>6188.0806451612898</v>
      </c>
      <c r="CF19" s="13">
        <f t="shared" si="23"/>
        <v>9120.0967741935492</v>
      </c>
      <c r="CG19" s="14" t="s">
        <v>51</v>
      </c>
      <c r="CH19" s="9">
        <f t="shared" si="24"/>
        <v>96029.166666666672</v>
      </c>
      <c r="CI19" s="9">
        <f t="shared" si="24"/>
        <v>157463.25</v>
      </c>
      <c r="CJ19" s="9">
        <f t="shared" si="25"/>
        <v>635</v>
      </c>
      <c r="CK19" s="10">
        <f t="shared" si="26"/>
        <v>5444.1732283464571</v>
      </c>
      <c r="CL19" s="10">
        <f t="shared" si="27"/>
        <v>8927.050393700787</v>
      </c>
      <c r="CM19" s="11" t="str">
        <f t="shared" si="28"/>
        <v xml:space="preserve"> </v>
      </c>
    </row>
    <row r="20" spans="1:91" x14ac:dyDescent="0.3">
      <c r="A20" s="8" t="s">
        <v>41</v>
      </c>
      <c r="B20" s="9">
        <v>396133.08333333331</v>
      </c>
      <c r="C20" s="9">
        <v>5179.083333333333</v>
      </c>
      <c r="D20" s="9">
        <v>953</v>
      </c>
      <c r="E20" s="10">
        <v>14964.103882476391</v>
      </c>
      <c r="F20" s="10">
        <v>195.64218258132212</v>
      </c>
      <c r="G20" s="11">
        <v>1.6066666666666667</v>
      </c>
      <c r="H20" s="9">
        <v>259213.90909090909</v>
      </c>
      <c r="I20" s="9">
        <v>3007.3636363636365</v>
      </c>
      <c r="J20" s="9">
        <v>688</v>
      </c>
      <c r="K20" s="10">
        <v>12433.225290697676</v>
      </c>
      <c r="L20" s="10">
        <v>144.24854651162792</v>
      </c>
      <c r="M20" s="11">
        <v>1.5036363636363637</v>
      </c>
      <c r="N20" s="12">
        <v>218927.32644132653</v>
      </c>
      <c r="O20" s="12">
        <v>2346</v>
      </c>
      <c r="P20" s="12">
        <v>32</v>
      </c>
      <c r="Q20" s="13">
        <f t="shared" si="0"/>
        <v>20524.436853874362</v>
      </c>
      <c r="R20" s="13">
        <f t="shared" si="1"/>
        <v>219.9375</v>
      </c>
      <c r="S20" s="14"/>
      <c r="T20" s="12">
        <v>289508</v>
      </c>
      <c r="U20" s="12">
        <v>3741</v>
      </c>
      <c r="V20" s="12">
        <v>51</v>
      </c>
      <c r="W20" s="13">
        <f t="shared" si="2"/>
        <v>17029.882352941178</v>
      </c>
      <c r="X20" s="13">
        <f t="shared" si="3"/>
        <v>220.05882352941177</v>
      </c>
      <c r="Y20" s="14"/>
      <c r="Z20" s="12">
        <v>212718</v>
      </c>
      <c r="AA20" s="12">
        <v>2244</v>
      </c>
      <c r="AB20" s="12">
        <v>29</v>
      </c>
      <c r="AC20" s="13">
        <f t="shared" si="4"/>
        <v>22005.310344827587</v>
      </c>
      <c r="AD20" s="13">
        <f t="shared" si="5"/>
        <v>232.13793103448276</v>
      </c>
      <c r="AE20" s="14"/>
      <c r="AF20" s="12">
        <v>120569</v>
      </c>
      <c r="AG20" s="12">
        <v>1852</v>
      </c>
      <c r="AH20" s="12">
        <v>24</v>
      </c>
      <c r="AI20" s="13">
        <f t="shared" si="6"/>
        <v>15071.125</v>
      </c>
      <c r="AJ20" s="13">
        <f t="shared" si="7"/>
        <v>231.5</v>
      </c>
      <c r="AK20" s="14"/>
      <c r="AL20" s="12">
        <v>287535</v>
      </c>
      <c r="AM20" s="12">
        <v>4135</v>
      </c>
      <c r="AN20" s="12">
        <v>53</v>
      </c>
      <c r="AO20" s="13">
        <f t="shared" si="8"/>
        <v>16275.566037735851</v>
      </c>
      <c r="AP20" s="13">
        <f t="shared" si="9"/>
        <v>234.05660377358492</v>
      </c>
      <c r="AQ20" s="14"/>
      <c r="AR20" s="12">
        <v>149848</v>
      </c>
      <c r="AS20" s="12">
        <v>3237</v>
      </c>
      <c r="AT20" s="12">
        <v>30</v>
      </c>
      <c r="AU20" s="13">
        <f t="shared" si="10"/>
        <v>14984.8</v>
      </c>
      <c r="AV20" s="13">
        <f t="shared" si="11"/>
        <v>323.70000000000005</v>
      </c>
      <c r="AW20" s="14"/>
      <c r="AX20" s="12">
        <v>211951</v>
      </c>
      <c r="AY20" s="12">
        <v>2753</v>
      </c>
      <c r="AZ20" s="12">
        <v>42</v>
      </c>
      <c r="BA20" s="13">
        <f t="shared" si="12"/>
        <v>15139.357142857141</v>
      </c>
      <c r="BB20" s="13">
        <f t="shared" si="13"/>
        <v>196.64285714285717</v>
      </c>
      <c r="BC20" s="14"/>
      <c r="BD20" s="12">
        <v>127504</v>
      </c>
      <c r="BE20" s="12">
        <v>1863</v>
      </c>
      <c r="BF20" s="12">
        <v>29</v>
      </c>
      <c r="BG20" s="13">
        <f t="shared" si="14"/>
        <v>13190.068965517243</v>
      </c>
      <c r="BH20" s="13">
        <f t="shared" si="15"/>
        <v>192.72413793103448</v>
      </c>
      <c r="BI20" s="14"/>
      <c r="BJ20" s="12">
        <v>201224</v>
      </c>
      <c r="BK20" s="12">
        <v>3101</v>
      </c>
      <c r="BL20" s="12">
        <v>39</v>
      </c>
      <c r="BM20" s="13">
        <f t="shared" si="16"/>
        <v>15478.76923076923</v>
      </c>
      <c r="BN20" s="13">
        <f t="shared" si="17"/>
        <v>238.53846153846155</v>
      </c>
      <c r="BO20" s="14"/>
      <c r="BP20" s="12">
        <v>330760</v>
      </c>
      <c r="BQ20" s="12">
        <v>5445</v>
      </c>
      <c r="BR20" s="12">
        <v>59</v>
      </c>
      <c r="BS20" s="13">
        <f t="shared" si="18"/>
        <v>16818.305084745763</v>
      </c>
      <c r="BT20" s="13">
        <f t="shared" si="19"/>
        <v>276.86440677966101</v>
      </c>
      <c r="BU20" s="14"/>
      <c r="BV20" s="12">
        <v>363756</v>
      </c>
      <c r="BW20" s="12">
        <v>6253</v>
      </c>
      <c r="BX20" s="12">
        <v>56</v>
      </c>
      <c r="BY20" s="13">
        <f t="shared" si="20"/>
        <v>19486.928571428572</v>
      </c>
      <c r="BZ20" s="13">
        <f t="shared" si="21"/>
        <v>334.98214285714289</v>
      </c>
      <c r="CA20" s="14"/>
      <c r="CB20" s="12">
        <v>311286</v>
      </c>
      <c r="CC20" s="12">
        <v>3958</v>
      </c>
      <c r="CD20" s="12">
        <v>42</v>
      </c>
      <c r="CE20" s="13">
        <f t="shared" si="22"/>
        <v>22234.714285714286</v>
      </c>
      <c r="CF20" s="13">
        <f t="shared" si="23"/>
        <v>282.71428571428572</v>
      </c>
      <c r="CG20" s="14" t="s">
        <v>51</v>
      </c>
      <c r="CH20" s="9">
        <f t="shared" si="24"/>
        <v>235465.5272034439</v>
      </c>
      <c r="CI20" s="9">
        <f t="shared" si="24"/>
        <v>3410.6666666666665</v>
      </c>
      <c r="CJ20" s="9">
        <f t="shared" si="25"/>
        <v>486</v>
      </c>
      <c r="CK20" s="10">
        <f t="shared" si="26"/>
        <v>17441.890903958803</v>
      </c>
      <c r="CL20" s="10">
        <f t="shared" si="27"/>
        <v>252.64197530864197</v>
      </c>
      <c r="CM20" s="11" t="str">
        <f t="shared" si="28"/>
        <v xml:space="preserve"> </v>
      </c>
    </row>
    <row r="21" spans="1:91" x14ac:dyDescent="0.3">
      <c r="A21" s="8" t="s">
        <v>42</v>
      </c>
      <c r="B21" s="9">
        <v>308058.08333333331</v>
      </c>
      <c r="C21" s="9">
        <v>8863.5</v>
      </c>
      <c r="D21" s="9">
        <v>908</v>
      </c>
      <c r="E21" s="10">
        <v>12213.756607929514</v>
      </c>
      <c r="F21" s="10">
        <v>351.41629955947138</v>
      </c>
      <c r="G21" s="11">
        <v>2.3833333333333333</v>
      </c>
      <c r="H21" s="9">
        <v>197437.27272727274</v>
      </c>
      <c r="I21" s="9">
        <v>5359</v>
      </c>
      <c r="J21" s="9">
        <v>676</v>
      </c>
      <c r="K21" s="10">
        <v>9638.2100591715971</v>
      </c>
      <c r="L21" s="10">
        <v>261.60798816568047</v>
      </c>
      <c r="M21" s="11">
        <v>2.3090909090909091</v>
      </c>
      <c r="N21" s="12">
        <v>8751</v>
      </c>
      <c r="O21" s="12">
        <v>131</v>
      </c>
      <c r="P21" s="12">
        <v>1</v>
      </c>
      <c r="Q21" s="13">
        <f t="shared" si="0"/>
        <v>26253</v>
      </c>
      <c r="R21" s="13">
        <f t="shared" si="1"/>
        <v>393</v>
      </c>
      <c r="S21" s="14"/>
      <c r="T21" s="12"/>
      <c r="U21" s="12"/>
      <c r="V21" s="12"/>
      <c r="W21" s="13" t="str">
        <f t="shared" si="2"/>
        <v/>
      </c>
      <c r="X21" s="13" t="str">
        <f t="shared" si="3"/>
        <v/>
      </c>
      <c r="Y21" s="14"/>
      <c r="Z21" s="12"/>
      <c r="AA21" s="12"/>
      <c r="AB21" s="12"/>
      <c r="AC21" s="13" t="str">
        <f t="shared" si="4"/>
        <v xml:space="preserve"> </v>
      </c>
      <c r="AD21" s="13" t="str">
        <f t="shared" si="5"/>
        <v xml:space="preserve"> </v>
      </c>
      <c r="AE21" s="14"/>
      <c r="AF21" s="12"/>
      <c r="AG21" s="12"/>
      <c r="AH21" s="12"/>
      <c r="AI21" s="13" t="str">
        <f t="shared" si="6"/>
        <v xml:space="preserve"> </v>
      </c>
      <c r="AJ21" s="13" t="str">
        <f t="shared" si="7"/>
        <v xml:space="preserve"> </v>
      </c>
      <c r="AK21" s="14"/>
      <c r="AL21" s="12"/>
      <c r="AM21" s="12"/>
      <c r="AN21" s="12"/>
      <c r="AO21" s="13" t="str">
        <f t="shared" si="8"/>
        <v xml:space="preserve"> </v>
      </c>
      <c r="AP21" s="13" t="str">
        <f t="shared" si="9"/>
        <v xml:space="preserve"> </v>
      </c>
      <c r="AQ21" s="14"/>
      <c r="AR21" s="12"/>
      <c r="AS21" s="12"/>
      <c r="AT21" s="12"/>
      <c r="AU21" s="13" t="str">
        <f t="shared" si="10"/>
        <v xml:space="preserve"> </v>
      </c>
      <c r="AV21" s="13" t="str">
        <f t="shared" si="11"/>
        <v xml:space="preserve"> </v>
      </c>
      <c r="AW21" s="14"/>
      <c r="AX21" s="12"/>
      <c r="AY21" s="12"/>
      <c r="AZ21" s="12"/>
      <c r="BA21" s="13" t="str">
        <f t="shared" si="12"/>
        <v xml:space="preserve"> </v>
      </c>
      <c r="BB21" s="13" t="str">
        <f t="shared" si="13"/>
        <v xml:space="preserve"> </v>
      </c>
      <c r="BC21" s="14"/>
      <c r="BD21" s="12"/>
      <c r="BE21" s="12"/>
      <c r="BF21" s="12"/>
      <c r="BG21" s="13" t="str">
        <f t="shared" si="14"/>
        <v xml:space="preserve"> </v>
      </c>
      <c r="BH21" s="13" t="str">
        <f t="shared" si="15"/>
        <v xml:space="preserve"> </v>
      </c>
      <c r="BI21" s="14"/>
      <c r="BJ21" s="12"/>
      <c r="BK21" s="12"/>
      <c r="BL21" s="12"/>
      <c r="BM21" s="13" t="str">
        <f t="shared" si="16"/>
        <v xml:space="preserve"> </v>
      </c>
      <c r="BN21" s="13" t="str">
        <f t="shared" si="17"/>
        <v xml:space="preserve"> </v>
      </c>
      <c r="BO21" s="14"/>
      <c r="BP21" s="12"/>
      <c r="BQ21" s="12"/>
      <c r="BR21" s="12"/>
      <c r="BS21" s="13" t="str">
        <f t="shared" si="18"/>
        <v xml:space="preserve"> </v>
      </c>
      <c r="BT21" s="13" t="str">
        <f t="shared" si="19"/>
        <v xml:space="preserve"> </v>
      </c>
      <c r="BU21" s="14"/>
      <c r="BV21" s="12"/>
      <c r="BW21" s="12"/>
      <c r="BX21" s="12"/>
      <c r="BY21" s="13" t="str">
        <f t="shared" si="20"/>
        <v xml:space="preserve"> </v>
      </c>
      <c r="BZ21" s="13" t="str">
        <f t="shared" si="21"/>
        <v xml:space="preserve"> </v>
      </c>
      <c r="CA21" s="14"/>
      <c r="CD21" s="12"/>
      <c r="CE21" s="13" t="str">
        <f t="shared" si="22"/>
        <v xml:space="preserve"> </v>
      </c>
      <c r="CF21" s="13" t="str">
        <f t="shared" si="23"/>
        <v xml:space="preserve"> </v>
      </c>
      <c r="CG21" s="14" t="s">
        <v>51</v>
      </c>
      <c r="CH21" s="9">
        <f t="shared" si="24"/>
        <v>8751</v>
      </c>
      <c r="CI21" s="9">
        <f t="shared" si="24"/>
        <v>131</v>
      </c>
      <c r="CJ21" s="9">
        <f t="shared" si="25"/>
        <v>1</v>
      </c>
      <c r="CK21" s="10">
        <f t="shared" si="26"/>
        <v>26253</v>
      </c>
      <c r="CL21" s="10">
        <f t="shared" si="27"/>
        <v>393</v>
      </c>
      <c r="CM21" s="11" t="str">
        <f t="shared" si="28"/>
        <v xml:space="preserve"> </v>
      </c>
    </row>
    <row r="22" spans="1:91" x14ac:dyDescent="0.3">
      <c r="A22" s="8" t="s">
        <v>43</v>
      </c>
      <c r="B22" s="9">
        <v>235448.16666666666</v>
      </c>
      <c r="C22" s="9">
        <v>5009.916666666667</v>
      </c>
      <c r="D22" s="9">
        <v>931</v>
      </c>
      <c r="E22" s="10">
        <v>9104.3329752953814</v>
      </c>
      <c r="F22" s="10">
        <v>193.72395273899031</v>
      </c>
      <c r="G22" s="11">
        <v>2.0258333333333334</v>
      </c>
      <c r="H22" s="9">
        <v>175103.27272727274</v>
      </c>
      <c r="I22" s="9">
        <v>3380.2727272727275</v>
      </c>
      <c r="J22" s="9">
        <v>672</v>
      </c>
      <c r="K22" s="10">
        <v>8598.8214285714294</v>
      </c>
      <c r="L22" s="10">
        <v>165.99553571428572</v>
      </c>
      <c r="M22" s="11">
        <v>1.8645454545454543</v>
      </c>
      <c r="N22" s="12"/>
      <c r="O22" s="12"/>
      <c r="P22" s="12"/>
      <c r="Q22" s="13" t="str">
        <f t="shared" si="0"/>
        <v/>
      </c>
      <c r="R22" s="13" t="str">
        <f t="shared" si="1"/>
        <v/>
      </c>
      <c r="S22" s="14"/>
      <c r="T22" s="12"/>
      <c r="U22" s="12"/>
      <c r="V22" s="12"/>
      <c r="W22" s="13" t="str">
        <f t="shared" si="2"/>
        <v/>
      </c>
      <c r="X22" s="13" t="str">
        <f t="shared" si="3"/>
        <v/>
      </c>
      <c r="Y22" s="14"/>
      <c r="Z22" s="12"/>
      <c r="AA22" s="12"/>
      <c r="AB22" s="12"/>
      <c r="AC22" s="13" t="str">
        <f t="shared" si="4"/>
        <v xml:space="preserve"> </v>
      </c>
      <c r="AD22" s="13" t="str">
        <f t="shared" si="5"/>
        <v xml:space="preserve"> </v>
      </c>
      <c r="AE22" s="14"/>
      <c r="AF22" s="12"/>
      <c r="AG22" s="12"/>
      <c r="AH22" s="12"/>
      <c r="AI22" s="13" t="str">
        <f t="shared" si="6"/>
        <v xml:space="preserve"> </v>
      </c>
      <c r="AJ22" s="13" t="str">
        <f t="shared" si="7"/>
        <v xml:space="preserve"> </v>
      </c>
      <c r="AK22" s="14"/>
      <c r="AL22" s="12"/>
      <c r="AM22" s="12"/>
      <c r="AN22" s="12"/>
      <c r="AO22" s="13" t="str">
        <f t="shared" si="8"/>
        <v xml:space="preserve"> </v>
      </c>
      <c r="AP22" s="13" t="str">
        <f t="shared" si="9"/>
        <v xml:space="preserve"> </v>
      </c>
      <c r="AQ22" s="14"/>
      <c r="AR22" s="12"/>
      <c r="AS22" s="12"/>
      <c r="AT22" s="12"/>
      <c r="AU22" s="13" t="str">
        <f t="shared" si="10"/>
        <v xml:space="preserve"> </v>
      </c>
      <c r="AV22" s="13" t="str">
        <f t="shared" si="11"/>
        <v xml:space="preserve"> </v>
      </c>
      <c r="AW22" s="14"/>
      <c r="AX22" s="12"/>
      <c r="AY22" s="12"/>
      <c r="AZ22" s="12"/>
      <c r="BA22" s="13" t="str">
        <f t="shared" si="12"/>
        <v xml:space="preserve"> </v>
      </c>
      <c r="BB22" s="13" t="str">
        <f t="shared" si="13"/>
        <v xml:space="preserve"> </v>
      </c>
      <c r="BC22" s="14"/>
      <c r="BD22" s="12"/>
      <c r="BE22" s="12"/>
      <c r="BF22" s="12"/>
      <c r="BG22" s="13" t="str">
        <f t="shared" si="14"/>
        <v xml:space="preserve"> </v>
      </c>
      <c r="BH22" s="13" t="str">
        <f t="shared" si="15"/>
        <v xml:space="preserve"> </v>
      </c>
      <c r="BI22" s="14"/>
      <c r="BJ22" s="12"/>
      <c r="BK22" s="12"/>
      <c r="BL22" s="12"/>
      <c r="BM22" s="13" t="str">
        <f t="shared" si="16"/>
        <v xml:space="preserve"> </v>
      </c>
      <c r="BN22" s="13" t="str">
        <f t="shared" si="17"/>
        <v xml:space="preserve"> </v>
      </c>
      <c r="BO22" s="14"/>
      <c r="BP22" s="12"/>
      <c r="BQ22" s="12"/>
      <c r="BR22" s="12"/>
      <c r="BS22" s="13" t="str">
        <f t="shared" si="18"/>
        <v xml:space="preserve"> </v>
      </c>
      <c r="BT22" s="13" t="str">
        <f t="shared" si="19"/>
        <v xml:space="preserve"> </v>
      </c>
      <c r="BU22" s="14"/>
      <c r="BV22" s="12"/>
      <c r="BW22" s="12"/>
      <c r="BX22" s="12"/>
      <c r="BY22" s="13" t="str">
        <f t="shared" si="20"/>
        <v xml:space="preserve"> </v>
      </c>
      <c r="BZ22" s="13" t="str">
        <f t="shared" si="21"/>
        <v xml:space="preserve"> </v>
      </c>
      <c r="CA22" s="14"/>
      <c r="CD22" s="12"/>
      <c r="CE22" s="13" t="str">
        <f t="shared" si="22"/>
        <v xml:space="preserve"> </v>
      </c>
      <c r="CF22" s="13" t="str">
        <f t="shared" si="23"/>
        <v xml:space="preserve"> </v>
      </c>
      <c r="CG22" s="14" t="s">
        <v>51</v>
      </c>
      <c r="CH22" s="9" t="str">
        <f t="shared" si="24"/>
        <v xml:space="preserve"> </v>
      </c>
      <c r="CI22" s="9" t="str">
        <f t="shared" si="24"/>
        <v xml:space="preserve"> </v>
      </c>
      <c r="CJ22" s="9">
        <f t="shared" si="25"/>
        <v>0</v>
      </c>
      <c r="CK22" s="10" t="str">
        <f t="shared" si="26"/>
        <v xml:space="preserve"> </v>
      </c>
      <c r="CL22" s="10" t="str">
        <f t="shared" si="27"/>
        <v xml:space="preserve"> </v>
      </c>
      <c r="CM22" s="11" t="str">
        <f t="shared" si="28"/>
        <v xml:space="preserve"> </v>
      </c>
    </row>
    <row r="23" spans="1:91" x14ac:dyDescent="0.3">
      <c r="A23" s="8" t="s">
        <v>44</v>
      </c>
      <c r="B23" s="9">
        <v>291776.58333333331</v>
      </c>
      <c r="C23" s="9">
        <v>10211.416666666666</v>
      </c>
      <c r="D23" s="9">
        <v>923</v>
      </c>
      <c r="E23" s="10">
        <v>11380.235102925244</v>
      </c>
      <c r="F23" s="10">
        <v>398.27843986998914</v>
      </c>
      <c r="G23" s="11">
        <v>2.5916666666666672</v>
      </c>
      <c r="H23" s="9">
        <v>234348.09090909091</v>
      </c>
      <c r="I23" s="9">
        <v>7105.545454545455</v>
      </c>
      <c r="J23" s="9">
        <v>711</v>
      </c>
      <c r="K23" s="10">
        <v>10876.915611814346</v>
      </c>
      <c r="L23" s="10">
        <v>329.79324894514764</v>
      </c>
      <c r="M23" s="11">
        <v>2.4109090909090907</v>
      </c>
      <c r="N23" s="12">
        <v>111602.10881377551</v>
      </c>
      <c r="O23" s="12">
        <v>1931</v>
      </c>
      <c r="P23" s="12">
        <v>26</v>
      </c>
      <c r="Q23" s="13">
        <f t="shared" si="0"/>
        <v>12877.166401589482</v>
      </c>
      <c r="R23" s="13">
        <f t="shared" si="1"/>
        <v>222.80769230769232</v>
      </c>
      <c r="S23" s="14"/>
      <c r="T23" s="12">
        <v>219436</v>
      </c>
      <c r="U23" s="12">
        <v>4520</v>
      </c>
      <c r="V23" s="12">
        <v>57</v>
      </c>
      <c r="W23" s="13">
        <f t="shared" si="2"/>
        <v>11549.263157894737</v>
      </c>
      <c r="X23" s="13">
        <f t="shared" si="3"/>
        <v>237.89473684210526</v>
      </c>
      <c r="Y23" s="14"/>
      <c r="Z23" s="12">
        <v>205973</v>
      </c>
      <c r="AA23" s="12">
        <v>5739</v>
      </c>
      <c r="AB23" s="12">
        <v>43</v>
      </c>
      <c r="AC23" s="13">
        <f t="shared" si="4"/>
        <v>14370.209302325582</v>
      </c>
      <c r="AD23" s="13">
        <f t="shared" si="5"/>
        <v>400.39534883720933</v>
      </c>
      <c r="AE23" s="14"/>
      <c r="AF23" s="12">
        <v>141758</v>
      </c>
      <c r="AG23" s="12">
        <v>5041</v>
      </c>
      <c r="AH23" s="12">
        <v>25</v>
      </c>
      <c r="AI23" s="13">
        <f t="shared" si="6"/>
        <v>17010.96</v>
      </c>
      <c r="AJ23" s="13">
        <f t="shared" si="7"/>
        <v>604.91999999999996</v>
      </c>
      <c r="AK23" s="14"/>
      <c r="AL23" s="12">
        <v>302923</v>
      </c>
      <c r="AM23" s="12">
        <v>8857</v>
      </c>
      <c r="AN23" s="12">
        <v>58</v>
      </c>
      <c r="AO23" s="13">
        <f t="shared" si="8"/>
        <v>15668.431034482757</v>
      </c>
      <c r="AP23" s="13">
        <f t="shared" si="9"/>
        <v>458.12068965517238</v>
      </c>
      <c r="AQ23" s="14"/>
      <c r="AR23" s="12">
        <v>32520</v>
      </c>
      <c r="AS23" s="12">
        <v>1206</v>
      </c>
      <c r="AT23" s="12">
        <v>6</v>
      </c>
      <c r="AU23" s="13">
        <f t="shared" si="10"/>
        <v>16260</v>
      </c>
      <c r="AV23" s="13">
        <f t="shared" si="11"/>
        <v>603</v>
      </c>
      <c r="AW23" s="14"/>
      <c r="AX23" s="12"/>
      <c r="AY23" s="12"/>
      <c r="AZ23" s="12"/>
      <c r="BA23" s="13" t="str">
        <f t="shared" si="12"/>
        <v xml:space="preserve"> </v>
      </c>
      <c r="BB23" s="13" t="str">
        <f t="shared" si="13"/>
        <v xml:space="preserve"> </v>
      </c>
      <c r="BC23" s="14"/>
      <c r="BD23" s="12">
        <v>21880</v>
      </c>
      <c r="BE23" s="12">
        <v>808</v>
      </c>
      <c r="BF23" s="12">
        <v>5</v>
      </c>
      <c r="BG23" s="13">
        <f t="shared" si="14"/>
        <v>13128</v>
      </c>
      <c r="BH23" s="13">
        <f t="shared" si="15"/>
        <v>484.79999999999995</v>
      </c>
      <c r="BI23" s="14"/>
      <c r="BJ23" s="12">
        <v>187449</v>
      </c>
      <c r="BK23" s="12">
        <v>3690</v>
      </c>
      <c r="BL23" s="12">
        <v>45</v>
      </c>
      <c r="BM23" s="13">
        <f t="shared" si="16"/>
        <v>12496.600000000002</v>
      </c>
      <c r="BN23" s="13">
        <f t="shared" si="17"/>
        <v>246</v>
      </c>
      <c r="BO23" s="14"/>
      <c r="BP23" s="12">
        <v>263950</v>
      </c>
      <c r="BQ23" s="12">
        <v>7807</v>
      </c>
      <c r="BR23" s="12">
        <v>57</v>
      </c>
      <c r="BS23" s="13">
        <f t="shared" si="18"/>
        <v>13892.105263157893</v>
      </c>
      <c r="BT23" s="13">
        <f t="shared" si="19"/>
        <v>410.89473684210526</v>
      </c>
      <c r="BU23" s="14"/>
      <c r="BV23" s="12">
        <v>235120</v>
      </c>
      <c r="BW23" s="12">
        <v>6516</v>
      </c>
      <c r="BX23" s="12">
        <v>49</v>
      </c>
      <c r="BY23" s="13">
        <f t="shared" si="20"/>
        <v>14395.102040816328</v>
      </c>
      <c r="BZ23" s="13">
        <f t="shared" si="21"/>
        <v>398.9387755102041</v>
      </c>
      <c r="CA23" s="14"/>
      <c r="CB23" s="12">
        <v>130019</v>
      </c>
      <c r="CC23" s="12">
        <v>4418</v>
      </c>
      <c r="CD23" s="12">
        <v>24</v>
      </c>
      <c r="CE23" s="13">
        <f t="shared" si="22"/>
        <v>16252.375</v>
      </c>
      <c r="CF23" s="13">
        <f t="shared" si="23"/>
        <v>552.25</v>
      </c>
      <c r="CG23" s="14" t="s">
        <v>51</v>
      </c>
      <c r="CH23" s="9">
        <f t="shared" si="24"/>
        <v>168420.9189830705</v>
      </c>
      <c r="CI23" s="9">
        <f t="shared" si="24"/>
        <v>4593.909090909091</v>
      </c>
      <c r="CJ23" s="9">
        <f t="shared" si="25"/>
        <v>395</v>
      </c>
      <c r="CK23" s="10">
        <f t="shared" si="26"/>
        <v>14070.608421370445</v>
      </c>
      <c r="CL23" s="10">
        <f t="shared" si="27"/>
        <v>383.79493670886075</v>
      </c>
      <c r="CM23" s="11" t="str">
        <f t="shared" si="28"/>
        <v xml:space="preserve"> </v>
      </c>
    </row>
    <row r="24" spans="1:91" x14ac:dyDescent="0.3">
      <c r="A24" s="8" t="s">
        <v>45</v>
      </c>
      <c r="B24" s="9">
        <v>134644.66666666666</v>
      </c>
      <c r="C24" s="9">
        <v>332380.66666666669</v>
      </c>
      <c r="D24" s="9">
        <v>974</v>
      </c>
      <c r="E24" s="10">
        <v>4976.5995893223817</v>
      </c>
      <c r="F24" s="10">
        <v>12285.11704312115</v>
      </c>
      <c r="G24" s="11">
        <v>25.073333333333338</v>
      </c>
      <c r="H24" s="9">
        <v>89040.6</v>
      </c>
      <c r="I24" s="9">
        <v>245232.6</v>
      </c>
      <c r="J24" s="9">
        <v>667</v>
      </c>
      <c r="K24" s="10">
        <v>4004.8245877061472</v>
      </c>
      <c r="L24" s="10">
        <v>11029.952023988006</v>
      </c>
      <c r="M24" s="11">
        <v>26.572000000000003</v>
      </c>
      <c r="N24" s="12">
        <v>65909</v>
      </c>
      <c r="O24" s="12">
        <v>180405</v>
      </c>
      <c r="P24" s="12">
        <v>38</v>
      </c>
      <c r="Q24" s="13">
        <f t="shared" si="0"/>
        <v>5203.3421052631584</v>
      </c>
      <c r="R24" s="13">
        <f t="shared" si="1"/>
        <v>14242.5</v>
      </c>
      <c r="S24" s="14"/>
      <c r="T24" s="12">
        <v>81812</v>
      </c>
      <c r="U24" s="12">
        <v>226274</v>
      </c>
      <c r="V24" s="12">
        <v>51</v>
      </c>
      <c r="W24" s="13">
        <f t="shared" si="2"/>
        <v>4812.4705882352946</v>
      </c>
      <c r="X24" s="13">
        <f t="shared" si="3"/>
        <v>13310.235294117647</v>
      </c>
      <c r="Y24" s="14"/>
      <c r="Z24" s="12">
        <v>74217</v>
      </c>
      <c r="AA24" s="12">
        <v>212096</v>
      </c>
      <c r="AB24" s="12">
        <v>53</v>
      </c>
      <c r="AC24" s="13">
        <f t="shared" si="4"/>
        <v>4200.9622641509432</v>
      </c>
      <c r="AD24" s="13">
        <f t="shared" si="5"/>
        <v>12005.433962264151</v>
      </c>
      <c r="AE24" s="14"/>
      <c r="AF24" s="12">
        <v>34106</v>
      </c>
      <c r="AG24" s="12">
        <v>90511</v>
      </c>
      <c r="AH24" s="12">
        <v>21</v>
      </c>
      <c r="AI24" s="13">
        <f t="shared" si="6"/>
        <v>4872.2857142857138</v>
      </c>
      <c r="AJ24" s="13">
        <f t="shared" si="7"/>
        <v>12930.142857142859</v>
      </c>
      <c r="AK24" s="14"/>
      <c r="AL24" s="12">
        <v>94754</v>
      </c>
      <c r="AM24" s="12">
        <v>261004</v>
      </c>
      <c r="AN24" s="12">
        <v>57</v>
      </c>
      <c r="AO24" s="13">
        <f t="shared" si="8"/>
        <v>4987.0526315789466</v>
      </c>
      <c r="AP24" s="13">
        <f t="shared" si="9"/>
        <v>13737.052631578947</v>
      </c>
      <c r="AQ24" s="14"/>
      <c r="AR24" s="12">
        <v>76871</v>
      </c>
      <c r="AS24" s="12">
        <v>192418</v>
      </c>
      <c r="AT24" s="12">
        <v>48</v>
      </c>
      <c r="AU24" s="13">
        <f t="shared" si="10"/>
        <v>4804.4375</v>
      </c>
      <c r="AV24" s="13">
        <f t="shared" si="11"/>
        <v>12026.125</v>
      </c>
      <c r="AW24" s="14"/>
      <c r="AX24" s="12">
        <v>83936</v>
      </c>
      <c r="AY24" s="12">
        <v>287612</v>
      </c>
      <c r="AZ24" s="12">
        <v>57</v>
      </c>
      <c r="BA24" s="13">
        <f t="shared" si="12"/>
        <v>4417.6842105263158</v>
      </c>
      <c r="BB24" s="13">
        <f t="shared" si="13"/>
        <v>15137.473684210527</v>
      </c>
      <c r="BC24" s="14"/>
      <c r="BD24" s="12">
        <v>86063</v>
      </c>
      <c r="BE24" s="12">
        <v>205643</v>
      </c>
      <c r="BF24" s="12">
        <v>49</v>
      </c>
      <c r="BG24" s="13">
        <f t="shared" si="14"/>
        <v>5269.1632653061224</v>
      </c>
      <c r="BH24" s="13">
        <f t="shared" si="15"/>
        <v>12590.38775510204</v>
      </c>
      <c r="BI24" s="14"/>
      <c r="BJ24" s="12">
        <v>104385</v>
      </c>
      <c r="BK24" s="12">
        <v>294334</v>
      </c>
      <c r="BL24" s="12">
        <v>62</v>
      </c>
      <c r="BM24" s="13">
        <f t="shared" si="16"/>
        <v>5050.8870967741941</v>
      </c>
      <c r="BN24" s="13">
        <f t="shared" si="17"/>
        <v>14241.967741935483</v>
      </c>
      <c r="BO24" s="14"/>
      <c r="BP24" s="12">
        <v>99188</v>
      </c>
      <c r="BQ24" s="12">
        <v>262718</v>
      </c>
      <c r="BR24" s="12">
        <v>64</v>
      </c>
      <c r="BS24" s="13">
        <f t="shared" si="18"/>
        <v>4649.4375</v>
      </c>
      <c r="BT24" s="13">
        <f t="shared" si="19"/>
        <v>12314.90625</v>
      </c>
      <c r="BU24" s="14"/>
      <c r="BV24" s="12">
        <v>81026</v>
      </c>
      <c r="BW24" s="12">
        <v>201377</v>
      </c>
      <c r="BX24" s="12">
        <v>53</v>
      </c>
      <c r="BY24" s="13">
        <f t="shared" si="20"/>
        <v>4586.3773584905666</v>
      </c>
      <c r="BZ24" s="13">
        <f t="shared" si="21"/>
        <v>11398.698113207547</v>
      </c>
      <c r="CA24" s="14"/>
      <c r="CB24" s="12">
        <v>41954</v>
      </c>
      <c r="CC24" s="12">
        <v>162861</v>
      </c>
      <c r="CD24" s="12">
        <v>28</v>
      </c>
      <c r="CE24" s="13">
        <f t="shared" si="22"/>
        <v>4495.0714285714284</v>
      </c>
      <c r="CF24" s="13">
        <f t="shared" si="23"/>
        <v>17449.392857142855</v>
      </c>
      <c r="CG24" s="14" t="s">
        <v>51</v>
      </c>
      <c r="CH24" s="9">
        <f t="shared" si="24"/>
        <v>77018.416666666672</v>
      </c>
      <c r="CI24" s="9">
        <f t="shared" si="24"/>
        <v>214771.08333333334</v>
      </c>
      <c r="CJ24" s="9">
        <f t="shared" si="25"/>
        <v>581</v>
      </c>
      <c r="CK24" s="10">
        <f t="shared" si="26"/>
        <v>4772.2254733218588</v>
      </c>
      <c r="CL24" s="10">
        <f t="shared" si="27"/>
        <v>13307.674698795181</v>
      </c>
      <c r="CM24" s="11" t="str">
        <f t="shared" si="28"/>
        <v xml:space="preserve"> </v>
      </c>
    </row>
    <row r="25" spans="1:91" x14ac:dyDescent="0.3">
      <c r="A25" s="8" t="s">
        <v>46</v>
      </c>
      <c r="B25" s="9">
        <v>242082.33333333334</v>
      </c>
      <c r="C25" s="9">
        <v>36379.75</v>
      </c>
      <c r="D25" s="9">
        <v>906</v>
      </c>
      <c r="E25" s="10">
        <v>9619.1655629139077</v>
      </c>
      <c r="F25" s="10">
        <v>1445.5529801324503</v>
      </c>
      <c r="G25" s="11">
        <v>6.126666666666666</v>
      </c>
      <c r="H25" s="9">
        <v>161807.18181818182</v>
      </c>
      <c r="I25" s="9">
        <v>21742.909090909092</v>
      </c>
      <c r="J25" s="9">
        <v>620</v>
      </c>
      <c r="K25" s="10">
        <v>8612.3177419354834</v>
      </c>
      <c r="L25" s="10">
        <v>1157.2838709677419</v>
      </c>
      <c r="M25" s="11">
        <v>5.7609090909090908</v>
      </c>
      <c r="N25" s="12">
        <v>113538</v>
      </c>
      <c r="O25" s="12">
        <v>15873</v>
      </c>
      <c r="P25" s="12">
        <v>26</v>
      </c>
      <c r="Q25" s="13">
        <f t="shared" si="0"/>
        <v>13100.538461538463</v>
      </c>
      <c r="R25" s="13">
        <f t="shared" si="1"/>
        <v>1831.5</v>
      </c>
      <c r="S25" s="14"/>
      <c r="T25" s="12">
        <v>164624</v>
      </c>
      <c r="U25" s="12">
        <v>23023</v>
      </c>
      <c r="V25" s="12">
        <v>53</v>
      </c>
      <c r="W25" s="13">
        <f t="shared" si="2"/>
        <v>9318.3396226415098</v>
      </c>
      <c r="X25" s="13">
        <f t="shared" si="3"/>
        <v>1303.1886792452831</v>
      </c>
      <c r="Y25" s="14"/>
      <c r="Z25" s="12">
        <v>61841</v>
      </c>
      <c r="AA25" s="12">
        <v>9625</v>
      </c>
      <c r="AB25" s="12">
        <v>24</v>
      </c>
      <c r="AC25" s="13">
        <f t="shared" si="4"/>
        <v>7730.125</v>
      </c>
      <c r="AD25" s="13">
        <f t="shared" si="5"/>
        <v>1203.125</v>
      </c>
      <c r="AE25" s="14"/>
      <c r="AF25" s="12"/>
      <c r="AG25" s="12"/>
      <c r="AH25" s="12"/>
      <c r="AI25" s="13" t="str">
        <f t="shared" si="6"/>
        <v xml:space="preserve"> </v>
      </c>
      <c r="AJ25" s="13" t="str">
        <f t="shared" si="7"/>
        <v xml:space="preserve"> </v>
      </c>
      <c r="AK25" s="14"/>
      <c r="AL25" s="12">
        <v>62796</v>
      </c>
      <c r="AM25" s="12">
        <v>9145</v>
      </c>
      <c r="AN25" s="12">
        <v>22</v>
      </c>
      <c r="AO25" s="13">
        <f t="shared" si="8"/>
        <v>8563.0909090909099</v>
      </c>
      <c r="AP25" s="13">
        <f t="shared" si="9"/>
        <v>1247.0454545454545</v>
      </c>
      <c r="AQ25" s="14"/>
      <c r="AR25" s="12">
        <v>97202</v>
      </c>
      <c r="AS25" s="12">
        <v>25117</v>
      </c>
      <c r="AT25" s="12">
        <v>36</v>
      </c>
      <c r="AU25" s="13">
        <f t="shared" si="10"/>
        <v>8100.166666666667</v>
      </c>
      <c r="AV25" s="13">
        <f t="shared" si="11"/>
        <v>2093.0833333333335</v>
      </c>
      <c r="AW25" s="14"/>
      <c r="AX25" s="12">
        <v>88743</v>
      </c>
      <c r="AY25" s="12">
        <v>12180</v>
      </c>
      <c r="AZ25" s="12">
        <v>25</v>
      </c>
      <c r="BA25" s="13">
        <f t="shared" si="12"/>
        <v>10649.16</v>
      </c>
      <c r="BB25" s="13">
        <f t="shared" si="13"/>
        <v>1461.6</v>
      </c>
      <c r="BC25" s="14"/>
      <c r="BD25" s="12">
        <v>55013</v>
      </c>
      <c r="BE25" s="12">
        <v>7511</v>
      </c>
      <c r="BF25" s="12">
        <v>18</v>
      </c>
      <c r="BG25" s="13">
        <f t="shared" si="14"/>
        <v>9168.8333333333339</v>
      </c>
      <c r="BH25" s="13">
        <f t="shared" si="15"/>
        <v>1251.8333333333333</v>
      </c>
      <c r="BI25" s="14"/>
      <c r="BJ25" s="12">
        <v>166085</v>
      </c>
      <c r="BK25" s="12">
        <v>30284</v>
      </c>
      <c r="BL25" s="12">
        <v>51</v>
      </c>
      <c r="BM25" s="13">
        <f t="shared" si="16"/>
        <v>9769.7058823529405</v>
      </c>
      <c r="BN25" s="13">
        <f t="shared" si="17"/>
        <v>1781.4117647058822</v>
      </c>
      <c r="BO25" s="14"/>
      <c r="BP25" s="12">
        <v>107893</v>
      </c>
      <c r="BQ25" s="12">
        <v>18777</v>
      </c>
      <c r="BR25" s="12">
        <v>40</v>
      </c>
      <c r="BS25" s="13">
        <f t="shared" si="18"/>
        <v>8091.9749999999995</v>
      </c>
      <c r="BT25" s="13">
        <f t="shared" si="19"/>
        <v>1408.2750000000001</v>
      </c>
      <c r="BU25" s="14"/>
      <c r="BV25" s="12">
        <v>162617</v>
      </c>
      <c r="BW25" s="12">
        <v>24462</v>
      </c>
      <c r="BX25" s="12">
        <v>42</v>
      </c>
      <c r="BY25" s="13">
        <f t="shared" si="20"/>
        <v>11615.5</v>
      </c>
      <c r="BZ25" s="13">
        <f t="shared" si="21"/>
        <v>1747.2857142857142</v>
      </c>
      <c r="CA25" s="14"/>
      <c r="CB25" s="12">
        <v>175829</v>
      </c>
      <c r="CC25" s="12">
        <v>24756</v>
      </c>
      <c r="CD25" s="12">
        <v>49</v>
      </c>
      <c r="CE25" s="13">
        <f t="shared" si="22"/>
        <v>10765.040816326531</v>
      </c>
      <c r="CF25" s="13">
        <f t="shared" si="23"/>
        <v>1515.6734693877552</v>
      </c>
      <c r="CG25" s="14" t="s">
        <v>51</v>
      </c>
      <c r="CH25" s="9">
        <f t="shared" si="24"/>
        <v>114198.27272727272</v>
      </c>
      <c r="CI25" s="9">
        <f t="shared" si="24"/>
        <v>18250.272727272728</v>
      </c>
      <c r="CJ25" s="9">
        <f t="shared" si="25"/>
        <v>386</v>
      </c>
      <c r="CK25" s="10">
        <f t="shared" si="26"/>
        <v>9763.0647668393794</v>
      </c>
      <c r="CL25" s="10">
        <f t="shared" si="27"/>
        <v>1560.256476683938</v>
      </c>
      <c r="CM25" s="11" t="str">
        <f t="shared" si="28"/>
        <v xml:space="preserve"> </v>
      </c>
    </row>
    <row r="26" spans="1:91" x14ac:dyDescent="0.3">
      <c r="A26" s="8" t="s">
        <v>47</v>
      </c>
      <c r="B26" s="9">
        <v>556765.25</v>
      </c>
      <c r="C26" s="9">
        <v>135631.33333333334</v>
      </c>
      <c r="D26" s="9">
        <v>780</v>
      </c>
      <c r="E26" s="10">
        <v>25696.857692307691</v>
      </c>
      <c r="F26" s="10">
        <v>6259.9076923076918</v>
      </c>
      <c r="G26" s="11">
        <v>6.503333333333333</v>
      </c>
      <c r="H26" s="9">
        <v>449562.09090909088</v>
      </c>
      <c r="I26" s="9">
        <v>131394.90909090909</v>
      </c>
      <c r="J26" s="9">
        <v>752</v>
      </c>
      <c r="K26" s="10">
        <v>19728.123670212764</v>
      </c>
      <c r="L26" s="10">
        <v>5766</v>
      </c>
      <c r="M26" s="11">
        <v>7.1145454545454552</v>
      </c>
      <c r="N26" s="12">
        <v>404624</v>
      </c>
      <c r="O26" s="12">
        <v>105179</v>
      </c>
      <c r="P26" s="12">
        <v>53</v>
      </c>
      <c r="Q26" s="13">
        <f t="shared" si="0"/>
        <v>22903.245283018867</v>
      </c>
      <c r="R26" s="13">
        <f t="shared" si="1"/>
        <v>5953.5283018867922</v>
      </c>
      <c r="S26" s="14"/>
      <c r="T26" s="12">
        <v>553998</v>
      </c>
      <c r="U26" s="12">
        <v>131871</v>
      </c>
      <c r="V26" s="12">
        <v>72</v>
      </c>
      <c r="W26" s="13">
        <f t="shared" si="2"/>
        <v>23083.25</v>
      </c>
      <c r="X26" s="13">
        <f t="shared" si="3"/>
        <v>5494.625</v>
      </c>
      <c r="Y26" s="14"/>
      <c r="Z26" s="12">
        <v>465774</v>
      </c>
      <c r="AA26" s="12">
        <v>160452</v>
      </c>
      <c r="AB26" s="12">
        <v>72</v>
      </c>
      <c r="AC26" s="13">
        <f t="shared" si="4"/>
        <v>19407.25</v>
      </c>
      <c r="AD26" s="13">
        <f t="shared" si="5"/>
        <v>6685.5</v>
      </c>
      <c r="AE26" s="14"/>
      <c r="AF26" s="12">
        <v>298930</v>
      </c>
      <c r="AG26" s="12">
        <v>107623</v>
      </c>
      <c r="AH26" s="12">
        <v>49</v>
      </c>
      <c r="AI26" s="13">
        <f t="shared" si="6"/>
        <v>18301.836734693879</v>
      </c>
      <c r="AJ26" s="13">
        <f t="shared" si="7"/>
        <v>6589.1632653061224</v>
      </c>
      <c r="AK26" s="14"/>
      <c r="AL26" s="12">
        <v>472040.22999999992</v>
      </c>
      <c r="AM26" s="12">
        <v>144659</v>
      </c>
      <c r="AN26" s="12">
        <v>61</v>
      </c>
      <c r="AO26" s="13">
        <f t="shared" si="8"/>
        <v>23215.093278688521</v>
      </c>
      <c r="AP26" s="13">
        <f t="shared" si="9"/>
        <v>7114.377049180328</v>
      </c>
      <c r="AQ26" s="14"/>
      <c r="AR26" s="12">
        <v>410862</v>
      </c>
      <c r="AS26" s="12">
        <v>97485</v>
      </c>
      <c r="AT26" s="12">
        <v>59</v>
      </c>
      <c r="AU26" s="13">
        <f t="shared" si="10"/>
        <v>20891.288135593219</v>
      </c>
      <c r="AV26" s="13">
        <f t="shared" si="11"/>
        <v>4956.8644067796613</v>
      </c>
      <c r="AW26" s="14"/>
      <c r="AX26" s="12">
        <v>473000</v>
      </c>
      <c r="AY26" s="12">
        <v>149996</v>
      </c>
      <c r="AZ26" s="12">
        <v>73</v>
      </c>
      <c r="BA26" s="13">
        <f t="shared" si="12"/>
        <v>19438.35616438356</v>
      </c>
      <c r="BB26" s="13">
        <f t="shared" si="13"/>
        <v>6164.2191780821922</v>
      </c>
      <c r="BC26" s="14"/>
      <c r="BD26" s="12">
        <v>532238</v>
      </c>
      <c r="BE26" s="12">
        <v>155111</v>
      </c>
      <c r="BF26" s="12">
        <v>76</v>
      </c>
      <c r="BG26" s="13">
        <f t="shared" si="14"/>
        <v>21009.394736842107</v>
      </c>
      <c r="BH26" s="13">
        <f t="shared" si="15"/>
        <v>6122.8026315789475</v>
      </c>
      <c r="BI26" s="14"/>
      <c r="BJ26" s="12">
        <v>556140</v>
      </c>
      <c r="BK26" s="12">
        <v>167308</v>
      </c>
      <c r="BL26" s="12">
        <v>74</v>
      </c>
      <c r="BM26" s="13">
        <f t="shared" si="16"/>
        <v>22546.216216216213</v>
      </c>
      <c r="BN26" s="13">
        <f t="shared" si="17"/>
        <v>6782.7567567567567</v>
      </c>
      <c r="BO26" s="14"/>
      <c r="BP26" s="12">
        <v>655982</v>
      </c>
      <c r="BQ26" s="12">
        <v>188386</v>
      </c>
      <c r="BR26" s="12">
        <v>86</v>
      </c>
      <c r="BS26" s="13">
        <f t="shared" si="18"/>
        <v>22883.093023255817</v>
      </c>
      <c r="BT26" s="13">
        <f t="shared" si="19"/>
        <v>6571.604651162791</v>
      </c>
      <c r="BU26" s="14"/>
      <c r="BV26" s="12">
        <v>588831</v>
      </c>
      <c r="BW26" s="12">
        <v>170007</v>
      </c>
      <c r="BX26" s="12">
        <v>82</v>
      </c>
      <c r="BY26" s="13">
        <f t="shared" si="20"/>
        <v>21542.59756097561</v>
      </c>
      <c r="BZ26" s="13">
        <f t="shared" si="21"/>
        <v>6219.7682926829275</v>
      </c>
      <c r="CA26" s="14"/>
      <c r="CB26" s="12">
        <v>551154</v>
      </c>
      <c r="CC26" s="12">
        <v>144513</v>
      </c>
      <c r="CD26" s="12">
        <v>81</v>
      </c>
      <c r="CE26" s="13">
        <f t="shared" si="22"/>
        <v>20413.111111111109</v>
      </c>
      <c r="CF26" s="13">
        <f t="shared" si="23"/>
        <v>5352.333333333333</v>
      </c>
      <c r="CG26" s="14" t="s">
        <v>51</v>
      </c>
      <c r="CH26" s="9">
        <f t="shared" si="24"/>
        <v>496964.43583333335</v>
      </c>
      <c r="CI26" s="9">
        <f t="shared" si="24"/>
        <v>143549.16666666666</v>
      </c>
      <c r="CJ26" s="9">
        <f t="shared" si="25"/>
        <v>838</v>
      </c>
      <c r="CK26" s="10">
        <f t="shared" si="26"/>
        <v>21349.307505966586</v>
      </c>
      <c r="CL26" s="10">
        <f t="shared" si="27"/>
        <v>6166.7899761336512</v>
      </c>
      <c r="CM26" s="11" t="str">
        <f t="shared" si="28"/>
        <v xml:space="preserve"> </v>
      </c>
    </row>
    <row r="27" spans="1:91" x14ac:dyDescent="0.3">
      <c r="A27" s="8" t="s">
        <v>48</v>
      </c>
      <c r="B27" s="9">
        <v>567369.33333333337</v>
      </c>
      <c r="C27" s="9">
        <v>118028.66666666667</v>
      </c>
      <c r="D27" s="9">
        <v>825</v>
      </c>
      <c r="E27" s="10">
        <v>24757.934545454544</v>
      </c>
      <c r="F27" s="10">
        <v>5150.3418181818179</v>
      </c>
      <c r="G27" s="11">
        <v>6.2249999999999988</v>
      </c>
      <c r="H27" s="9">
        <v>477259.90909090912</v>
      </c>
      <c r="I27" s="9">
        <v>100100</v>
      </c>
      <c r="J27" s="9">
        <v>741</v>
      </c>
      <c r="K27" s="10">
        <v>21254.48987854251</v>
      </c>
      <c r="L27" s="10">
        <v>4457.894736842105</v>
      </c>
      <c r="M27" s="11">
        <v>6.2027272727272731</v>
      </c>
      <c r="N27" s="12">
        <v>319213.625</v>
      </c>
      <c r="O27" s="12">
        <v>72154</v>
      </c>
      <c r="P27" s="12">
        <v>49</v>
      </c>
      <c r="Q27" s="13">
        <f t="shared" si="0"/>
        <v>19543.691326530614</v>
      </c>
      <c r="R27" s="13">
        <f t="shared" si="1"/>
        <v>4417.591836734694</v>
      </c>
      <c r="S27" s="14"/>
      <c r="T27" s="12">
        <v>345866</v>
      </c>
      <c r="U27" s="12">
        <v>101091</v>
      </c>
      <c r="V27" s="12">
        <v>68</v>
      </c>
      <c r="W27" s="13">
        <f t="shared" si="2"/>
        <v>15258.794117647059</v>
      </c>
      <c r="X27" s="13">
        <f t="shared" si="3"/>
        <v>4459.8970588235297</v>
      </c>
      <c r="Y27" s="14"/>
      <c r="Z27" s="12">
        <v>294637</v>
      </c>
      <c r="AA27" s="12">
        <v>85254</v>
      </c>
      <c r="AB27" s="12">
        <v>61</v>
      </c>
      <c r="AC27" s="13">
        <f t="shared" si="4"/>
        <v>14490.344262295081</v>
      </c>
      <c r="AD27" s="13">
        <f t="shared" si="5"/>
        <v>4192.8196721311479</v>
      </c>
      <c r="AE27" s="14"/>
      <c r="AF27" s="12">
        <v>296788</v>
      </c>
      <c r="AG27" s="12">
        <v>70015</v>
      </c>
      <c r="AH27" s="12">
        <v>46</v>
      </c>
      <c r="AI27" s="13">
        <f t="shared" si="6"/>
        <v>19355.739130434784</v>
      </c>
      <c r="AJ27" s="13">
        <f t="shared" si="7"/>
        <v>4566.195652173913</v>
      </c>
      <c r="AK27" s="14"/>
      <c r="AL27" s="12">
        <v>321272</v>
      </c>
      <c r="AM27" s="12">
        <v>88523</v>
      </c>
      <c r="AN27" s="12">
        <v>54</v>
      </c>
      <c r="AO27" s="13">
        <f t="shared" si="8"/>
        <v>17848.444444444445</v>
      </c>
      <c r="AP27" s="13">
        <f t="shared" si="9"/>
        <v>4917.9444444444443</v>
      </c>
      <c r="AQ27" s="14"/>
      <c r="AR27" s="12">
        <v>295039</v>
      </c>
      <c r="AS27" s="12">
        <v>81234</v>
      </c>
      <c r="AT27" s="12">
        <v>54</v>
      </c>
      <c r="AU27" s="13">
        <f t="shared" si="10"/>
        <v>16391.055555555555</v>
      </c>
      <c r="AV27" s="13">
        <f t="shared" si="11"/>
        <v>4513</v>
      </c>
      <c r="AW27" s="14"/>
      <c r="AX27" s="12">
        <v>398267</v>
      </c>
      <c r="AY27" s="12">
        <v>93403</v>
      </c>
      <c r="AZ27" s="12">
        <v>64</v>
      </c>
      <c r="BA27" s="13">
        <f t="shared" si="12"/>
        <v>18668.765625</v>
      </c>
      <c r="BB27" s="13">
        <f t="shared" si="13"/>
        <v>4378.265625</v>
      </c>
      <c r="BC27" s="14"/>
      <c r="BD27" s="12">
        <v>464342</v>
      </c>
      <c r="BE27" s="12">
        <v>120159</v>
      </c>
      <c r="BF27" s="12">
        <v>73</v>
      </c>
      <c r="BG27" s="13">
        <f t="shared" si="14"/>
        <v>19082.547945205479</v>
      </c>
      <c r="BH27" s="13">
        <f t="shared" si="15"/>
        <v>4938.0410958904113</v>
      </c>
      <c r="BI27" s="14"/>
      <c r="BJ27" s="12">
        <v>449215</v>
      </c>
      <c r="BK27" s="12">
        <v>127289</v>
      </c>
      <c r="BL27" s="12">
        <v>73</v>
      </c>
      <c r="BM27" s="13">
        <f t="shared" si="16"/>
        <v>18460.890410958906</v>
      </c>
      <c r="BN27" s="13">
        <f t="shared" si="17"/>
        <v>5231.0547945205481</v>
      </c>
      <c r="BO27" s="14"/>
      <c r="BP27" s="12">
        <v>468394</v>
      </c>
      <c r="BQ27" s="12">
        <v>130166</v>
      </c>
      <c r="BR27" s="12">
        <v>70</v>
      </c>
      <c r="BS27" s="13">
        <f t="shared" si="18"/>
        <v>20074.028571428571</v>
      </c>
      <c r="BT27" s="13">
        <f t="shared" si="19"/>
        <v>5578.5428571428574</v>
      </c>
      <c r="BU27" s="14"/>
      <c r="BV27" s="12">
        <v>428533</v>
      </c>
      <c r="BW27" s="12">
        <v>115566</v>
      </c>
      <c r="BX27" s="12">
        <v>72</v>
      </c>
      <c r="BY27" s="13">
        <f t="shared" si="20"/>
        <v>17855.541666666668</v>
      </c>
      <c r="BZ27" s="13">
        <f t="shared" si="21"/>
        <v>4815.25</v>
      </c>
      <c r="CA27" s="14"/>
      <c r="CB27" s="12">
        <v>556518</v>
      </c>
      <c r="CC27" s="12">
        <v>126529</v>
      </c>
      <c r="CD27" s="12">
        <v>76</v>
      </c>
      <c r="CE27" s="13">
        <f t="shared" si="22"/>
        <v>21967.815789473687</v>
      </c>
      <c r="CF27" s="13">
        <f t="shared" si="23"/>
        <v>4994.5657894736842</v>
      </c>
      <c r="CG27" s="14" t="s">
        <v>51</v>
      </c>
      <c r="CH27" s="9">
        <f t="shared" si="24"/>
        <v>386507.05208333331</v>
      </c>
      <c r="CI27" s="9">
        <f t="shared" si="24"/>
        <v>100948.58333333333</v>
      </c>
      <c r="CJ27" s="9">
        <f t="shared" si="25"/>
        <v>760</v>
      </c>
      <c r="CK27" s="10">
        <f t="shared" si="26"/>
        <v>18308.228782894737</v>
      </c>
      <c r="CL27" s="10">
        <f t="shared" si="27"/>
        <v>4781.7749999999996</v>
      </c>
      <c r="CM27" s="11" t="str">
        <f t="shared" si="28"/>
        <v xml:space="preserve"> </v>
      </c>
    </row>
    <row r="28" spans="1:91" x14ac:dyDescent="0.3">
      <c r="A28" s="8" t="s">
        <v>49</v>
      </c>
      <c r="B28" s="9">
        <v>96831.833333333328</v>
      </c>
      <c r="C28" s="9">
        <v>30753.583333333332</v>
      </c>
      <c r="D28" s="9">
        <v>155</v>
      </c>
      <c r="E28" s="10">
        <v>22489.974193548387</v>
      </c>
      <c r="F28" s="10">
        <v>7142.7677419354841</v>
      </c>
      <c r="G28" s="11">
        <v>6.8350000000000009</v>
      </c>
      <c r="H28" s="9">
        <v>85774</v>
      </c>
      <c r="I28" s="9">
        <v>26934.166666666668</v>
      </c>
      <c r="J28" s="9">
        <v>100</v>
      </c>
      <c r="K28" s="10">
        <v>15439.32</v>
      </c>
      <c r="L28" s="10">
        <v>4848.1499999999996</v>
      </c>
      <c r="M28" s="11">
        <v>7.5650000000000004</v>
      </c>
      <c r="N28" s="12"/>
      <c r="O28" s="12"/>
      <c r="P28" s="12"/>
      <c r="Q28" s="13" t="str">
        <f t="shared" si="0"/>
        <v/>
      </c>
      <c r="R28" s="13" t="str">
        <f t="shared" si="1"/>
        <v/>
      </c>
      <c r="S28" s="14"/>
      <c r="T28" s="12"/>
      <c r="U28" s="12"/>
      <c r="V28" s="12"/>
      <c r="W28" s="13" t="str">
        <f t="shared" si="2"/>
        <v/>
      </c>
      <c r="X28" s="13" t="str">
        <f t="shared" si="3"/>
        <v/>
      </c>
      <c r="Y28" s="14"/>
      <c r="Z28" s="12"/>
      <c r="AA28" s="12"/>
      <c r="AB28" s="12"/>
      <c r="AC28" s="13" t="str">
        <f t="shared" si="4"/>
        <v xml:space="preserve"> </v>
      </c>
      <c r="AD28" s="13" t="str">
        <f t="shared" si="5"/>
        <v xml:space="preserve"> </v>
      </c>
      <c r="AE28" s="14"/>
      <c r="AF28" s="12"/>
      <c r="AG28" s="12"/>
      <c r="AH28" s="12"/>
      <c r="AI28" s="13" t="str">
        <f t="shared" si="6"/>
        <v xml:space="preserve"> </v>
      </c>
      <c r="AJ28" s="13" t="str">
        <f t="shared" si="7"/>
        <v xml:space="preserve"> </v>
      </c>
      <c r="AK28" s="14"/>
      <c r="AL28" s="12"/>
      <c r="AM28" s="12"/>
      <c r="AN28" s="12"/>
      <c r="AO28" s="13" t="str">
        <f t="shared" si="8"/>
        <v xml:space="preserve"> </v>
      </c>
      <c r="AP28" s="13" t="str">
        <f t="shared" si="9"/>
        <v xml:space="preserve"> </v>
      </c>
      <c r="AQ28" s="14"/>
      <c r="AR28" s="12"/>
      <c r="AS28" s="12"/>
      <c r="AT28" s="12"/>
      <c r="AU28" s="13" t="str">
        <f t="shared" si="10"/>
        <v xml:space="preserve"> </v>
      </c>
      <c r="AV28" s="13" t="str">
        <f t="shared" si="11"/>
        <v xml:space="preserve"> </v>
      </c>
      <c r="AW28" s="14"/>
      <c r="AX28" s="12"/>
      <c r="AY28" s="12"/>
      <c r="AZ28" s="12"/>
      <c r="BA28" s="13" t="str">
        <f t="shared" si="12"/>
        <v xml:space="preserve"> </v>
      </c>
      <c r="BB28" s="13" t="str">
        <f t="shared" si="13"/>
        <v xml:space="preserve"> </v>
      </c>
      <c r="BC28" s="14"/>
      <c r="BD28" s="12"/>
      <c r="BE28" s="12"/>
      <c r="BF28" s="12"/>
      <c r="BG28" s="13" t="str">
        <f t="shared" si="14"/>
        <v xml:space="preserve"> </v>
      </c>
      <c r="BH28" s="13" t="str">
        <f t="shared" si="15"/>
        <v xml:space="preserve"> </v>
      </c>
      <c r="BI28" s="14"/>
      <c r="BJ28" s="12"/>
      <c r="BK28" s="12"/>
      <c r="BL28" s="12"/>
      <c r="BM28" s="13" t="str">
        <f t="shared" si="16"/>
        <v xml:space="preserve"> </v>
      </c>
      <c r="BN28" s="13" t="str">
        <f t="shared" si="17"/>
        <v xml:space="preserve"> </v>
      </c>
      <c r="BO28" s="14"/>
      <c r="BP28" s="12"/>
      <c r="BQ28" s="12"/>
      <c r="BR28" s="12"/>
      <c r="BS28" s="13" t="str">
        <f t="shared" si="18"/>
        <v xml:space="preserve"> </v>
      </c>
      <c r="BT28" s="13" t="str">
        <f t="shared" si="19"/>
        <v xml:space="preserve"> </v>
      </c>
      <c r="BU28" s="14"/>
      <c r="BV28" s="12"/>
      <c r="BW28" s="12"/>
      <c r="BX28" s="12"/>
      <c r="BY28" s="13" t="str">
        <f t="shared" si="20"/>
        <v xml:space="preserve"> </v>
      </c>
      <c r="BZ28" s="13" t="str">
        <f t="shared" si="21"/>
        <v xml:space="preserve"> </v>
      </c>
      <c r="CA28" s="14"/>
      <c r="CD28" s="12"/>
      <c r="CE28" s="13" t="str">
        <f t="shared" si="22"/>
        <v xml:space="preserve"> </v>
      </c>
      <c r="CF28" s="13" t="str">
        <f t="shared" si="23"/>
        <v xml:space="preserve"> </v>
      </c>
      <c r="CG28" s="14" t="s">
        <v>51</v>
      </c>
      <c r="CH28" s="9" t="str">
        <f t="shared" si="24"/>
        <v xml:space="preserve"> </v>
      </c>
      <c r="CI28" s="9" t="str">
        <f t="shared" si="24"/>
        <v xml:space="preserve"> </v>
      </c>
      <c r="CJ28" s="9">
        <f t="shared" si="25"/>
        <v>0</v>
      </c>
      <c r="CK28" s="10" t="str">
        <f t="shared" si="26"/>
        <v xml:space="preserve"> </v>
      </c>
      <c r="CL28" s="10" t="str">
        <f t="shared" si="27"/>
        <v xml:space="preserve"> </v>
      </c>
      <c r="CM28" s="11" t="str">
        <f t="shared" si="28"/>
        <v xml:space="preserve"> </v>
      </c>
    </row>
    <row r="29" spans="1:91" x14ac:dyDescent="0.3">
      <c r="A29" s="8" t="s">
        <v>50</v>
      </c>
      <c r="B29" s="9">
        <v>4986</v>
      </c>
      <c r="C29" s="9">
        <v>47</v>
      </c>
      <c r="D29" s="9">
        <v>1</v>
      </c>
      <c r="E29" s="10">
        <v>14958</v>
      </c>
      <c r="F29" s="10">
        <v>141</v>
      </c>
      <c r="G29" s="11">
        <v>1.36</v>
      </c>
      <c r="H29" s="9" t="s">
        <v>51</v>
      </c>
      <c r="I29" s="9" t="s">
        <v>51</v>
      </c>
      <c r="J29" s="9"/>
      <c r="K29" s="10" t="s">
        <v>51</v>
      </c>
      <c r="L29" s="10" t="s">
        <v>51</v>
      </c>
      <c r="M29" s="11" t="s">
        <v>51</v>
      </c>
      <c r="N29" s="12"/>
      <c r="O29" s="12"/>
      <c r="P29" s="12"/>
      <c r="Q29" s="13" t="str">
        <f t="shared" si="0"/>
        <v/>
      </c>
      <c r="R29" s="13" t="str">
        <f t="shared" si="1"/>
        <v/>
      </c>
      <c r="S29" s="14"/>
      <c r="T29" s="12"/>
      <c r="U29" s="12"/>
      <c r="V29" s="12"/>
      <c r="W29" s="13" t="str">
        <f t="shared" si="2"/>
        <v/>
      </c>
      <c r="X29" s="13" t="str">
        <f t="shared" si="3"/>
        <v/>
      </c>
      <c r="Y29" s="14"/>
      <c r="Z29" s="12"/>
      <c r="AA29" s="12"/>
      <c r="AB29" s="12"/>
      <c r="AC29" s="13" t="str">
        <f t="shared" si="4"/>
        <v xml:space="preserve"> </v>
      </c>
      <c r="AD29" s="13" t="str">
        <f t="shared" si="5"/>
        <v xml:space="preserve"> </v>
      </c>
      <c r="AE29" s="14"/>
      <c r="AF29" s="12"/>
      <c r="AG29" s="12"/>
      <c r="AH29" s="12"/>
      <c r="AI29" s="13" t="str">
        <f t="shared" si="6"/>
        <v xml:space="preserve"> </v>
      </c>
      <c r="AJ29" s="13" t="str">
        <f t="shared" si="7"/>
        <v xml:space="preserve"> </v>
      </c>
      <c r="AK29" s="14"/>
      <c r="AL29" s="12"/>
      <c r="AM29" s="12"/>
      <c r="AN29" s="12"/>
      <c r="AO29" s="13" t="str">
        <f t="shared" si="8"/>
        <v xml:space="preserve"> </v>
      </c>
      <c r="AP29" s="13" t="str">
        <f t="shared" si="9"/>
        <v xml:space="preserve"> </v>
      </c>
      <c r="AQ29" s="14"/>
      <c r="AR29" s="12"/>
      <c r="AS29" s="12"/>
      <c r="AT29" s="12"/>
      <c r="AU29" s="13" t="str">
        <f t="shared" si="10"/>
        <v xml:space="preserve"> </v>
      </c>
      <c r="AV29" s="13" t="str">
        <f t="shared" si="11"/>
        <v xml:space="preserve"> </v>
      </c>
      <c r="AW29" s="14"/>
      <c r="AX29" s="12"/>
      <c r="AY29" s="12"/>
      <c r="AZ29" s="12"/>
      <c r="BA29" s="13" t="str">
        <f t="shared" si="12"/>
        <v xml:space="preserve"> </v>
      </c>
      <c r="BB29" s="13" t="str">
        <f t="shared" si="13"/>
        <v xml:space="preserve"> </v>
      </c>
      <c r="BC29" s="14"/>
      <c r="BD29" s="12"/>
      <c r="BE29" s="12"/>
      <c r="BF29" s="12"/>
      <c r="BG29" s="13" t="str">
        <f t="shared" si="14"/>
        <v xml:space="preserve"> </v>
      </c>
      <c r="BH29" s="13" t="str">
        <f t="shared" si="15"/>
        <v xml:space="preserve"> </v>
      </c>
      <c r="BI29" s="14"/>
      <c r="BJ29" s="12"/>
      <c r="BK29" s="12"/>
      <c r="BL29" s="12"/>
      <c r="BM29" s="13" t="str">
        <f t="shared" si="16"/>
        <v xml:space="preserve"> </v>
      </c>
      <c r="BN29" s="13" t="str">
        <f t="shared" si="17"/>
        <v xml:space="preserve"> </v>
      </c>
      <c r="BO29" s="14"/>
      <c r="BP29" s="12"/>
      <c r="BQ29" s="12"/>
      <c r="BR29" s="12"/>
      <c r="BS29" s="13" t="str">
        <f t="shared" si="18"/>
        <v xml:space="preserve"> </v>
      </c>
      <c r="BT29" s="13" t="str">
        <f t="shared" si="19"/>
        <v xml:space="preserve"> </v>
      </c>
      <c r="BU29" s="14"/>
      <c r="BV29" s="12"/>
      <c r="BW29" s="12"/>
      <c r="BX29" s="12"/>
      <c r="BY29" s="13" t="str">
        <f t="shared" si="20"/>
        <v xml:space="preserve"> </v>
      </c>
      <c r="BZ29" s="13" t="str">
        <f t="shared" si="21"/>
        <v xml:space="preserve"> </v>
      </c>
      <c r="CA29" s="14"/>
      <c r="CD29" s="12"/>
      <c r="CE29" s="13" t="str">
        <f t="shared" si="22"/>
        <v xml:space="preserve"> </v>
      </c>
      <c r="CF29" s="13" t="str">
        <f t="shared" si="23"/>
        <v xml:space="preserve"> </v>
      </c>
      <c r="CG29" s="14" t="s">
        <v>51</v>
      </c>
      <c r="CH29" s="9" t="str">
        <f t="shared" si="24"/>
        <v xml:space="preserve"> </v>
      </c>
      <c r="CI29" s="9" t="str">
        <f t="shared" si="24"/>
        <v xml:space="preserve"> </v>
      </c>
      <c r="CJ29" s="9">
        <f>IFERROR(SUM(P29,V29,AB29,AH29,AN29,AT29,AZ29,BF29,BL29,BR29,BX29,CD29)," ")</f>
        <v>0</v>
      </c>
      <c r="CK29" s="10" t="str">
        <f>IFERROR(SUM(N29,T29,Z29,AF29,AL29,AR29,AX29,BD29,BJ29,BP29,BV29,CB29)/CJ29*3," ")</f>
        <v xml:space="preserve"> </v>
      </c>
      <c r="CL29" s="10" t="str">
        <f>IFERROR(SUM(O29,U29,AA29,AG29,AM29,AS29,AY29,BE29,BK29,BQ29,BW29,CC29)/CJ29*3," ")</f>
        <v xml:space="preserve"> </v>
      </c>
      <c r="CM29" s="11" t="str">
        <f>IFERROR(AVERAGE(S29,Y29,AE29,AK29,AQ29,AW29,BC29,BI29,BO29,BU29,CA29,CG29)," ")</f>
        <v xml:space="preserve"> </v>
      </c>
    </row>
    <row r="30" spans="1:91" x14ac:dyDescent="0.3">
      <c r="A30" s="8" t="s">
        <v>52</v>
      </c>
      <c r="B30" s="9">
        <v>32972.5</v>
      </c>
      <c r="C30" s="9">
        <v>436</v>
      </c>
      <c r="D30" s="9">
        <v>20</v>
      </c>
      <c r="E30" s="10">
        <v>9891.75</v>
      </c>
      <c r="F30" s="10">
        <v>130.80000000000001</v>
      </c>
      <c r="G30" s="11">
        <v>1.58</v>
      </c>
      <c r="H30" s="9" t="s">
        <v>51</v>
      </c>
      <c r="I30" s="9" t="s">
        <v>51</v>
      </c>
      <c r="J30" s="9"/>
      <c r="K30" s="10" t="s">
        <v>51</v>
      </c>
      <c r="L30" s="10" t="s">
        <v>51</v>
      </c>
      <c r="M30" s="11" t="s">
        <v>51</v>
      </c>
      <c r="N30" s="12">
        <v>102241</v>
      </c>
      <c r="O30" s="12">
        <v>3827</v>
      </c>
      <c r="P30" s="12">
        <v>15</v>
      </c>
      <c r="Q30" s="13">
        <f t="shared" si="0"/>
        <v>20448.2</v>
      </c>
      <c r="R30" s="13">
        <f t="shared" si="1"/>
        <v>765.4</v>
      </c>
      <c r="S30" s="14"/>
      <c r="T30" s="12">
        <v>177378</v>
      </c>
      <c r="U30" s="12">
        <v>6335</v>
      </c>
      <c r="V30" s="12">
        <v>39</v>
      </c>
      <c r="W30" s="13">
        <f t="shared" si="2"/>
        <v>13644.461538461537</v>
      </c>
      <c r="X30" s="13">
        <f t="shared" si="3"/>
        <v>487.30769230769226</v>
      </c>
      <c r="Y30" s="14"/>
      <c r="Z30" s="12">
        <v>174080</v>
      </c>
      <c r="AA30" s="12">
        <v>6008</v>
      </c>
      <c r="AB30" s="12">
        <v>28</v>
      </c>
      <c r="AC30" s="13">
        <f t="shared" si="4"/>
        <v>18651.428571428572</v>
      </c>
      <c r="AD30" s="13">
        <f t="shared" si="5"/>
        <v>643.71428571428578</v>
      </c>
      <c r="AE30" s="14"/>
      <c r="AF30" s="12">
        <v>150980</v>
      </c>
      <c r="AG30" s="12">
        <v>5598</v>
      </c>
      <c r="AH30" s="12">
        <v>25</v>
      </c>
      <c r="AI30" s="13">
        <f t="shared" si="6"/>
        <v>18117.599999999999</v>
      </c>
      <c r="AJ30" s="13">
        <f t="shared" si="7"/>
        <v>671.76</v>
      </c>
      <c r="AK30" s="14"/>
      <c r="AL30" s="12">
        <v>249850</v>
      </c>
      <c r="AM30" s="12">
        <v>9551</v>
      </c>
      <c r="AN30" s="12">
        <v>45</v>
      </c>
      <c r="AO30" s="13">
        <f t="shared" si="8"/>
        <v>16656.666666666668</v>
      </c>
      <c r="AP30" s="13">
        <f t="shared" si="9"/>
        <v>636.73333333333335</v>
      </c>
      <c r="AQ30" s="14"/>
      <c r="AR30" s="12">
        <v>260092</v>
      </c>
      <c r="AS30" s="12">
        <v>9297</v>
      </c>
      <c r="AT30" s="12">
        <v>47</v>
      </c>
      <c r="AU30" s="13">
        <f t="shared" si="10"/>
        <v>16601.617021276594</v>
      </c>
      <c r="AV30" s="13">
        <f t="shared" si="11"/>
        <v>593.42553191489355</v>
      </c>
      <c r="AW30" s="14"/>
      <c r="AX30" s="12">
        <v>259140</v>
      </c>
      <c r="AY30" s="12">
        <v>9610</v>
      </c>
      <c r="AZ30" s="12">
        <v>39</v>
      </c>
      <c r="BA30" s="13">
        <f t="shared" si="12"/>
        <v>19933.846153846156</v>
      </c>
      <c r="BB30" s="13">
        <f t="shared" si="13"/>
        <v>739.23076923076928</v>
      </c>
      <c r="BC30" s="14"/>
      <c r="BD30" s="12">
        <v>219560</v>
      </c>
      <c r="BE30" s="12">
        <v>8773</v>
      </c>
      <c r="BF30" s="12">
        <v>36</v>
      </c>
      <c r="BG30" s="13">
        <f t="shared" si="14"/>
        <v>18296.666666666664</v>
      </c>
      <c r="BH30" s="13">
        <f t="shared" si="15"/>
        <v>731.08333333333337</v>
      </c>
      <c r="BI30" s="14"/>
      <c r="BJ30" s="12">
        <v>300106</v>
      </c>
      <c r="BK30" s="12">
        <v>10039</v>
      </c>
      <c r="BL30" s="12">
        <v>52</v>
      </c>
      <c r="BM30" s="13">
        <f t="shared" si="16"/>
        <v>17313.807692307691</v>
      </c>
      <c r="BN30" s="13">
        <f t="shared" si="17"/>
        <v>579.17307692307691</v>
      </c>
      <c r="BO30" s="14"/>
      <c r="BP30" s="12">
        <v>344240</v>
      </c>
      <c r="BQ30" s="12">
        <v>12766</v>
      </c>
      <c r="BR30" s="12">
        <v>56</v>
      </c>
      <c r="BS30" s="13">
        <f t="shared" si="18"/>
        <v>18441.428571428572</v>
      </c>
      <c r="BT30" s="13">
        <f t="shared" si="19"/>
        <v>683.89285714285711</v>
      </c>
      <c r="BU30" s="14"/>
      <c r="BV30" s="12">
        <v>148180</v>
      </c>
      <c r="BW30" s="12">
        <v>4450</v>
      </c>
      <c r="BX30" s="12">
        <v>30</v>
      </c>
      <c r="BY30" s="13">
        <f t="shared" si="20"/>
        <v>14818</v>
      </c>
      <c r="BZ30" s="13">
        <f t="shared" si="21"/>
        <v>445</v>
      </c>
      <c r="CA30" s="14"/>
      <c r="CB30" s="12">
        <v>156616</v>
      </c>
      <c r="CC30" s="12">
        <v>3822</v>
      </c>
      <c r="CD30" s="12">
        <v>38</v>
      </c>
      <c r="CE30" s="13">
        <f t="shared" si="22"/>
        <v>12364.42105263158</v>
      </c>
      <c r="CF30" s="13">
        <f t="shared" si="23"/>
        <v>301.73684210526318</v>
      </c>
      <c r="CG30" s="14" t="s">
        <v>51</v>
      </c>
      <c r="CH30" s="9">
        <f t="shared" si="24"/>
        <v>211871.91666666666</v>
      </c>
      <c r="CI30" s="9">
        <f t="shared" si="24"/>
        <v>7506.333333333333</v>
      </c>
      <c r="CJ30" s="9">
        <f>IFERROR(SUM(P30,V30,AB30,AH30,AN30,AT30,AZ30,BF30,BL30,BR30,BX30,CD30)," ")</f>
        <v>450</v>
      </c>
      <c r="CK30" s="10">
        <f>IFERROR(SUM(N30,T30,Z30,AF30,AL30,AR30,AX30,BD30,BJ30,BP30,BV30,CB30)/CJ30*3," ")</f>
        <v>16949.753333333334</v>
      </c>
      <c r="CL30" s="10">
        <f>IFERROR(SUM(O30,U30,AA30,AG30,AM30,AS30,AY30,BE30,BK30,BQ30,BW30,CC30)/CJ30*3," ")</f>
        <v>600.50666666666666</v>
      </c>
      <c r="CM30" s="11" t="str">
        <f>IFERROR(AVERAGE(S30,Y30,AE30,AK30,AQ30,AW30,BC30,BI30,BO30,BU30,CA30,CG30)," ")</f>
        <v xml:space="preserve"> </v>
      </c>
    </row>
    <row r="31" spans="1:91" x14ac:dyDescent="0.3">
      <c r="A31" s="8" t="s">
        <v>53</v>
      </c>
      <c r="B31" s="9">
        <v>486545.5</v>
      </c>
      <c r="C31" s="9">
        <v>18096.833333333332</v>
      </c>
      <c r="D31" s="9">
        <v>968</v>
      </c>
      <c r="E31" s="10">
        <v>18094.667355371901</v>
      </c>
      <c r="F31" s="10">
        <v>673.02272727272725</v>
      </c>
      <c r="G31" s="11">
        <v>2.6699999999999995</v>
      </c>
      <c r="H31" s="9">
        <v>349902.18181818182</v>
      </c>
      <c r="I31" s="9">
        <v>12596.363636363636</v>
      </c>
      <c r="J31" s="9">
        <v>764</v>
      </c>
      <c r="K31" s="10">
        <v>15113.575916230366</v>
      </c>
      <c r="L31" s="10">
        <v>544.08376963350793</v>
      </c>
      <c r="M31" s="11">
        <v>2.62</v>
      </c>
      <c r="N31" s="12"/>
      <c r="O31" s="12"/>
      <c r="P31" s="12"/>
      <c r="Q31" s="13" t="str">
        <f t="shared" si="0"/>
        <v/>
      </c>
      <c r="R31" s="13" t="str">
        <f t="shared" si="1"/>
        <v/>
      </c>
      <c r="S31" s="14"/>
      <c r="T31" s="12"/>
      <c r="U31" s="12"/>
      <c r="V31" s="12"/>
      <c r="W31" s="13" t="str">
        <f t="shared" si="2"/>
        <v/>
      </c>
      <c r="X31" s="13" t="str">
        <f t="shared" si="3"/>
        <v/>
      </c>
      <c r="Y31" s="14"/>
      <c r="Z31" s="12"/>
      <c r="AA31" s="12"/>
      <c r="AB31" s="12"/>
      <c r="AC31" s="13" t="str">
        <f t="shared" si="4"/>
        <v xml:space="preserve"> </v>
      </c>
      <c r="AD31" s="13" t="str">
        <f t="shared" si="5"/>
        <v xml:space="preserve"> </v>
      </c>
      <c r="AE31" s="14"/>
      <c r="AF31" s="12"/>
      <c r="AG31" s="12"/>
      <c r="AH31" s="12"/>
      <c r="AI31" s="13" t="str">
        <f t="shared" si="6"/>
        <v xml:space="preserve"> </v>
      </c>
      <c r="AJ31" s="13" t="str">
        <f t="shared" si="7"/>
        <v xml:space="preserve"> </v>
      </c>
      <c r="AK31" s="14"/>
      <c r="AL31" s="12"/>
      <c r="AM31" s="12"/>
      <c r="AN31" s="12"/>
      <c r="AO31" s="13" t="str">
        <f t="shared" si="8"/>
        <v xml:space="preserve"> </v>
      </c>
      <c r="AP31" s="13" t="str">
        <f t="shared" si="9"/>
        <v xml:space="preserve"> </v>
      </c>
      <c r="AQ31" s="14"/>
      <c r="AR31" s="12"/>
      <c r="AS31" s="12"/>
      <c r="AT31" s="12"/>
      <c r="AU31" s="13" t="str">
        <f t="shared" si="10"/>
        <v xml:space="preserve"> </v>
      </c>
      <c r="AV31" s="13" t="str">
        <f t="shared" si="11"/>
        <v xml:space="preserve"> </v>
      </c>
      <c r="AW31" s="14"/>
      <c r="AX31" s="12"/>
      <c r="AY31" s="12"/>
      <c r="AZ31" s="12"/>
      <c r="BA31" s="13" t="str">
        <f t="shared" si="12"/>
        <v xml:space="preserve"> </v>
      </c>
      <c r="BB31" s="13" t="str">
        <f t="shared" si="13"/>
        <v xml:space="preserve"> </v>
      </c>
      <c r="BC31" s="14"/>
      <c r="BD31" s="12"/>
      <c r="BE31" s="12"/>
      <c r="BF31" s="12"/>
      <c r="BG31" s="13" t="str">
        <f t="shared" si="14"/>
        <v xml:space="preserve"> </v>
      </c>
      <c r="BH31" s="13" t="str">
        <f t="shared" si="15"/>
        <v xml:space="preserve"> </v>
      </c>
      <c r="BI31" s="14"/>
      <c r="BJ31" s="12"/>
      <c r="BK31" s="12"/>
      <c r="BL31" s="12"/>
      <c r="BM31" s="13" t="str">
        <f t="shared" si="16"/>
        <v xml:space="preserve"> </v>
      </c>
      <c r="BN31" s="13" t="str">
        <f t="shared" si="17"/>
        <v xml:space="preserve"> </v>
      </c>
      <c r="BO31" s="14"/>
      <c r="BP31" s="12"/>
      <c r="BQ31" s="12"/>
      <c r="BR31" s="12"/>
      <c r="BS31" s="13" t="str">
        <f t="shared" si="18"/>
        <v xml:space="preserve"> </v>
      </c>
      <c r="BT31" s="13" t="str">
        <f t="shared" si="19"/>
        <v xml:space="preserve"> </v>
      </c>
      <c r="BU31" s="14"/>
      <c r="BV31" s="12"/>
      <c r="BW31" s="12"/>
      <c r="BX31" s="12"/>
      <c r="BY31" s="13" t="str">
        <f t="shared" si="20"/>
        <v xml:space="preserve"> </v>
      </c>
      <c r="BZ31" s="13" t="str">
        <f t="shared" si="21"/>
        <v xml:space="preserve"> </v>
      </c>
      <c r="CA31" s="14"/>
      <c r="CD31" s="12"/>
      <c r="CE31" s="13" t="str">
        <f t="shared" si="22"/>
        <v xml:space="preserve"> </v>
      </c>
      <c r="CF31" s="13" t="str">
        <f t="shared" si="23"/>
        <v xml:space="preserve"> </v>
      </c>
      <c r="CG31" s="14" t="s">
        <v>51</v>
      </c>
      <c r="CH31" s="9" t="str">
        <f t="shared" si="24"/>
        <v xml:space="preserve"> </v>
      </c>
      <c r="CI31" s="9" t="str">
        <f t="shared" si="24"/>
        <v xml:space="preserve"> </v>
      </c>
      <c r="CJ31" s="9">
        <f>IFERROR(SUM(P31,V31,AB31,AH31,AN31,AT31,AZ31,BF31,BL31,BR31,BX31,CD31)," ")</f>
        <v>0</v>
      </c>
      <c r="CK31" s="10" t="str">
        <f>IFERROR(SUM(N31,T31,Z31,AF31,AL31,AR31,AX31,BD31,BJ31,BP31,BV31,CB31)/CJ31*3," ")</f>
        <v xml:space="preserve"> </v>
      </c>
      <c r="CL31" s="10" t="str">
        <f>IFERROR(SUM(O31,U31,AA31,AG31,AM31,AS31,AY31,BE31,BK31,BQ31,BW31,CC31)/CJ31*3," ")</f>
        <v xml:space="preserve"> </v>
      </c>
      <c r="CM31" s="11" t="str">
        <f>IFERROR(AVERAGE(S31,Y31,AE31,AK31,AQ31,AW31,BC31,BI31,BO31,BU31,CA31,CG31)," ")</f>
        <v xml:space="preserve"> </v>
      </c>
    </row>
    <row r="32" spans="1:91" x14ac:dyDescent="0.3">
      <c r="A32" s="8" t="s">
        <v>54</v>
      </c>
      <c r="B32" s="9">
        <v>309460.41666666669</v>
      </c>
      <c r="C32" s="9">
        <v>4818.916666666667</v>
      </c>
      <c r="D32" s="9">
        <v>905</v>
      </c>
      <c r="E32" s="10">
        <v>12310.02762430939</v>
      </c>
      <c r="F32" s="10">
        <v>191.69171270718232</v>
      </c>
      <c r="G32" s="11">
        <v>1.756666666666667</v>
      </c>
      <c r="H32" s="9">
        <v>219399.54545454544</v>
      </c>
      <c r="I32" s="9">
        <v>3240.4545454545455</v>
      </c>
      <c r="J32" s="9">
        <v>648</v>
      </c>
      <c r="K32" s="10">
        <v>11173.125</v>
      </c>
      <c r="L32" s="10">
        <v>165.02314814814815</v>
      </c>
      <c r="M32" s="11">
        <v>1.6963636363636363</v>
      </c>
      <c r="N32" s="12">
        <v>83626</v>
      </c>
      <c r="O32" s="12">
        <v>1409</v>
      </c>
      <c r="P32" s="12">
        <v>15</v>
      </c>
      <c r="Q32" s="13">
        <f t="shared" si="0"/>
        <v>16725.2</v>
      </c>
      <c r="R32" s="13">
        <f t="shared" si="1"/>
        <v>281.8</v>
      </c>
      <c r="S32" s="14"/>
      <c r="T32" s="12"/>
      <c r="U32" s="12"/>
      <c r="V32" s="12"/>
      <c r="W32" s="13" t="str">
        <f t="shared" si="2"/>
        <v/>
      </c>
      <c r="X32" s="13" t="str">
        <f t="shared" si="3"/>
        <v/>
      </c>
      <c r="Y32" s="14"/>
      <c r="Z32" s="12"/>
      <c r="AA32" s="12"/>
      <c r="AB32" s="12"/>
      <c r="AC32" s="13" t="str">
        <f t="shared" si="4"/>
        <v xml:space="preserve"> </v>
      </c>
      <c r="AD32" s="13" t="str">
        <f t="shared" si="5"/>
        <v xml:space="preserve"> </v>
      </c>
      <c r="AE32" s="14"/>
      <c r="AF32" s="12"/>
      <c r="AG32" s="12"/>
      <c r="AH32" s="12"/>
      <c r="AI32" s="13" t="str">
        <f t="shared" si="6"/>
        <v xml:space="preserve"> </v>
      </c>
      <c r="AJ32" s="13" t="str">
        <f t="shared" si="7"/>
        <v xml:space="preserve"> </v>
      </c>
      <c r="AK32" s="14"/>
      <c r="AL32" s="12"/>
      <c r="AM32" s="12"/>
      <c r="AN32" s="12"/>
      <c r="AO32" s="13" t="str">
        <f t="shared" si="8"/>
        <v xml:space="preserve"> </v>
      </c>
      <c r="AP32" s="13" t="str">
        <f t="shared" si="9"/>
        <v xml:space="preserve"> </v>
      </c>
      <c r="AQ32" s="14"/>
      <c r="AR32" s="12"/>
      <c r="AS32" s="12"/>
      <c r="AT32" s="12"/>
      <c r="AU32" s="13" t="str">
        <f t="shared" si="10"/>
        <v xml:space="preserve"> </v>
      </c>
      <c r="AV32" s="13" t="str">
        <f t="shared" si="11"/>
        <v xml:space="preserve"> </v>
      </c>
      <c r="AW32" s="14"/>
      <c r="AX32" s="12">
        <v>1061</v>
      </c>
      <c r="AY32" s="12">
        <v>18</v>
      </c>
      <c r="AZ32" s="12">
        <v>1</v>
      </c>
      <c r="BA32" s="13">
        <f t="shared" si="12"/>
        <v>3183</v>
      </c>
      <c r="BB32" s="13">
        <f t="shared" si="13"/>
        <v>54</v>
      </c>
      <c r="BC32" s="14"/>
      <c r="BD32" s="12">
        <v>47054</v>
      </c>
      <c r="BE32" s="12">
        <v>721</v>
      </c>
      <c r="BF32" s="12">
        <v>9</v>
      </c>
      <c r="BG32" s="13">
        <f t="shared" si="14"/>
        <v>15684.666666666668</v>
      </c>
      <c r="BH32" s="13">
        <f t="shared" si="15"/>
        <v>240.33333333333334</v>
      </c>
      <c r="BI32" s="14"/>
      <c r="BJ32" s="12">
        <v>26208</v>
      </c>
      <c r="BK32" s="12">
        <v>394</v>
      </c>
      <c r="BL32" s="12">
        <v>2</v>
      </c>
      <c r="BM32" s="13">
        <f t="shared" si="16"/>
        <v>39312</v>
      </c>
      <c r="BN32" s="13">
        <f t="shared" si="17"/>
        <v>591</v>
      </c>
      <c r="BO32" s="14"/>
      <c r="BP32" s="12">
        <v>14297</v>
      </c>
      <c r="BQ32" s="12">
        <v>251</v>
      </c>
      <c r="BR32" s="12">
        <v>3</v>
      </c>
      <c r="BS32" s="13">
        <f t="shared" si="18"/>
        <v>14297</v>
      </c>
      <c r="BT32" s="13">
        <f t="shared" si="19"/>
        <v>251</v>
      </c>
      <c r="BU32" s="14"/>
      <c r="BV32" s="12">
        <v>38352</v>
      </c>
      <c r="BW32" s="12">
        <v>972</v>
      </c>
      <c r="BX32" s="12">
        <v>4</v>
      </c>
      <c r="BY32" s="13">
        <f t="shared" si="20"/>
        <v>28764</v>
      </c>
      <c r="BZ32" s="13">
        <f t="shared" si="21"/>
        <v>729</v>
      </c>
      <c r="CA32" s="14"/>
      <c r="CB32" s="12">
        <v>63536</v>
      </c>
      <c r="CC32" s="12">
        <v>1078</v>
      </c>
      <c r="CD32" s="12">
        <v>13</v>
      </c>
      <c r="CE32" s="13">
        <f t="shared" si="22"/>
        <v>14662.153846153846</v>
      </c>
      <c r="CF32" s="13">
        <f t="shared" si="23"/>
        <v>248.76923076923077</v>
      </c>
      <c r="CG32" s="14" t="s">
        <v>51</v>
      </c>
      <c r="CH32" s="9">
        <f t="shared" si="24"/>
        <v>39162</v>
      </c>
      <c r="CI32" s="9">
        <f t="shared" si="24"/>
        <v>691.85714285714289</v>
      </c>
      <c r="CJ32" s="9">
        <f t="shared" si="25"/>
        <v>47</v>
      </c>
      <c r="CK32" s="10">
        <f t="shared" si="26"/>
        <v>17497.91489361702</v>
      </c>
      <c r="CL32" s="10">
        <f t="shared" si="27"/>
        <v>309.12765957446811</v>
      </c>
      <c r="CM32" s="11" t="str">
        <f t="shared" si="28"/>
        <v xml:space="preserve"> </v>
      </c>
    </row>
    <row r="33" spans="1:91" x14ac:dyDescent="0.3">
      <c r="A33" s="8" t="s">
        <v>55</v>
      </c>
      <c r="B33" s="9">
        <v>326607.66666666669</v>
      </c>
      <c r="C33" s="9">
        <v>23422.833333333332</v>
      </c>
      <c r="D33" s="9">
        <v>936</v>
      </c>
      <c r="E33" s="10">
        <v>12561.833333333332</v>
      </c>
      <c r="F33" s="10">
        <v>900.87820512820508</v>
      </c>
      <c r="G33" s="11">
        <v>3.7841666666666662</v>
      </c>
      <c r="H33" s="9">
        <v>254519</v>
      </c>
      <c r="I33" s="9">
        <v>20573.090909090908</v>
      </c>
      <c r="J33" s="9">
        <v>736</v>
      </c>
      <c r="K33" s="10">
        <v>11411.857336956522</v>
      </c>
      <c r="L33" s="10">
        <v>922.43478260869551</v>
      </c>
      <c r="M33" s="11">
        <v>3.9863636363636363</v>
      </c>
      <c r="N33" s="12">
        <v>172336</v>
      </c>
      <c r="O33" s="12">
        <v>11563</v>
      </c>
      <c r="P33" s="12">
        <v>41</v>
      </c>
      <c r="Q33" s="13">
        <f t="shared" si="0"/>
        <v>12609.951219512193</v>
      </c>
      <c r="R33" s="13">
        <f t="shared" si="1"/>
        <v>846.07317073170725</v>
      </c>
      <c r="S33" s="14"/>
      <c r="T33" s="12">
        <v>243846</v>
      </c>
      <c r="U33" s="12">
        <v>19857</v>
      </c>
      <c r="V33" s="12">
        <v>60</v>
      </c>
      <c r="W33" s="13">
        <f t="shared" si="2"/>
        <v>12192.3</v>
      </c>
      <c r="X33" s="13">
        <f t="shared" si="3"/>
        <v>992.84999999999991</v>
      </c>
      <c r="Y33" s="14"/>
      <c r="Z33" s="12">
        <v>226664</v>
      </c>
      <c r="AA33" s="12">
        <v>14456</v>
      </c>
      <c r="AB33" s="12">
        <v>54</v>
      </c>
      <c r="AC33" s="13">
        <f t="shared" si="4"/>
        <v>12592.444444444445</v>
      </c>
      <c r="AD33" s="13">
        <f t="shared" si="5"/>
        <v>803.11111111111109</v>
      </c>
      <c r="AE33" s="14"/>
      <c r="AF33" s="12">
        <v>180632</v>
      </c>
      <c r="AG33" s="12">
        <v>16282</v>
      </c>
      <c r="AH33" s="12">
        <v>35</v>
      </c>
      <c r="AI33" s="13">
        <f t="shared" si="6"/>
        <v>15482.742857142857</v>
      </c>
      <c r="AJ33" s="13">
        <f t="shared" si="7"/>
        <v>1395.6</v>
      </c>
      <c r="AK33" s="14"/>
      <c r="AL33" s="12">
        <v>254408</v>
      </c>
      <c r="AM33" s="12">
        <v>25121</v>
      </c>
      <c r="AN33" s="12">
        <v>57</v>
      </c>
      <c r="AO33" s="13">
        <f t="shared" si="8"/>
        <v>13389.894736842107</v>
      </c>
      <c r="AP33" s="13">
        <f t="shared" si="9"/>
        <v>1322.1578947368421</v>
      </c>
      <c r="AQ33" s="14"/>
      <c r="AR33" s="12">
        <v>119979</v>
      </c>
      <c r="AS33" s="12">
        <v>13845</v>
      </c>
      <c r="AT33" s="12">
        <v>35</v>
      </c>
      <c r="AU33" s="13">
        <f t="shared" si="10"/>
        <v>10283.914285714285</v>
      </c>
      <c r="AV33" s="13">
        <f t="shared" si="11"/>
        <v>1186.7142857142858</v>
      </c>
      <c r="AW33" s="14"/>
      <c r="AX33" s="12">
        <v>241387</v>
      </c>
      <c r="AY33" s="12">
        <v>18591</v>
      </c>
      <c r="AZ33" s="12">
        <v>62</v>
      </c>
      <c r="BA33" s="13">
        <f t="shared" si="12"/>
        <v>11680.016129032258</v>
      </c>
      <c r="BB33" s="13">
        <f t="shared" si="13"/>
        <v>899.56451612903231</v>
      </c>
      <c r="BC33" s="14"/>
      <c r="BD33" s="12">
        <v>236146</v>
      </c>
      <c r="BE33" s="12">
        <v>22233</v>
      </c>
      <c r="BF33" s="12">
        <v>61</v>
      </c>
      <c r="BG33" s="13">
        <f t="shared" si="14"/>
        <v>11613.737704918032</v>
      </c>
      <c r="BH33" s="13">
        <f t="shared" si="15"/>
        <v>1093.4262295081967</v>
      </c>
      <c r="BI33" s="14"/>
      <c r="BJ33" s="12">
        <v>266602</v>
      </c>
      <c r="BK33" s="12">
        <v>18351</v>
      </c>
      <c r="BL33" s="12">
        <v>67</v>
      </c>
      <c r="BM33" s="13">
        <f t="shared" si="16"/>
        <v>11937.402985074626</v>
      </c>
      <c r="BN33" s="13">
        <f t="shared" si="17"/>
        <v>821.68656716417911</v>
      </c>
      <c r="BO33" s="14"/>
      <c r="BP33" s="12">
        <v>285232</v>
      </c>
      <c r="BQ33" s="12">
        <v>25204</v>
      </c>
      <c r="BR33" s="12">
        <v>74</v>
      </c>
      <c r="BS33" s="13">
        <f t="shared" si="18"/>
        <v>11563.45945945946</v>
      </c>
      <c r="BT33" s="13">
        <f t="shared" si="19"/>
        <v>1021.7837837837837</v>
      </c>
      <c r="BU33" s="14"/>
      <c r="BV33" s="12">
        <v>244477</v>
      </c>
      <c r="BW33" s="12">
        <v>21511</v>
      </c>
      <c r="BX33" s="12">
        <v>64</v>
      </c>
      <c r="BY33" s="13">
        <f t="shared" si="20"/>
        <v>11459.859375</v>
      </c>
      <c r="BZ33" s="13">
        <f t="shared" si="21"/>
        <v>1008.328125</v>
      </c>
      <c r="CA33" s="14"/>
      <c r="CB33" s="12">
        <v>187841</v>
      </c>
      <c r="CC33" s="12">
        <v>15320</v>
      </c>
      <c r="CD33" s="12">
        <v>39</v>
      </c>
      <c r="CE33" s="13">
        <f t="shared" si="22"/>
        <v>14449.307692307691</v>
      </c>
      <c r="CF33" s="13">
        <f t="shared" si="23"/>
        <v>1178.4615384615386</v>
      </c>
      <c r="CG33" s="14" t="s">
        <v>51</v>
      </c>
      <c r="CH33" s="9">
        <f t="shared" si="24"/>
        <v>221629.16666666666</v>
      </c>
      <c r="CI33" s="9">
        <f t="shared" si="24"/>
        <v>18527.833333333332</v>
      </c>
      <c r="CJ33" s="9">
        <f t="shared" si="25"/>
        <v>649</v>
      </c>
      <c r="CK33" s="10">
        <f t="shared" si="26"/>
        <v>12293.759630200309</v>
      </c>
      <c r="CL33" s="10">
        <f t="shared" si="27"/>
        <v>1027.738058551618</v>
      </c>
      <c r="CM33" s="11" t="str">
        <f t="shared" si="28"/>
        <v xml:space="preserve"> </v>
      </c>
    </row>
    <row r="34" spans="1:91" x14ac:dyDescent="0.3">
      <c r="A34" s="8" t="s">
        <v>56</v>
      </c>
      <c r="B34" s="9">
        <v>305670.08333333331</v>
      </c>
      <c r="C34" s="9">
        <v>4541.083333333333</v>
      </c>
      <c r="D34" s="9">
        <v>895</v>
      </c>
      <c r="E34" s="10">
        <v>12295.109497206704</v>
      </c>
      <c r="F34" s="10">
        <v>182.65810055865921</v>
      </c>
      <c r="G34" s="11">
        <v>1.7216666666666667</v>
      </c>
      <c r="H34" s="9">
        <v>220806.18181818182</v>
      </c>
      <c r="I34" s="9">
        <v>3558.090909090909</v>
      </c>
      <c r="J34" s="9">
        <v>655</v>
      </c>
      <c r="K34" s="10">
        <v>11124.586259541984</v>
      </c>
      <c r="L34" s="10">
        <v>179.26259541984734</v>
      </c>
      <c r="M34" s="11">
        <v>1.7890909090909091</v>
      </c>
      <c r="N34" s="12">
        <v>65328</v>
      </c>
      <c r="O34" s="12">
        <v>852</v>
      </c>
      <c r="P34" s="12">
        <v>8</v>
      </c>
      <c r="Q34" s="13">
        <f t="shared" si="0"/>
        <v>24498</v>
      </c>
      <c r="R34" s="13">
        <f t="shared" si="1"/>
        <v>319.5</v>
      </c>
      <c r="S34" s="14"/>
      <c r="T34" s="12"/>
      <c r="U34" s="12"/>
      <c r="V34" s="12"/>
      <c r="W34" s="13" t="str">
        <f t="shared" si="2"/>
        <v/>
      </c>
      <c r="X34" s="13" t="str">
        <f t="shared" si="3"/>
        <v/>
      </c>
      <c r="Y34" s="14"/>
      <c r="Z34" s="12"/>
      <c r="AA34" s="12"/>
      <c r="AB34" s="12"/>
      <c r="AC34" s="13" t="str">
        <f t="shared" si="4"/>
        <v xml:space="preserve"> </v>
      </c>
      <c r="AD34" s="13" t="str">
        <f t="shared" si="5"/>
        <v xml:space="preserve"> </v>
      </c>
      <c r="AE34" s="14"/>
      <c r="AF34" s="12"/>
      <c r="AG34" s="12"/>
      <c r="AH34" s="12"/>
      <c r="AI34" s="13" t="str">
        <f t="shared" si="6"/>
        <v xml:space="preserve"> </v>
      </c>
      <c r="AJ34" s="13" t="str">
        <f t="shared" si="7"/>
        <v xml:space="preserve"> </v>
      </c>
      <c r="AK34" s="14"/>
      <c r="AL34" s="12"/>
      <c r="AM34" s="12"/>
      <c r="AN34" s="12"/>
      <c r="AO34" s="13" t="str">
        <f t="shared" si="8"/>
        <v xml:space="preserve"> </v>
      </c>
      <c r="AP34" s="13" t="str">
        <f t="shared" si="9"/>
        <v xml:space="preserve"> </v>
      </c>
      <c r="AQ34" s="14"/>
      <c r="AR34" s="12"/>
      <c r="AS34" s="12"/>
      <c r="AT34" s="12"/>
      <c r="AU34" s="13" t="str">
        <f t="shared" si="10"/>
        <v xml:space="preserve"> </v>
      </c>
      <c r="AV34" s="13" t="str">
        <f t="shared" si="11"/>
        <v xml:space="preserve"> </v>
      </c>
      <c r="AW34" s="14"/>
      <c r="AX34" s="12"/>
      <c r="AY34" s="12"/>
      <c r="AZ34" s="12"/>
      <c r="BA34" s="13" t="str">
        <f t="shared" si="12"/>
        <v xml:space="preserve"> </v>
      </c>
      <c r="BB34" s="13" t="str">
        <f t="shared" si="13"/>
        <v xml:space="preserve"> </v>
      </c>
      <c r="BC34" s="14"/>
      <c r="BD34" s="12"/>
      <c r="BE34" s="12"/>
      <c r="BF34" s="12"/>
      <c r="BG34" s="13" t="str">
        <f t="shared" si="14"/>
        <v xml:space="preserve"> </v>
      </c>
      <c r="BH34" s="13" t="str">
        <f t="shared" si="15"/>
        <v xml:space="preserve"> </v>
      </c>
      <c r="BI34" s="14"/>
      <c r="BJ34" s="12"/>
      <c r="BK34" s="12"/>
      <c r="BL34" s="12"/>
      <c r="BM34" s="13" t="str">
        <f t="shared" si="16"/>
        <v xml:space="preserve"> </v>
      </c>
      <c r="BN34" s="13" t="str">
        <f t="shared" si="17"/>
        <v xml:space="preserve"> </v>
      </c>
      <c r="BO34" s="14"/>
      <c r="BP34" s="12"/>
      <c r="BQ34" s="12"/>
      <c r="BR34" s="12"/>
      <c r="BS34" s="13" t="str">
        <f t="shared" si="18"/>
        <v xml:space="preserve"> </v>
      </c>
      <c r="BT34" s="13" t="str">
        <f t="shared" si="19"/>
        <v xml:space="preserve"> </v>
      </c>
      <c r="BU34" s="14"/>
      <c r="BV34" s="12"/>
      <c r="BW34" s="12"/>
      <c r="BX34" s="12"/>
      <c r="BY34" s="13" t="str">
        <f t="shared" si="20"/>
        <v xml:space="preserve"> </v>
      </c>
      <c r="BZ34" s="13" t="str">
        <f t="shared" si="21"/>
        <v xml:space="preserve"> </v>
      </c>
      <c r="CA34" s="14"/>
      <c r="CD34" s="12"/>
      <c r="CE34" s="13" t="str">
        <f t="shared" si="22"/>
        <v xml:space="preserve"> </v>
      </c>
      <c r="CF34" s="13" t="str">
        <f t="shared" si="23"/>
        <v xml:space="preserve"> </v>
      </c>
      <c r="CG34" s="14" t="s">
        <v>51</v>
      </c>
      <c r="CH34" s="9">
        <f t="shared" si="24"/>
        <v>65328</v>
      </c>
      <c r="CI34" s="9">
        <f t="shared" si="24"/>
        <v>852</v>
      </c>
      <c r="CJ34" s="9">
        <f t="shared" si="25"/>
        <v>8</v>
      </c>
      <c r="CK34" s="10">
        <f t="shared" si="26"/>
        <v>24498</v>
      </c>
      <c r="CL34" s="10">
        <f t="shared" si="27"/>
        <v>319.5</v>
      </c>
      <c r="CM34" s="11" t="str">
        <f t="shared" si="28"/>
        <v xml:space="preserve"> </v>
      </c>
    </row>
    <row r="35" spans="1:91" x14ac:dyDescent="0.3">
      <c r="A35" s="8" t="s">
        <v>57</v>
      </c>
      <c r="B35" s="9">
        <v>303234</v>
      </c>
      <c r="C35" s="9">
        <v>30330.666666666668</v>
      </c>
      <c r="D35" s="9">
        <v>930</v>
      </c>
      <c r="E35" s="10">
        <v>11738.090322580645</v>
      </c>
      <c r="F35" s="10">
        <v>1174.0903225806451</v>
      </c>
      <c r="G35" s="11">
        <v>4.4333333333333336</v>
      </c>
      <c r="H35" s="9">
        <v>197276.45454545456</v>
      </c>
      <c r="I35" s="9">
        <v>18801.81818181818</v>
      </c>
      <c r="J35" s="9">
        <v>581</v>
      </c>
      <c r="K35" s="10">
        <v>11205.030981067126</v>
      </c>
      <c r="L35" s="10">
        <v>1067.9173838209983</v>
      </c>
      <c r="M35" s="11">
        <v>4.2163636363636368</v>
      </c>
      <c r="N35" s="12">
        <v>121151.5</v>
      </c>
      <c r="O35" s="12">
        <v>11348</v>
      </c>
      <c r="P35" s="12">
        <v>32</v>
      </c>
      <c r="Q35" s="13">
        <f t="shared" si="0"/>
        <v>11357.953125</v>
      </c>
      <c r="R35" s="13">
        <f t="shared" si="1"/>
        <v>1063.875</v>
      </c>
      <c r="S35" s="14"/>
      <c r="T35" s="12">
        <v>249024</v>
      </c>
      <c r="U35" s="12">
        <v>23791</v>
      </c>
      <c r="V35" s="12">
        <v>61</v>
      </c>
      <c r="W35" s="13">
        <f t="shared" si="2"/>
        <v>12247.081967213115</v>
      </c>
      <c r="X35" s="13">
        <f t="shared" si="3"/>
        <v>1170.0491803278687</v>
      </c>
      <c r="Y35" s="14"/>
      <c r="Z35" s="12">
        <v>305488</v>
      </c>
      <c r="AA35" s="12">
        <v>28917</v>
      </c>
      <c r="AB35" s="12">
        <v>61</v>
      </c>
      <c r="AC35" s="13">
        <f t="shared" si="4"/>
        <v>15024</v>
      </c>
      <c r="AD35" s="13">
        <f t="shared" si="5"/>
        <v>1422.1475409836066</v>
      </c>
      <c r="AE35" s="14"/>
      <c r="AF35" s="12">
        <v>81145</v>
      </c>
      <c r="AG35" s="12">
        <v>7360</v>
      </c>
      <c r="AH35" s="12">
        <v>24</v>
      </c>
      <c r="AI35" s="13">
        <f t="shared" si="6"/>
        <v>10143.125</v>
      </c>
      <c r="AJ35" s="13">
        <f t="shared" si="7"/>
        <v>920</v>
      </c>
      <c r="AK35" s="14"/>
      <c r="AL35" s="12">
        <v>289550</v>
      </c>
      <c r="AM35" s="12">
        <v>26061</v>
      </c>
      <c r="AN35" s="12">
        <v>68</v>
      </c>
      <c r="AO35" s="13">
        <f t="shared" si="8"/>
        <v>12774.264705882353</v>
      </c>
      <c r="AP35" s="13">
        <f t="shared" si="9"/>
        <v>1149.75</v>
      </c>
      <c r="AQ35" s="14"/>
      <c r="AR35" s="12">
        <v>220284</v>
      </c>
      <c r="AS35" s="12">
        <v>21554</v>
      </c>
      <c r="AT35" s="12">
        <v>54</v>
      </c>
      <c r="AU35" s="13">
        <f t="shared" si="10"/>
        <v>12238</v>
      </c>
      <c r="AV35" s="13">
        <f t="shared" si="11"/>
        <v>1197.4444444444443</v>
      </c>
      <c r="AW35" s="14"/>
      <c r="AX35" s="12">
        <v>224117</v>
      </c>
      <c r="AY35" s="12">
        <v>23657</v>
      </c>
      <c r="AZ35" s="12">
        <v>70</v>
      </c>
      <c r="BA35" s="13">
        <f t="shared" si="12"/>
        <v>9605.0142857142855</v>
      </c>
      <c r="BB35" s="13">
        <f t="shared" si="13"/>
        <v>1013.8714285714286</v>
      </c>
      <c r="BC35" s="14"/>
      <c r="BD35" s="12">
        <v>235081</v>
      </c>
      <c r="BE35" s="12">
        <v>23411</v>
      </c>
      <c r="BF35" s="12">
        <v>59</v>
      </c>
      <c r="BG35" s="13">
        <f t="shared" si="14"/>
        <v>11953.271186440677</v>
      </c>
      <c r="BH35" s="13">
        <f t="shared" si="15"/>
        <v>1190.3898305084747</v>
      </c>
      <c r="BI35" s="14"/>
      <c r="BJ35" s="12">
        <v>298255</v>
      </c>
      <c r="BK35" s="12">
        <v>31525</v>
      </c>
      <c r="BL35" s="12">
        <v>68</v>
      </c>
      <c r="BM35" s="13">
        <f t="shared" si="16"/>
        <v>13158.308823529411</v>
      </c>
      <c r="BN35" s="13">
        <f t="shared" si="17"/>
        <v>1390.8088235294117</v>
      </c>
      <c r="BO35" s="14"/>
      <c r="BP35" s="12">
        <v>317907</v>
      </c>
      <c r="BQ35" s="12">
        <v>23860</v>
      </c>
      <c r="BR35" s="12">
        <v>72</v>
      </c>
      <c r="BS35" s="13">
        <f t="shared" si="18"/>
        <v>13246.125</v>
      </c>
      <c r="BT35" s="13">
        <f t="shared" si="19"/>
        <v>994.16666666666674</v>
      </c>
      <c r="BU35" s="14"/>
      <c r="BV35" s="12">
        <v>303080</v>
      </c>
      <c r="BW35" s="12">
        <v>31031</v>
      </c>
      <c r="BX35" s="12">
        <v>67</v>
      </c>
      <c r="BY35" s="13">
        <f t="shared" si="20"/>
        <v>13570.746268656716</v>
      </c>
      <c r="BZ35" s="13">
        <f t="shared" si="21"/>
        <v>1389.4477611940297</v>
      </c>
      <c r="CA35" s="14"/>
      <c r="CB35" s="12">
        <v>264949</v>
      </c>
      <c r="CC35" s="12">
        <v>26949</v>
      </c>
      <c r="CD35" s="12">
        <v>63</v>
      </c>
      <c r="CE35" s="13">
        <f t="shared" si="22"/>
        <v>12616.61904761905</v>
      </c>
      <c r="CF35" s="13">
        <f t="shared" si="23"/>
        <v>1283.2857142857142</v>
      </c>
      <c r="CG35" s="14" t="s">
        <v>51</v>
      </c>
      <c r="CH35" s="9">
        <f t="shared" si="24"/>
        <v>242502.625</v>
      </c>
      <c r="CI35" s="9">
        <f t="shared" si="24"/>
        <v>23288.666666666668</v>
      </c>
      <c r="CJ35" s="9">
        <f t="shared" si="25"/>
        <v>699</v>
      </c>
      <c r="CK35" s="10">
        <f t="shared" si="26"/>
        <v>12489.405579399143</v>
      </c>
      <c r="CL35" s="10">
        <f t="shared" si="27"/>
        <v>1199.4163090128754</v>
      </c>
      <c r="CM35" s="11" t="str">
        <f t="shared" si="28"/>
        <v xml:space="preserve"> </v>
      </c>
    </row>
    <row r="36" spans="1:91" x14ac:dyDescent="0.3">
      <c r="A36" s="8" t="s">
        <v>58</v>
      </c>
      <c r="B36" s="9">
        <v>68936.75</v>
      </c>
      <c r="C36" s="9">
        <v>4466.25</v>
      </c>
      <c r="D36" s="9">
        <v>139</v>
      </c>
      <c r="E36" s="10">
        <v>11902.74820143885</v>
      </c>
      <c r="F36" s="10">
        <v>771.15107913669067</v>
      </c>
      <c r="G36" s="11">
        <v>3.6687500000000002</v>
      </c>
      <c r="H36" s="9">
        <v>128779.18181818182</v>
      </c>
      <c r="I36" s="9">
        <v>9051.454545454546</v>
      </c>
      <c r="J36" s="9">
        <v>348</v>
      </c>
      <c r="K36" s="10">
        <v>12211.818965517241</v>
      </c>
      <c r="L36" s="10">
        <v>858.32758620689651</v>
      </c>
      <c r="M36" s="11">
        <v>3.7854545454545456</v>
      </c>
      <c r="N36" s="12"/>
      <c r="O36" s="12"/>
      <c r="P36" s="12"/>
      <c r="Q36" s="13" t="str">
        <f t="shared" si="0"/>
        <v/>
      </c>
      <c r="R36" s="13" t="str">
        <f t="shared" si="1"/>
        <v/>
      </c>
      <c r="S36" s="14"/>
      <c r="T36" s="12">
        <v>111408</v>
      </c>
      <c r="U36" s="12">
        <v>7280</v>
      </c>
      <c r="V36" s="12">
        <v>17</v>
      </c>
      <c r="W36" s="13">
        <f t="shared" si="2"/>
        <v>19660.235294117647</v>
      </c>
      <c r="X36" s="13">
        <f t="shared" si="3"/>
        <v>1284.7058823529412</v>
      </c>
      <c r="Y36" s="14"/>
      <c r="Z36" s="12">
        <v>20805</v>
      </c>
      <c r="AA36" s="12">
        <v>682</v>
      </c>
      <c r="AB36" s="12">
        <v>4</v>
      </c>
      <c r="AC36" s="13">
        <f t="shared" si="4"/>
        <v>15603.75</v>
      </c>
      <c r="AD36" s="13">
        <f t="shared" si="5"/>
        <v>511.5</v>
      </c>
      <c r="AE36" s="14"/>
      <c r="AF36" s="12">
        <v>87362</v>
      </c>
      <c r="AG36" s="12">
        <v>5718</v>
      </c>
      <c r="AH36" s="12">
        <v>8</v>
      </c>
      <c r="AI36" s="13">
        <f t="shared" si="6"/>
        <v>32760.75</v>
      </c>
      <c r="AJ36" s="13">
        <f t="shared" si="7"/>
        <v>2144.25</v>
      </c>
      <c r="AK36" s="14"/>
      <c r="AL36" s="12">
        <v>195523</v>
      </c>
      <c r="AM36" s="12">
        <v>13499</v>
      </c>
      <c r="AN36" s="12">
        <v>37</v>
      </c>
      <c r="AO36" s="13">
        <f t="shared" si="8"/>
        <v>15853.216216216215</v>
      </c>
      <c r="AP36" s="13">
        <f t="shared" si="9"/>
        <v>1094.5135135135133</v>
      </c>
      <c r="AQ36" s="14"/>
      <c r="AR36" s="12">
        <v>148964</v>
      </c>
      <c r="AS36" s="12">
        <v>10739</v>
      </c>
      <c r="AT36" s="12">
        <v>36</v>
      </c>
      <c r="AU36" s="13">
        <f t="shared" si="10"/>
        <v>12413.666666666666</v>
      </c>
      <c r="AV36" s="13">
        <f t="shared" si="11"/>
        <v>894.91666666666663</v>
      </c>
      <c r="AW36" s="14"/>
      <c r="AX36" s="12">
        <v>83843</v>
      </c>
      <c r="AY36" s="12">
        <v>8728</v>
      </c>
      <c r="AZ36" s="12">
        <v>21</v>
      </c>
      <c r="BA36" s="13">
        <f t="shared" si="12"/>
        <v>11977.571428571429</v>
      </c>
      <c r="BB36" s="13">
        <f t="shared" si="13"/>
        <v>1246.8571428571427</v>
      </c>
      <c r="BC36" s="14"/>
      <c r="BD36" s="12">
        <v>10410</v>
      </c>
      <c r="BE36" s="12">
        <v>809</v>
      </c>
      <c r="BF36" s="12">
        <v>5</v>
      </c>
      <c r="BG36" s="13">
        <f t="shared" si="14"/>
        <v>6246</v>
      </c>
      <c r="BH36" s="13">
        <f t="shared" si="15"/>
        <v>485.40000000000003</v>
      </c>
      <c r="BI36" s="14"/>
      <c r="BJ36" s="12">
        <v>69522</v>
      </c>
      <c r="BK36" s="12">
        <v>5252</v>
      </c>
      <c r="BL36" s="12">
        <v>17</v>
      </c>
      <c r="BM36" s="13">
        <f t="shared" si="16"/>
        <v>12268.588235294117</v>
      </c>
      <c r="BN36" s="13">
        <f t="shared" si="17"/>
        <v>926.82352941176464</v>
      </c>
      <c r="BO36" s="14"/>
      <c r="BP36" s="12">
        <v>131853</v>
      </c>
      <c r="BQ36" s="12">
        <v>10936</v>
      </c>
      <c r="BR36" s="12">
        <v>35</v>
      </c>
      <c r="BS36" s="13">
        <f t="shared" si="18"/>
        <v>11301.685714285713</v>
      </c>
      <c r="BT36" s="13">
        <f t="shared" si="19"/>
        <v>937.37142857142862</v>
      </c>
      <c r="BU36" s="14"/>
      <c r="BV36" s="12">
        <v>75150</v>
      </c>
      <c r="BW36" s="12">
        <v>5647</v>
      </c>
      <c r="BX36" s="12">
        <v>20</v>
      </c>
      <c r="BY36" s="13">
        <f t="shared" si="20"/>
        <v>11272.5</v>
      </c>
      <c r="BZ36" s="13">
        <f t="shared" si="21"/>
        <v>847.05000000000007</v>
      </c>
      <c r="CA36" s="14"/>
      <c r="CB36" s="12">
        <v>24372</v>
      </c>
      <c r="CC36" s="12">
        <v>1905</v>
      </c>
      <c r="CD36" s="12">
        <v>6</v>
      </c>
      <c r="CE36" s="13">
        <f t="shared" si="22"/>
        <v>12186</v>
      </c>
      <c r="CF36" s="13">
        <f t="shared" si="23"/>
        <v>952.5</v>
      </c>
      <c r="CG36" s="14" t="s">
        <v>51</v>
      </c>
      <c r="CH36" s="9">
        <f t="shared" si="24"/>
        <v>87201.090909090912</v>
      </c>
      <c r="CI36" s="9">
        <f t="shared" si="24"/>
        <v>6472.272727272727</v>
      </c>
      <c r="CJ36" s="9">
        <f t="shared" si="25"/>
        <v>206</v>
      </c>
      <c r="CK36" s="10">
        <f t="shared" si="26"/>
        <v>13969.106796116504</v>
      </c>
      <c r="CL36" s="10">
        <f t="shared" si="27"/>
        <v>1036.8203883495146</v>
      </c>
      <c r="CM36" s="11" t="str">
        <f t="shared" si="28"/>
        <v xml:space="preserve"> </v>
      </c>
    </row>
    <row r="37" spans="1:91" ht="12.75" customHeight="1" x14ac:dyDescent="0.3">
      <c r="A37" s="8" t="s">
        <v>59</v>
      </c>
      <c r="B37" s="9">
        <v>92996.666666666672</v>
      </c>
      <c r="C37" s="9">
        <v>12527.888888888889</v>
      </c>
      <c r="D37" s="9">
        <v>170</v>
      </c>
      <c r="E37" s="10">
        <v>14770.058823529411</v>
      </c>
      <c r="F37" s="10">
        <v>1989.7235294117647</v>
      </c>
      <c r="G37" s="11">
        <v>5.1111111111111107</v>
      </c>
      <c r="H37" s="9">
        <v>136801.36363636365</v>
      </c>
      <c r="I37" s="9">
        <v>13816.09090909091</v>
      </c>
      <c r="J37" s="9">
        <v>398</v>
      </c>
      <c r="K37" s="10">
        <v>11342.826633165829</v>
      </c>
      <c r="L37" s="10">
        <v>1145.5552763819096</v>
      </c>
      <c r="M37" s="11">
        <v>4.4245454545454548</v>
      </c>
      <c r="N37" s="12">
        <v>127430</v>
      </c>
      <c r="O37" s="12">
        <v>39532</v>
      </c>
      <c r="P37" s="12">
        <v>27</v>
      </c>
      <c r="Q37" s="13">
        <f t="shared" si="0"/>
        <v>14158.888888888889</v>
      </c>
      <c r="R37" s="13">
        <f t="shared" si="1"/>
        <v>4392.4444444444443</v>
      </c>
      <c r="S37" s="14"/>
      <c r="T37" s="12">
        <v>245405</v>
      </c>
      <c r="U37" s="12">
        <v>39939</v>
      </c>
      <c r="V37" s="12">
        <v>47</v>
      </c>
      <c r="W37" s="13">
        <f t="shared" si="2"/>
        <v>15664.148936170213</v>
      </c>
      <c r="X37" s="13">
        <f t="shared" si="3"/>
        <v>2549.2978723404258</v>
      </c>
      <c r="Y37" s="14"/>
      <c r="Z37" s="12">
        <v>265219</v>
      </c>
      <c r="AA37" s="12">
        <v>73007</v>
      </c>
      <c r="AB37" s="12">
        <v>54</v>
      </c>
      <c r="AC37" s="13">
        <f t="shared" si="4"/>
        <v>14734.388888888887</v>
      </c>
      <c r="AD37" s="13">
        <f t="shared" si="5"/>
        <v>4055.9444444444443</v>
      </c>
      <c r="AE37" s="14"/>
      <c r="AF37" s="12">
        <v>191468</v>
      </c>
      <c r="AG37" s="12">
        <v>32945</v>
      </c>
      <c r="AH37" s="12">
        <v>36</v>
      </c>
      <c r="AI37" s="13">
        <f t="shared" si="6"/>
        <v>15955.666666666668</v>
      </c>
      <c r="AJ37" s="13">
        <f t="shared" si="7"/>
        <v>2745.416666666667</v>
      </c>
      <c r="AK37" s="14"/>
      <c r="AL37" s="12">
        <v>327464</v>
      </c>
      <c r="AM37" s="12">
        <v>53540</v>
      </c>
      <c r="AN37" s="12">
        <v>68</v>
      </c>
      <c r="AO37" s="13">
        <f t="shared" si="8"/>
        <v>14446.941176470589</v>
      </c>
      <c r="AP37" s="13">
        <f t="shared" si="9"/>
        <v>2362.0588235294117</v>
      </c>
      <c r="AQ37" s="14"/>
      <c r="AR37" s="12">
        <v>286335</v>
      </c>
      <c r="AS37" s="12">
        <v>42080</v>
      </c>
      <c r="AT37" s="12">
        <v>59</v>
      </c>
      <c r="AU37" s="13">
        <f t="shared" si="10"/>
        <v>14559.406779661016</v>
      </c>
      <c r="AV37" s="13">
        <f t="shared" si="11"/>
        <v>2139.6610169491523</v>
      </c>
      <c r="AW37" s="14"/>
      <c r="AX37" s="12">
        <v>253016</v>
      </c>
      <c r="AY37" s="12">
        <v>73432</v>
      </c>
      <c r="AZ37" s="12">
        <v>69</v>
      </c>
      <c r="BA37" s="13">
        <f t="shared" si="12"/>
        <v>11000.695652173912</v>
      </c>
      <c r="BB37" s="13">
        <f t="shared" si="13"/>
        <v>3192.695652173913</v>
      </c>
      <c r="BC37" s="14"/>
      <c r="BD37" s="12">
        <v>291873</v>
      </c>
      <c r="BE37" s="12">
        <v>79230</v>
      </c>
      <c r="BF37" s="12">
        <v>66</v>
      </c>
      <c r="BG37" s="13">
        <f t="shared" si="14"/>
        <v>13266.954545454546</v>
      </c>
      <c r="BH37" s="13">
        <f t="shared" si="15"/>
        <v>3601.3636363636365</v>
      </c>
      <c r="BI37" s="14"/>
      <c r="BJ37" s="12">
        <v>318186</v>
      </c>
      <c r="BK37" s="12">
        <v>84852</v>
      </c>
      <c r="BL37" s="12">
        <v>69</v>
      </c>
      <c r="BM37" s="13">
        <f t="shared" si="16"/>
        <v>13834.173913043478</v>
      </c>
      <c r="BN37" s="13">
        <f t="shared" si="17"/>
        <v>3689.2173913043475</v>
      </c>
      <c r="BO37" s="14"/>
      <c r="BP37" s="12">
        <v>324190</v>
      </c>
      <c r="BQ37" s="12">
        <v>60726</v>
      </c>
      <c r="BR37" s="12">
        <v>77</v>
      </c>
      <c r="BS37" s="13">
        <f t="shared" si="18"/>
        <v>12630.779220779221</v>
      </c>
      <c r="BT37" s="13">
        <f t="shared" si="19"/>
        <v>2365.9480519480517</v>
      </c>
      <c r="BU37" s="14"/>
      <c r="BV37" s="12">
        <v>298571</v>
      </c>
      <c r="BW37" s="12">
        <v>78323</v>
      </c>
      <c r="BX37" s="12">
        <v>68</v>
      </c>
      <c r="BY37" s="13">
        <f t="shared" si="20"/>
        <v>13172.25</v>
      </c>
      <c r="BZ37" s="13">
        <f t="shared" si="21"/>
        <v>3455.4264705882351</v>
      </c>
      <c r="CA37" s="14"/>
      <c r="CB37" s="12">
        <v>335171</v>
      </c>
      <c r="CC37" s="12">
        <v>75213</v>
      </c>
      <c r="CD37" s="12">
        <v>77</v>
      </c>
      <c r="CE37" s="13">
        <f t="shared" si="22"/>
        <v>13058.610389610389</v>
      </c>
      <c r="CF37" s="13">
        <f t="shared" si="23"/>
        <v>2930.3766233766237</v>
      </c>
      <c r="CG37" s="14" t="s">
        <v>51</v>
      </c>
      <c r="CH37" s="9">
        <f t="shared" si="24"/>
        <v>272027.33333333331</v>
      </c>
      <c r="CI37" s="9">
        <f t="shared" si="24"/>
        <v>61068.25</v>
      </c>
      <c r="CJ37" s="9">
        <f t="shared" si="25"/>
        <v>717</v>
      </c>
      <c r="CK37" s="10">
        <f t="shared" si="26"/>
        <v>13658.276150627615</v>
      </c>
      <c r="CL37" s="10">
        <f t="shared" si="27"/>
        <v>3066.1882845188284</v>
      </c>
      <c r="CM37" s="11" t="str">
        <f t="shared" si="28"/>
        <v xml:space="preserve"> </v>
      </c>
    </row>
    <row r="38" spans="1:91" x14ac:dyDescent="0.3">
      <c r="A38" s="8" t="s">
        <v>60</v>
      </c>
      <c r="B38" s="9">
        <v>397545.33333333331</v>
      </c>
      <c r="C38" s="9">
        <v>110256.58333333333</v>
      </c>
      <c r="D38" s="9">
        <v>828</v>
      </c>
      <c r="E38" s="10">
        <v>17284.579710144928</v>
      </c>
      <c r="F38" s="10">
        <v>4793.7644927536239</v>
      </c>
      <c r="G38" s="11">
        <v>7.3441666666666663</v>
      </c>
      <c r="H38" s="9">
        <v>155946.27272727274</v>
      </c>
      <c r="I38" s="9">
        <v>43483.454545454544</v>
      </c>
      <c r="J38" s="9">
        <v>398</v>
      </c>
      <c r="K38" s="10">
        <v>12930.218592964824</v>
      </c>
      <c r="L38" s="10">
        <v>3605.4120603015081</v>
      </c>
      <c r="M38" s="11">
        <v>7.5936363636363637</v>
      </c>
      <c r="N38" s="12"/>
      <c r="O38" s="12"/>
      <c r="P38" s="12"/>
      <c r="Q38" s="13" t="str">
        <f t="shared" si="0"/>
        <v/>
      </c>
      <c r="R38" s="13" t="str">
        <f t="shared" si="1"/>
        <v/>
      </c>
      <c r="S38" s="14"/>
      <c r="T38" s="12"/>
      <c r="U38" s="12"/>
      <c r="V38" s="12"/>
      <c r="W38" s="13" t="str">
        <f t="shared" si="2"/>
        <v/>
      </c>
      <c r="X38" s="13" t="str">
        <f t="shared" si="3"/>
        <v/>
      </c>
      <c r="Y38" s="14"/>
      <c r="Z38" s="12"/>
      <c r="AA38" s="12"/>
      <c r="AB38" s="12"/>
      <c r="AC38" s="13" t="str">
        <f t="shared" si="4"/>
        <v xml:space="preserve"> </v>
      </c>
      <c r="AD38" s="13" t="str">
        <f t="shared" si="5"/>
        <v xml:space="preserve"> </v>
      </c>
      <c r="AE38" s="14"/>
      <c r="AF38" s="12"/>
      <c r="AG38" s="12"/>
      <c r="AH38" s="12"/>
      <c r="AI38" s="13" t="str">
        <f t="shared" si="6"/>
        <v xml:space="preserve"> </v>
      </c>
      <c r="AJ38" s="13" t="str">
        <f t="shared" si="7"/>
        <v xml:space="preserve"> </v>
      </c>
      <c r="AK38" s="14"/>
      <c r="AL38" s="12"/>
      <c r="AM38" s="12"/>
      <c r="AN38" s="12"/>
      <c r="AO38" s="13" t="str">
        <f t="shared" si="8"/>
        <v xml:space="preserve"> </v>
      </c>
      <c r="AP38" s="13" t="str">
        <f t="shared" si="9"/>
        <v xml:space="preserve"> </v>
      </c>
      <c r="AQ38" s="14"/>
      <c r="AR38" s="12"/>
      <c r="AS38" s="12"/>
      <c r="AT38" s="12"/>
      <c r="AU38" s="13" t="str">
        <f t="shared" si="10"/>
        <v xml:space="preserve"> </v>
      </c>
      <c r="AV38" s="13" t="str">
        <f t="shared" si="11"/>
        <v xml:space="preserve"> </v>
      </c>
      <c r="AW38" s="14"/>
      <c r="AX38" s="12"/>
      <c r="AY38" s="12"/>
      <c r="AZ38" s="12"/>
      <c r="BA38" s="13" t="str">
        <f t="shared" si="12"/>
        <v xml:space="preserve"> </v>
      </c>
      <c r="BB38" s="13" t="str">
        <f t="shared" si="13"/>
        <v xml:space="preserve"> </v>
      </c>
      <c r="BC38" s="14"/>
      <c r="BD38" s="12"/>
      <c r="BE38" s="12"/>
      <c r="BF38" s="12"/>
      <c r="BG38" s="13" t="str">
        <f t="shared" si="14"/>
        <v xml:space="preserve"> </v>
      </c>
      <c r="BH38" s="13" t="str">
        <f t="shared" si="15"/>
        <v xml:space="preserve"> </v>
      </c>
      <c r="BI38" s="14"/>
      <c r="BJ38" s="12"/>
      <c r="BK38" s="12"/>
      <c r="BL38" s="12"/>
      <c r="BM38" s="13" t="str">
        <f t="shared" si="16"/>
        <v xml:space="preserve"> </v>
      </c>
      <c r="BN38" s="13" t="str">
        <f t="shared" si="17"/>
        <v xml:space="preserve"> </v>
      </c>
      <c r="BO38" s="14"/>
      <c r="BP38" s="12"/>
      <c r="BQ38" s="12"/>
      <c r="BR38" s="12"/>
      <c r="BS38" s="13" t="str">
        <f t="shared" si="18"/>
        <v xml:space="preserve"> </v>
      </c>
      <c r="BT38" s="13" t="str">
        <f t="shared" si="19"/>
        <v xml:space="preserve"> </v>
      </c>
      <c r="BU38" s="14"/>
      <c r="BV38" s="12"/>
      <c r="BW38" s="12"/>
      <c r="BX38" s="12"/>
      <c r="BY38" s="13" t="str">
        <f t="shared" si="20"/>
        <v xml:space="preserve"> </v>
      </c>
      <c r="BZ38" s="13" t="str">
        <f t="shared" si="21"/>
        <v xml:space="preserve"> </v>
      </c>
      <c r="CA38" s="14"/>
      <c r="CD38" s="12"/>
      <c r="CE38" s="13" t="str">
        <f t="shared" si="22"/>
        <v xml:space="preserve"> </v>
      </c>
      <c r="CF38" s="13" t="str">
        <f t="shared" si="23"/>
        <v xml:space="preserve"> </v>
      </c>
      <c r="CG38" s="14" t="s">
        <v>51</v>
      </c>
      <c r="CH38" s="9" t="str">
        <f t="shared" si="24"/>
        <v xml:space="preserve"> </v>
      </c>
      <c r="CI38" s="9" t="str">
        <f t="shared" si="24"/>
        <v xml:space="preserve"> </v>
      </c>
      <c r="CJ38" s="9">
        <f t="shared" si="25"/>
        <v>0</v>
      </c>
      <c r="CK38" s="10" t="str">
        <f t="shared" si="26"/>
        <v xml:space="preserve"> </v>
      </c>
      <c r="CL38" s="10" t="str">
        <f t="shared" si="27"/>
        <v xml:space="preserve"> </v>
      </c>
      <c r="CM38" s="11" t="str">
        <f t="shared" si="28"/>
        <v xml:space="preserve"> </v>
      </c>
    </row>
    <row r="39" spans="1:91" x14ac:dyDescent="0.3">
      <c r="A39" s="8" t="s">
        <v>61</v>
      </c>
      <c r="B39" s="9">
        <v>170472.91666666666</v>
      </c>
      <c r="C39" s="9">
        <v>141084.91666666666</v>
      </c>
      <c r="D39" s="9">
        <v>908</v>
      </c>
      <c r="E39" s="10">
        <v>6758.8381057268725</v>
      </c>
      <c r="F39" s="10">
        <v>5593.6751101321588</v>
      </c>
      <c r="G39" s="11">
        <v>14.543333333333335</v>
      </c>
      <c r="H39" s="9">
        <v>107454</v>
      </c>
      <c r="I39" s="9">
        <v>82070</v>
      </c>
      <c r="J39" s="9">
        <v>561</v>
      </c>
      <c r="K39" s="10">
        <v>6320.8235294117649</v>
      </c>
      <c r="L39" s="10">
        <v>4827.6470588235297</v>
      </c>
      <c r="M39" s="11">
        <v>13.916363636363638</v>
      </c>
      <c r="N39" s="12">
        <v>38102</v>
      </c>
      <c r="O39" s="12">
        <v>33878</v>
      </c>
      <c r="P39" s="12">
        <v>12</v>
      </c>
      <c r="Q39" s="13">
        <f t="shared" si="0"/>
        <v>9525.5</v>
      </c>
      <c r="R39" s="13">
        <f t="shared" si="1"/>
        <v>8469.5</v>
      </c>
      <c r="S39" s="14"/>
      <c r="T39" s="12">
        <v>65641</v>
      </c>
      <c r="U39" s="12">
        <v>54851</v>
      </c>
      <c r="V39" s="12">
        <v>30</v>
      </c>
      <c r="W39" s="13">
        <f t="shared" si="2"/>
        <v>6564.1</v>
      </c>
      <c r="X39" s="13">
        <f t="shared" si="3"/>
        <v>5485.0999999999995</v>
      </c>
      <c r="Y39" s="14"/>
      <c r="Z39" s="12">
        <v>122004</v>
      </c>
      <c r="AA39" s="12">
        <v>92482</v>
      </c>
      <c r="AB39" s="12">
        <v>34</v>
      </c>
      <c r="AC39" s="13">
        <f t="shared" si="4"/>
        <v>10765.058823529413</v>
      </c>
      <c r="AD39" s="13">
        <f t="shared" si="5"/>
        <v>8160.1764705882351</v>
      </c>
      <c r="AE39" s="14"/>
      <c r="AF39" s="12">
        <v>105056</v>
      </c>
      <c r="AG39" s="12">
        <v>44434</v>
      </c>
      <c r="AH39" s="12">
        <v>21</v>
      </c>
      <c r="AI39" s="13">
        <f t="shared" si="6"/>
        <v>15008</v>
      </c>
      <c r="AJ39" s="13">
        <f t="shared" si="7"/>
        <v>6347.7142857142862</v>
      </c>
      <c r="AK39" s="14"/>
      <c r="AL39" s="12">
        <v>81152</v>
      </c>
      <c r="AM39" s="12">
        <v>63768</v>
      </c>
      <c r="AN39" s="12">
        <v>33</v>
      </c>
      <c r="AO39" s="13">
        <f t="shared" si="8"/>
        <v>7377.454545454545</v>
      </c>
      <c r="AP39" s="13">
        <f t="shared" si="9"/>
        <v>5797.090909090909</v>
      </c>
      <c r="AQ39" s="14"/>
      <c r="AR39" s="12">
        <v>167321</v>
      </c>
      <c r="AS39" s="12">
        <v>57447</v>
      </c>
      <c r="AT39" s="12">
        <v>29</v>
      </c>
      <c r="AU39" s="13">
        <f t="shared" si="10"/>
        <v>17309.068965517243</v>
      </c>
      <c r="AV39" s="13">
        <f t="shared" si="11"/>
        <v>5942.7931034482754</v>
      </c>
      <c r="AW39" s="14"/>
      <c r="AX39" s="12">
        <v>51373</v>
      </c>
      <c r="AY39" s="12">
        <v>43518</v>
      </c>
      <c r="AZ39" s="12">
        <v>22</v>
      </c>
      <c r="BA39" s="13">
        <f t="shared" si="12"/>
        <v>7005.4090909090901</v>
      </c>
      <c r="BB39" s="13">
        <f t="shared" si="13"/>
        <v>5934.272727272727</v>
      </c>
      <c r="BC39" s="14"/>
      <c r="BD39" s="12">
        <v>105688</v>
      </c>
      <c r="BE39" s="12">
        <v>75720</v>
      </c>
      <c r="BF39" s="12">
        <v>36</v>
      </c>
      <c r="BG39" s="13">
        <f t="shared" si="14"/>
        <v>8807.3333333333339</v>
      </c>
      <c r="BH39" s="13">
        <f t="shared" si="15"/>
        <v>6310</v>
      </c>
      <c r="BI39" s="14"/>
      <c r="BJ39" s="12">
        <v>120838</v>
      </c>
      <c r="BK39" s="12">
        <v>86972</v>
      </c>
      <c r="BL39" s="12">
        <v>41</v>
      </c>
      <c r="BM39" s="13">
        <f t="shared" si="16"/>
        <v>8841.8048780487807</v>
      </c>
      <c r="BN39" s="13">
        <f t="shared" si="17"/>
        <v>6363.8048780487807</v>
      </c>
      <c r="BO39" s="14"/>
      <c r="BP39" s="12">
        <v>122101</v>
      </c>
      <c r="BQ39" s="12">
        <v>114553</v>
      </c>
      <c r="BR39" s="12">
        <v>47</v>
      </c>
      <c r="BS39" s="13">
        <f t="shared" si="18"/>
        <v>7793.6808510638293</v>
      </c>
      <c r="BT39" s="13">
        <f t="shared" si="19"/>
        <v>7311.8936170212764</v>
      </c>
      <c r="BU39" s="14"/>
      <c r="BV39" s="12">
        <v>161595</v>
      </c>
      <c r="BW39" s="12">
        <v>112052</v>
      </c>
      <c r="BX39" s="12">
        <v>46</v>
      </c>
      <c r="BY39" s="13">
        <f t="shared" si="20"/>
        <v>10538.804347826086</v>
      </c>
      <c r="BZ39" s="13">
        <f t="shared" si="21"/>
        <v>7307.739130434783</v>
      </c>
      <c r="CA39" s="14"/>
      <c r="CB39" s="12">
        <v>202975</v>
      </c>
      <c r="CC39" s="12">
        <v>159451</v>
      </c>
      <c r="CD39" s="12">
        <v>60</v>
      </c>
      <c r="CE39" s="13">
        <f t="shared" si="22"/>
        <v>10148.75</v>
      </c>
      <c r="CF39" s="13">
        <f t="shared" si="23"/>
        <v>7972.5500000000011</v>
      </c>
      <c r="CG39" s="14" t="s">
        <v>51</v>
      </c>
      <c r="CH39" s="9">
        <f t="shared" si="24"/>
        <v>111987.16666666667</v>
      </c>
      <c r="CI39" s="9">
        <f t="shared" si="24"/>
        <v>78260.5</v>
      </c>
      <c r="CJ39" s="9">
        <f t="shared" si="25"/>
        <v>411</v>
      </c>
      <c r="CK39" s="10">
        <f t="shared" si="26"/>
        <v>9809.094890510949</v>
      </c>
      <c r="CL39" s="10">
        <f t="shared" si="27"/>
        <v>6854.9343065693429</v>
      </c>
      <c r="CM39" s="11" t="str">
        <f t="shared" si="28"/>
        <v xml:space="preserve"> </v>
      </c>
    </row>
    <row r="40" spans="1:91" x14ac:dyDescent="0.3">
      <c r="A40" s="8" t="s">
        <v>62</v>
      </c>
      <c r="B40" s="9">
        <v>168278.41666666666</v>
      </c>
      <c r="C40" s="9">
        <v>127736.83333333333</v>
      </c>
      <c r="D40" s="9">
        <v>959</v>
      </c>
      <c r="E40" s="10">
        <v>6317.0208550573516</v>
      </c>
      <c r="F40" s="10">
        <v>4795.1261730969763</v>
      </c>
      <c r="G40" s="11">
        <v>13.9</v>
      </c>
      <c r="H40" s="9">
        <v>134951.36363636365</v>
      </c>
      <c r="I40" s="9">
        <v>103846.81818181818</v>
      </c>
      <c r="J40" s="9">
        <v>721</v>
      </c>
      <c r="K40" s="10">
        <v>6176.6920943134537</v>
      </c>
      <c r="L40" s="10">
        <v>4753.0443828016641</v>
      </c>
      <c r="M40" s="11">
        <v>13.993636363636362</v>
      </c>
      <c r="N40" s="12">
        <v>88688</v>
      </c>
      <c r="O40" s="12">
        <v>67221</v>
      </c>
      <c r="P40" s="12">
        <v>25</v>
      </c>
      <c r="Q40" s="13">
        <f t="shared" si="0"/>
        <v>10642.56</v>
      </c>
      <c r="R40" s="13">
        <f t="shared" si="1"/>
        <v>8066.52</v>
      </c>
      <c r="S40" s="14"/>
      <c r="T40" s="12">
        <v>124026</v>
      </c>
      <c r="U40" s="12">
        <v>87372</v>
      </c>
      <c r="V40" s="12">
        <v>43</v>
      </c>
      <c r="W40" s="13">
        <f t="shared" si="2"/>
        <v>8652.9767441860458</v>
      </c>
      <c r="X40" s="13">
        <f t="shared" si="3"/>
        <v>6095.7209302325582</v>
      </c>
      <c r="Y40" s="14"/>
      <c r="Z40" s="12">
        <v>67501</v>
      </c>
      <c r="AA40" s="12">
        <v>46071</v>
      </c>
      <c r="AB40" s="12">
        <v>26</v>
      </c>
      <c r="AC40" s="13">
        <f t="shared" si="4"/>
        <v>7788.5769230769229</v>
      </c>
      <c r="AD40" s="13">
        <f t="shared" si="5"/>
        <v>5315.8846153846152</v>
      </c>
      <c r="AE40" s="14"/>
      <c r="AF40" s="12">
        <v>91904</v>
      </c>
      <c r="AG40" s="12">
        <v>60340</v>
      </c>
      <c r="AH40" s="12">
        <v>29</v>
      </c>
      <c r="AI40" s="13">
        <f t="shared" si="6"/>
        <v>9507.3103448275851</v>
      </c>
      <c r="AJ40" s="13">
        <f t="shared" si="7"/>
        <v>6242.0689655172418</v>
      </c>
      <c r="AK40" s="14"/>
      <c r="AL40" s="12">
        <v>69510</v>
      </c>
      <c r="AM40" s="12">
        <v>70336</v>
      </c>
      <c r="AN40" s="12">
        <v>30</v>
      </c>
      <c r="AO40" s="13">
        <f t="shared" si="8"/>
        <v>6951</v>
      </c>
      <c r="AP40" s="13">
        <f t="shared" si="9"/>
        <v>7033.6</v>
      </c>
      <c r="AQ40" s="14"/>
      <c r="AR40" s="12">
        <v>89782</v>
      </c>
      <c r="AS40" s="12">
        <v>79499</v>
      </c>
      <c r="AT40" s="12">
        <v>31</v>
      </c>
      <c r="AU40" s="13">
        <f t="shared" si="10"/>
        <v>8688.5806451612898</v>
      </c>
      <c r="AV40" s="13">
        <f t="shared" si="11"/>
        <v>7693.4516129032254</v>
      </c>
      <c r="AW40" s="14"/>
      <c r="AX40" s="12">
        <v>103734</v>
      </c>
      <c r="AY40" s="12">
        <v>96148</v>
      </c>
      <c r="AZ40" s="12">
        <v>46</v>
      </c>
      <c r="BA40" s="13">
        <f t="shared" si="12"/>
        <v>6765.260869565217</v>
      </c>
      <c r="BB40" s="13">
        <f t="shared" si="13"/>
        <v>6270.5217391304359</v>
      </c>
      <c r="BC40" s="14"/>
      <c r="BD40" s="12">
        <v>111000</v>
      </c>
      <c r="BE40" s="12">
        <v>83103</v>
      </c>
      <c r="BF40" s="12">
        <v>39</v>
      </c>
      <c r="BG40" s="13">
        <f t="shared" si="14"/>
        <v>8538.461538461539</v>
      </c>
      <c r="BH40" s="13">
        <f t="shared" si="15"/>
        <v>6392.538461538461</v>
      </c>
      <c r="BI40" s="14"/>
      <c r="BJ40" s="12">
        <v>132534</v>
      </c>
      <c r="BK40" s="12">
        <v>96872</v>
      </c>
      <c r="BL40" s="12">
        <v>45</v>
      </c>
      <c r="BM40" s="13">
        <f t="shared" si="16"/>
        <v>8835.5999999999985</v>
      </c>
      <c r="BN40" s="13">
        <f t="shared" si="17"/>
        <v>6458.1333333333332</v>
      </c>
      <c r="BO40" s="14"/>
      <c r="BP40" s="12">
        <v>158542</v>
      </c>
      <c r="BQ40" s="12">
        <v>130664</v>
      </c>
      <c r="BR40" s="12">
        <v>49</v>
      </c>
      <c r="BS40" s="13">
        <f t="shared" si="18"/>
        <v>9706.6530612244896</v>
      </c>
      <c r="BT40" s="13">
        <f t="shared" si="19"/>
        <v>7999.8367346938776</v>
      </c>
      <c r="BU40" s="14"/>
      <c r="BV40" s="12">
        <v>160225</v>
      </c>
      <c r="BW40" s="12">
        <v>131350</v>
      </c>
      <c r="BX40" s="12">
        <v>54</v>
      </c>
      <c r="BY40" s="13">
        <f t="shared" si="20"/>
        <v>8901.3888888888887</v>
      </c>
      <c r="BZ40" s="13">
        <f t="shared" si="21"/>
        <v>7297.2222222222226</v>
      </c>
      <c r="CA40" s="14"/>
      <c r="CB40" s="12">
        <v>233299</v>
      </c>
      <c r="CC40" s="12">
        <v>108662</v>
      </c>
      <c r="CD40" s="12">
        <v>59</v>
      </c>
      <c r="CE40" s="13">
        <f t="shared" si="22"/>
        <v>11862.661016949152</v>
      </c>
      <c r="CF40" s="13">
        <f t="shared" si="23"/>
        <v>5525.1864406779659</v>
      </c>
      <c r="CG40" s="14" t="s">
        <v>51</v>
      </c>
      <c r="CH40" s="9">
        <f t="shared" si="24"/>
        <v>119228.75</v>
      </c>
      <c r="CI40" s="9">
        <f t="shared" si="24"/>
        <v>88136.5</v>
      </c>
      <c r="CJ40" s="9">
        <f t="shared" si="25"/>
        <v>476</v>
      </c>
      <c r="CK40" s="10">
        <f t="shared" si="26"/>
        <v>9017.3004201680669</v>
      </c>
      <c r="CL40" s="10">
        <f t="shared" si="27"/>
        <v>6665.7857142857147</v>
      </c>
      <c r="CM40" s="11" t="str">
        <f t="shared" si="28"/>
        <v xml:space="preserve"> </v>
      </c>
    </row>
    <row r="41" spans="1:91" x14ac:dyDescent="0.3">
      <c r="A41" s="8" t="s">
        <v>63</v>
      </c>
      <c r="B41" s="9">
        <v>309448.83333333331</v>
      </c>
      <c r="C41" s="9">
        <v>10642.25</v>
      </c>
      <c r="D41" s="9">
        <v>867</v>
      </c>
      <c r="E41" s="10">
        <v>12849.086505190313</v>
      </c>
      <c r="F41" s="10">
        <v>441.89273356401384</v>
      </c>
      <c r="G41" s="11">
        <v>2.6133333333333333</v>
      </c>
      <c r="H41" s="9">
        <v>241501.36363636365</v>
      </c>
      <c r="I41" s="9">
        <v>8371.818181818182</v>
      </c>
      <c r="J41" s="9">
        <v>609</v>
      </c>
      <c r="K41" s="10">
        <v>13086.280788177341</v>
      </c>
      <c r="L41" s="10">
        <v>453.64532019704438</v>
      </c>
      <c r="M41" s="11">
        <v>2.6490909090909089</v>
      </c>
      <c r="N41" s="12">
        <v>28858</v>
      </c>
      <c r="O41" s="12">
        <v>835</v>
      </c>
      <c r="P41" s="12">
        <v>5</v>
      </c>
      <c r="Q41" s="13">
        <f t="shared" si="0"/>
        <v>17314.800000000003</v>
      </c>
      <c r="R41" s="13">
        <f t="shared" si="1"/>
        <v>501</v>
      </c>
      <c r="S41" s="14"/>
      <c r="T41" s="12">
        <v>164939</v>
      </c>
      <c r="U41" s="12">
        <v>5738</v>
      </c>
      <c r="V41" s="12">
        <v>33</v>
      </c>
      <c r="W41" s="13">
        <f t="shared" si="2"/>
        <v>14994.454545454544</v>
      </c>
      <c r="X41" s="13">
        <f t="shared" si="3"/>
        <v>521.63636363636363</v>
      </c>
      <c r="Y41" s="14"/>
      <c r="Z41" s="12"/>
      <c r="AA41" s="12"/>
      <c r="AB41" s="12"/>
      <c r="AC41" s="13" t="str">
        <f t="shared" si="4"/>
        <v xml:space="preserve"> </v>
      </c>
      <c r="AD41" s="13" t="str">
        <f t="shared" si="5"/>
        <v xml:space="preserve"> </v>
      </c>
      <c r="AE41" s="14"/>
      <c r="AF41" s="12"/>
      <c r="AG41" s="12"/>
      <c r="AH41" s="12"/>
      <c r="AI41" s="13" t="str">
        <f t="shared" si="6"/>
        <v xml:space="preserve"> </v>
      </c>
      <c r="AJ41" s="13" t="str">
        <f t="shared" si="7"/>
        <v xml:space="preserve"> </v>
      </c>
      <c r="AK41" s="14"/>
      <c r="AL41" s="12">
        <v>159322</v>
      </c>
      <c r="AM41" s="12">
        <v>5744</v>
      </c>
      <c r="AN41" s="12">
        <v>32</v>
      </c>
      <c r="AO41" s="13">
        <f t="shared" si="8"/>
        <v>14936.4375</v>
      </c>
      <c r="AP41" s="13">
        <f t="shared" si="9"/>
        <v>538.5</v>
      </c>
      <c r="AQ41" s="14"/>
      <c r="AR41" s="12">
        <v>215740</v>
      </c>
      <c r="AS41" s="12">
        <v>7000</v>
      </c>
      <c r="AT41" s="12">
        <v>42</v>
      </c>
      <c r="AU41" s="13">
        <f t="shared" si="10"/>
        <v>15410</v>
      </c>
      <c r="AV41" s="13">
        <f t="shared" si="11"/>
        <v>500</v>
      </c>
      <c r="AW41" s="14"/>
      <c r="AX41" s="12">
        <v>108019</v>
      </c>
      <c r="AY41" s="12">
        <v>4036</v>
      </c>
      <c r="AZ41" s="12">
        <v>21</v>
      </c>
      <c r="BA41" s="13">
        <f t="shared" si="12"/>
        <v>15431.285714285714</v>
      </c>
      <c r="BB41" s="13">
        <f t="shared" si="13"/>
        <v>576.57142857142867</v>
      </c>
      <c r="BC41" s="14"/>
      <c r="BD41" s="12">
        <v>102707</v>
      </c>
      <c r="BE41" s="12">
        <v>3360</v>
      </c>
      <c r="BF41" s="12">
        <v>25</v>
      </c>
      <c r="BG41" s="13">
        <f t="shared" si="14"/>
        <v>12324.84</v>
      </c>
      <c r="BH41" s="13">
        <f t="shared" si="15"/>
        <v>403.20000000000005</v>
      </c>
      <c r="BI41" s="14"/>
      <c r="BJ41" s="12">
        <v>256821</v>
      </c>
      <c r="BK41" s="12">
        <v>8473</v>
      </c>
      <c r="BL41" s="12">
        <v>51</v>
      </c>
      <c r="BM41" s="13">
        <f t="shared" si="16"/>
        <v>15107.117647058825</v>
      </c>
      <c r="BN41" s="13">
        <f t="shared" si="17"/>
        <v>498.41176470588232</v>
      </c>
      <c r="BO41" s="14"/>
      <c r="BP41" s="12">
        <v>260806</v>
      </c>
      <c r="BQ41" s="12">
        <v>8701</v>
      </c>
      <c r="BR41" s="12">
        <v>43</v>
      </c>
      <c r="BS41" s="13">
        <f t="shared" si="18"/>
        <v>18195.767441860466</v>
      </c>
      <c r="BT41" s="13">
        <f t="shared" si="19"/>
        <v>607.04651162790697</v>
      </c>
      <c r="BU41" s="14"/>
      <c r="BV41" s="12">
        <v>205489</v>
      </c>
      <c r="BW41" s="12">
        <v>7023</v>
      </c>
      <c r="BX41" s="12">
        <v>38</v>
      </c>
      <c r="BY41" s="13">
        <f t="shared" si="20"/>
        <v>16222.815789473685</v>
      </c>
      <c r="BZ41" s="13">
        <f t="shared" si="21"/>
        <v>554.44736842105272</v>
      </c>
      <c r="CA41" s="14"/>
      <c r="CB41" s="12">
        <v>127209</v>
      </c>
      <c r="CC41" s="12">
        <v>3725</v>
      </c>
      <c r="CD41" s="12">
        <v>26</v>
      </c>
      <c r="CE41" s="13">
        <f t="shared" si="22"/>
        <v>14677.961538461537</v>
      </c>
      <c r="CF41" s="13">
        <f t="shared" si="23"/>
        <v>429.80769230769232</v>
      </c>
      <c r="CG41" s="14" t="s">
        <v>51</v>
      </c>
      <c r="CH41" s="9">
        <f t="shared" si="24"/>
        <v>162991</v>
      </c>
      <c r="CI41" s="9">
        <f t="shared" si="24"/>
        <v>5463.5</v>
      </c>
      <c r="CJ41" s="9">
        <f t="shared" si="25"/>
        <v>316</v>
      </c>
      <c r="CK41" s="10">
        <f t="shared" si="26"/>
        <v>15473.82911392405</v>
      </c>
      <c r="CL41" s="10">
        <f t="shared" si="27"/>
        <v>518.6867088607595</v>
      </c>
      <c r="CM41" s="11" t="str">
        <f t="shared" si="28"/>
        <v xml:space="preserve"> </v>
      </c>
    </row>
    <row r="42" spans="1:91" x14ac:dyDescent="0.3">
      <c r="A42" s="8" t="s">
        <v>64</v>
      </c>
      <c r="B42" s="9">
        <v>136751.33333333334</v>
      </c>
      <c r="C42" s="9">
        <v>47207.833333333336</v>
      </c>
      <c r="D42" s="9">
        <v>486</v>
      </c>
      <c r="E42" s="10">
        <v>10129.728395061727</v>
      </c>
      <c r="F42" s="10">
        <v>3496.8765432098762</v>
      </c>
      <c r="G42" s="11">
        <v>9.9983333333333331</v>
      </c>
      <c r="H42" s="9">
        <v>126779.09090909091</v>
      </c>
      <c r="I42" s="9">
        <v>44299.454545454544</v>
      </c>
      <c r="J42" s="9">
        <v>423</v>
      </c>
      <c r="K42" s="10">
        <v>9890.567375886525</v>
      </c>
      <c r="L42" s="10">
        <v>3455.9858156028367</v>
      </c>
      <c r="M42" s="11">
        <v>10.013636363636364</v>
      </c>
      <c r="N42" s="12">
        <v>49000</v>
      </c>
      <c r="O42" s="12">
        <v>17390</v>
      </c>
      <c r="P42" s="12">
        <v>11</v>
      </c>
      <c r="Q42" s="13">
        <f t="shared" si="0"/>
        <v>13363.636363636364</v>
      </c>
      <c r="R42" s="13">
        <f t="shared" si="1"/>
        <v>4742.727272727273</v>
      </c>
      <c r="S42" s="14"/>
      <c r="T42" s="12">
        <v>64000</v>
      </c>
      <c r="U42" s="12">
        <v>22862</v>
      </c>
      <c r="V42" s="12">
        <v>13</v>
      </c>
      <c r="W42" s="13">
        <f t="shared" si="2"/>
        <v>14769.23076923077</v>
      </c>
      <c r="X42" s="13">
        <f t="shared" si="3"/>
        <v>5275.8461538461534</v>
      </c>
      <c r="Y42" s="14"/>
      <c r="Z42" s="12">
        <v>59000</v>
      </c>
      <c r="AA42" s="12">
        <v>21063</v>
      </c>
      <c r="AB42" s="12">
        <v>13</v>
      </c>
      <c r="AC42" s="13">
        <f t="shared" si="4"/>
        <v>13615.384615384613</v>
      </c>
      <c r="AD42" s="13">
        <f t="shared" si="5"/>
        <v>4860.6923076923076</v>
      </c>
      <c r="AE42" s="14"/>
      <c r="AF42" s="12">
        <v>69000</v>
      </c>
      <c r="AG42" s="12">
        <v>24132</v>
      </c>
      <c r="AH42" s="12">
        <v>15</v>
      </c>
      <c r="AI42" s="13">
        <f t="shared" si="6"/>
        <v>13800</v>
      </c>
      <c r="AJ42" s="13">
        <f t="shared" si="7"/>
        <v>4826.3999999999996</v>
      </c>
      <c r="AK42" s="14"/>
      <c r="AL42" s="12">
        <v>173000</v>
      </c>
      <c r="AM42" s="12">
        <v>60558</v>
      </c>
      <c r="AN42" s="12">
        <v>34</v>
      </c>
      <c r="AO42" s="13">
        <f t="shared" si="8"/>
        <v>15264.705882352941</v>
      </c>
      <c r="AP42" s="13">
        <f t="shared" si="9"/>
        <v>5343.3529411764703</v>
      </c>
      <c r="AQ42" s="14"/>
      <c r="AR42" s="12">
        <v>128000</v>
      </c>
      <c r="AS42" s="12">
        <v>44544</v>
      </c>
      <c r="AT42" s="12">
        <v>25</v>
      </c>
      <c r="AU42" s="13">
        <f t="shared" si="10"/>
        <v>15360</v>
      </c>
      <c r="AV42" s="13">
        <f t="shared" si="11"/>
        <v>5345.28</v>
      </c>
      <c r="AW42" s="14"/>
      <c r="AX42" s="12">
        <v>30000</v>
      </c>
      <c r="AY42" s="12">
        <v>10440</v>
      </c>
      <c r="AZ42" s="12">
        <v>7</v>
      </c>
      <c r="BA42" s="13">
        <f t="shared" si="12"/>
        <v>12857.142857142855</v>
      </c>
      <c r="BB42" s="13">
        <f t="shared" si="13"/>
        <v>4474.2857142857138</v>
      </c>
      <c r="BC42" s="14"/>
      <c r="BD42" s="12">
        <v>12000</v>
      </c>
      <c r="BE42" s="12">
        <v>4176</v>
      </c>
      <c r="BF42" s="12">
        <v>3</v>
      </c>
      <c r="BG42" s="13">
        <f t="shared" si="14"/>
        <v>12000</v>
      </c>
      <c r="BH42" s="13">
        <f t="shared" si="15"/>
        <v>4176</v>
      </c>
      <c r="BI42" s="14"/>
      <c r="BJ42" s="12"/>
      <c r="BK42" s="12"/>
      <c r="BL42" s="12"/>
      <c r="BM42" s="13" t="str">
        <f t="shared" si="16"/>
        <v xml:space="preserve"> </v>
      </c>
      <c r="BN42" s="13" t="str">
        <f t="shared" si="17"/>
        <v xml:space="preserve"> </v>
      </c>
      <c r="BO42" s="14"/>
      <c r="BP42" s="12"/>
      <c r="BQ42" s="12"/>
      <c r="BR42" s="12"/>
      <c r="BS42" s="13" t="str">
        <f t="shared" si="18"/>
        <v xml:space="preserve"> </v>
      </c>
      <c r="BT42" s="13" t="str">
        <f t="shared" si="19"/>
        <v xml:space="preserve"> </v>
      </c>
      <c r="BU42" s="14"/>
      <c r="BV42" s="12">
        <v>75000</v>
      </c>
      <c r="BW42" s="12">
        <v>26100</v>
      </c>
      <c r="BX42" s="12">
        <v>12</v>
      </c>
      <c r="BY42" s="13">
        <f t="shared" si="20"/>
        <v>18750</v>
      </c>
      <c r="BZ42" s="13">
        <f t="shared" si="21"/>
        <v>6525</v>
      </c>
      <c r="CA42" s="14"/>
      <c r="CB42" s="12">
        <v>75850</v>
      </c>
      <c r="CC42" s="12">
        <v>26750</v>
      </c>
      <c r="CD42" s="12">
        <v>17</v>
      </c>
      <c r="CE42" s="13">
        <f t="shared" si="22"/>
        <v>13385.294117647059</v>
      </c>
      <c r="CF42" s="13">
        <f t="shared" si="23"/>
        <v>4720.5882352941171</v>
      </c>
      <c r="CG42" s="14" t="s">
        <v>51</v>
      </c>
      <c r="CH42" s="9">
        <f t="shared" si="24"/>
        <v>73485</v>
      </c>
      <c r="CI42" s="9">
        <f t="shared" si="24"/>
        <v>25801.5</v>
      </c>
      <c r="CJ42" s="9">
        <f t="shared" si="25"/>
        <v>150</v>
      </c>
      <c r="CK42" s="10">
        <f t="shared" si="26"/>
        <v>14697</v>
      </c>
      <c r="CL42" s="10">
        <f t="shared" si="27"/>
        <v>5160.2999999999993</v>
      </c>
      <c r="CM42" s="11" t="str">
        <f t="shared" si="28"/>
        <v xml:space="preserve"> </v>
      </c>
    </row>
    <row r="43" spans="1:91" x14ac:dyDescent="0.3">
      <c r="A43" s="8" t="s">
        <v>65</v>
      </c>
      <c r="B43" s="9">
        <v>373488.66666666669</v>
      </c>
      <c r="C43" s="9">
        <v>257845.83333333334</v>
      </c>
      <c r="D43" s="9">
        <v>964</v>
      </c>
      <c r="E43" s="10">
        <v>13947.709543568464</v>
      </c>
      <c r="F43" s="10">
        <v>9629.0975103734454</v>
      </c>
      <c r="G43" s="11">
        <v>11.320833333333333</v>
      </c>
      <c r="H43" s="9">
        <v>221579.88888888888</v>
      </c>
      <c r="I43" s="9">
        <v>137439.66666666666</v>
      </c>
      <c r="J43" s="9">
        <v>487</v>
      </c>
      <c r="K43" s="10">
        <v>12284.716632443531</v>
      </c>
      <c r="L43" s="10">
        <v>7619.8583162217656</v>
      </c>
      <c r="M43" s="11">
        <v>10.897777777777778</v>
      </c>
      <c r="N43" s="12">
        <v>149878</v>
      </c>
      <c r="O43" s="12">
        <v>83082</v>
      </c>
      <c r="P43" s="12">
        <v>34</v>
      </c>
      <c r="Q43" s="13">
        <f t="shared" si="0"/>
        <v>13224.529411764706</v>
      </c>
      <c r="R43" s="13">
        <f t="shared" si="1"/>
        <v>7330.7647058823532</v>
      </c>
      <c r="S43" s="14"/>
      <c r="T43" s="12">
        <v>239367</v>
      </c>
      <c r="U43" s="12">
        <v>188536</v>
      </c>
      <c r="V43" s="12">
        <v>65</v>
      </c>
      <c r="W43" s="13">
        <f t="shared" si="2"/>
        <v>11047.707692307693</v>
      </c>
      <c r="X43" s="13">
        <f t="shared" si="3"/>
        <v>8701.6615384615397</v>
      </c>
      <c r="Y43" s="14"/>
      <c r="Z43" s="12">
        <v>68040</v>
      </c>
      <c r="AA43" s="12">
        <v>48178</v>
      </c>
      <c r="AB43" s="12">
        <v>14</v>
      </c>
      <c r="AC43" s="13">
        <f t="shared" si="4"/>
        <v>14580</v>
      </c>
      <c r="AD43" s="13">
        <f t="shared" si="5"/>
        <v>10323.857142857143</v>
      </c>
      <c r="AE43" s="14"/>
      <c r="AF43" s="12"/>
      <c r="AG43" s="12"/>
      <c r="AH43" s="12"/>
      <c r="AI43" s="13" t="str">
        <f t="shared" si="6"/>
        <v xml:space="preserve"> </v>
      </c>
      <c r="AJ43" s="13" t="str">
        <f t="shared" si="7"/>
        <v xml:space="preserve"> </v>
      </c>
      <c r="AK43" s="14"/>
      <c r="AL43" s="12">
        <v>86359</v>
      </c>
      <c r="AM43" s="12">
        <v>96714</v>
      </c>
      <c r="AN43" s="12">
        <v>28</v>
      </c>
      <c r="AO43" s="13">
        <f t="shared" si="8"/>
        <v>9252.75</v>
      </c>
      <c r="AP43" s="13">
        <f t="shared" si="9"/>
        <v>10362.214285714286</v>
      </c>
      <c r="AQ43" s="14"/>
      <c r="AR43" s="12">
        <v>77864</v>
      </c>
      <c r="AS43" s="12">
        <v>59186</v>
      </c>
      <c r="AT43" s="12">
        <v>25</v>
      </c>
      <c r="AU43" s="13">
        <f t="shared" si="10"/>
        <v>9343.68</v>
      </c>
      <c r="AV43" s="13">
        <f t="shared" si="11"/>
        <v>7102.32</v>
      </c>
      <c r="AW43" s="14"/>
      <c r="AX43" s="12">
        <v>159583</v>
      </c>
      <c r="AY43" s="12">
        <v>139041</v>
      </c>
      <c r="AZ43" s="12">
        <v>59</v>
      </c>
      <c r="BA43" s="13">
        <f t="shared" si="12"/>
        <v>8114.3898305084749</v>
      </c>
      <c r="BB43" s="13">
        <f t="shared" si="13"/>
        <v>7069.8813559322025</v>
      </c>
      <c r="BC43" s="14"/>
      <c r="BD43" s="12">
        <v>52428</v>
      </c>
      <c r="BE43" s="12">
        <v>47526</v>
      </c>
      <c r="BF43" s="12">
        <v>15</v>
      </c>
      <c r="BG43" s="13">
        <f t="shared" si="14"/>
        <v>10485.599999999999</v>
      </c>
      <c r="BH43" s="13">
        <f t="shared" si="15"/>
        <v>9505.2000000000007</v>
      </c>
      <c r="BI43" s="14"/>
      <c r="BJ43" s="12">
        <v>156301</v>
      </c>
      <c r="BK43" s="12">
        <v>128978</v>
      </c>
      <c r="BL43" s="12">
        <v>46</v>
      </c>
      <c r="BM43" s="13">
        <f t="shared" si="16"/>
        <v>10193.54347826087</v>
      </c>
      <c r="BN43" s="13">
        <f t="shared" si="17"/>
        <v>8411.608695652174</v>
      </c>
      <c r="BO43" s="14"/>
      <c r="BP43" s="12">
        <v>277495</v>
      </c>
      <c r="BQ43" s="12">
        <v>203110</v>
      </c>
      <c r="BR43" s="12">
        <v>70</v>
      </c>
      <c r="BS43" s="13">
        <f t="shared" si="18"/>
        <v>11892.642857142857</v>
      </c>
      <c r="BT43" s="13">
        <f t="shared" si="19"/>
        <v>8704.7142857142862</v>
      </c>
      <c r="BU43" s="14"/>
      <c r="BV43" s="12">
        <v>222998</v>
      </c>
      <c r="BW43" s="12">
        <v>180935</v>
      </c>
      <c r="BX43" s="12">
        <v>58</v>
      </c>
      <c r="BY43" s="13">
        <f t="shared" si="20"/>
        <v>11534.379310344828</v>
      </c>
      <c r="BZ43" s="13">
        <f t="shared" si="21"/>
        <v>9358.7068965517246</v>
      </c>
      <c r="CA43" s="14"/>
      <c r="CB43" s="12">
        <v>230061</v>
      </c>
      <c r="CC43" s="12">
        <v>218087</v>
      </c>
      <c r="CD43" s="12">
        <v>67</v>
      </c>
      <c r="CE43" s="13">
        <f t="shared" si="22"/>
        <v>10301.23880597015</v>
      </c>
      <c r="CF43" s="13">
        <f t="shared" si="23"/>
        <v>9765.0895522388055</v>
      </c>
      <c r="CG43" s="14" t="s">
        <v>51</v>
      </c>
      <c r="CH43" s="9">
        <f t="shared" si="24"/>
        <v>156397.63636363635</v>
      </c>
      <c r="CI43" s="9">
        <f t="shared" si="24"/>
        <v>126670.27272727272</v>
      </c>
      <c r="CJ43" s="9">
        <f t="shared" si="25"/>
        <v>481</v>
      </c>
      <c r="CK43" s="10">
        <f t="shared" si="26"/>
        <v>10729.983367983368</v>
      </c>
      <c r="CL43" s="10">
        <f t="shared" si="27"/>
        <v>8690.4760914760918</v>
      </c>
      <c r="CM43" s="11" t="str">
        <f t="shared" si="28"/>
        <v xml:space="preserve"> </v>
      </c>
    </row>
    <row r="44" spans="1:91" x14ac:dyDescent="0.3">
      <c r="A44" s="8" t="s">
        <v>66</v>
      </c>
      <c r="B44" s="9">
        <v>74037.333333333328</v>
      </c>
      <c r="C44" s="9">
        <v>337570.33333333331</v>
      </c>
      <c r="D44" s="9">
        <v>776</v>
      </c>
      <c r="E44" s="10">
        <v>3434.7216494845361</v>
      </c>
      <c r="F44" s="10">
        <v>15660.4793814433</v>
      </c>
      <c r="G44" s="11">
        <v>33.924999999999997</v>
      </c>
      <c r="H44" s="9">
        <v>58449.222222222219</v>
      </c>
      <c r="I44" s="9">
        <v>257683.44444444444</v>
      </c>
      <c r="J44" s="9">
        <v>503</v>
      </c>
      <c r="K44" s="10">
        <v>3137.4333996023856</v>
      </c>
      <c r="L44" s="10">
        <v>13831.914512922467</v>
      </c>
      <c r="M44" s="11">
        <v>33.138888888888893</v>
      </c>
      <c r="N44" s="12">
        <v>26395</v>
      </c>
      <c r="O44" s="12">
        <v>110224</v>
      </c>
      <c r="P44" s="12">
        <v>20</v>
      </c>
      <c r="Q44" s="13">
        <f t="shared" si="0"/>
        <v>3959.25</v>
      </c>
      <c r="R44" s="13">
        <f t="shared" si="1"/>
        <v>16533.599999999999</v>
      </c>
      <c r="S44" s="14"/>
      <c r="T44" s="12">
        <v>61270</v>
      </c>
      <c r="U44" s="12">
        <v>302593</v>
      </c>
      <c r="V44" s="12">
        <v>57</v>
      </c>
      <c r="W44" s="13">
        <f t="shared" si="2"/>
        <v>3224.7368421052629</v>
      </c>
      <c r="X44" s="13">
        <f t="shared" si="3"/>
        <v>15925.947368421052</v>
      </c>
      <c r="Y44" s="14"/>
      <c r="Z44" s="12">
        <v>60420</v>
      </c>
      <c r="AA44" s="12">
        <v>245415</v>
      </c>
      <c r="AB44" s="12">
        <v>42</v>
      </c>
      <c r="AC44" s="13">
        <f t="shared" si="4"/>
        <v>4315.7142857142862</v>
      </c>
      <c r="AD44" s="13">
        <f t="shared" si="5"/>
        <v>17529.642857142855</v>
      </c>
      <c r="AE44" s="14"/>
      <c r="AF44" s="12">
        <v>37720</v>
      </c>
      <c r="AG44" s="12">
        <v>146650</v>
      </c>
      <c r="AH44" s="12">
        <v>36</v>
      </c>
      <c r="AI44" s="13">
        <f t="shared" si="6"/>
        <v>3143.3333333333335</v>
      </c>
      <c r="AJ44" s="13">
        <f t="shared" si="7"/>
        <v>12220.833333333334</v>
      </c>
      <c r="AK44" s="14"/>
      <c r="AL44" s="12">
        <v>38572</v>
      </c>
      <c r="AM44" s="12">
        <v>224750</v>
      </c>
      <c r="AN44" s="12">
        <v>31</v>
      </c>
      <c r="AO44" s="13">
        <f t="shared" si="8"/>
        <v>3732.7741935483873</v>
      </c>
      <c r="AP44" s="13">
        <f t="shared" si="9"/>
        <v>21750</v>
      </c>
      <c r="AQ44" s="14"/>
      <c r="AR44" s="12">
        <v>41603</v>
      </c>
      <c r="AS44" s="12">
        <v>195022</v>
      </c>
      <c r="AT44" s="12">
        <v>37</v>
      </c>
      <c r="AU44" s="13">
        <f t="shared" si="10"/>
        <v>3373.2162162162163</v>
      </c>
      <c r="AV44" s="13">
        <f t="shared" si="11"/>
        <v>15812.594594594595</v>
      </c>
      <c r="AW44" s="14"/>
      <c r="AX44" s="12">
        <v>38042</v>
      </c>
      <c r="AY44" s="12">
        <v>224397</v>
      </c>
      <c r="AZ44" s="12">
        <v>42</v>
      </c>
      <c r="BA44" s="13">
        <f t="shared" si="12"/>
        <v>2717.2857142857147</v>
      </c>
      <c r="BB44" s="13">
        <f t="shared" si="13"/>
        <v>16028.357142857145</v>
      </c>
      <c r="BC44" s="14"/>
      <c r="BD44" s="12">
        <v>61636</v>
      </c>
      <c r="BE44" s="12">
        <v>283297</v>
      </c>
      <c r="BF44" s="12">
        <v>52</v>
      </c>
      <c r="BG44" s="13">
        <f t="shared" si="14"/>
        <v>3555.9230769230771</v>
      </c>
      <c r="BH44" s="13">
        <f t="shared" si="15"/>
        <v>16344.057692307691</v>
      </c>
      <c r="BI44" s="14"/>
      <c r="BJ44" s="12">
        <v>62400</v>
      </c>
      <c r="BK44" s="12">
        <v>317025</v>
      </c>
      <c r="BL44" s="12">
        <v>46</v>
      </c>
      <c r="BM44" s="13">
        <f t="shared" si="16"/>
        <v>4069.565217391304</v>
      </c>
      <c r="BN44" s="13">
        <f t="shared" si="17"/>
        <v>20675.543478260872</v>
      </c>
      <c r="BO44" s="14"/>
      <c r="BP44" s="12">
        <v>74212</v>
      </c>
      <c r="BQ44" s="12">
        <v>399457</v>
      </c>
      <c r="BR44" s="12">
        <v>62</v>
      </c>
      <c r="BS44" s="13">
        <f t="shared" si="18"/>
        <v>3590.9032258064517</v>
      </c>
      <c r="BT44" s="13">
        <f t="shared" si="19"/>
        <v>19328.56451612903</v>
      </c>
      <c r="BU44" s="14"/>
      <c r="BV44" s="12">
        <v>68992</v>
      </c>
      <c r="BW44" s="12">
        <v>390219</v>
      </c>
      <c r="BX44" s="12">
        <v>55</v>
      </c>
      <c r="BY44" s="13">
        <f t="shared" si="20"/>
        <v>3763.2000000000003</v>
      </c>
      <c r="BZ44" s="13">
        <f t="shared" si="21"/>
        <v>21284.672727272729</v>
      </c>
      <c r="CA44" s="14"/>
      <c r="CB44" s="12">
        <v>82922</v>
      </c>
      <c r="CC44" s="12">
        <v>403145</v>
      </c>
      <c r="CD44" s="12">
        <v>65</v>
      </c>
      <c r="CE44" s="13">
        <f t="shared" si="22"/>
        <v>3827.1692307692306</v>
      </c>
      <c r="CF44" s="13">
        <f t="shared" si="23"/>
        <v>18606.692307692309</v>
      </c>
      <c r="CG44" s="14" t="s">
        <v>51</v>
      </c>
      <c r="CH44" s="9">
        <f t="shared" si="24"/>
        <v>54515.333333333336</v>
      </c>
      <c r="CI44" s="9">
        <f t="shared" si="24"/>
        <v>270182.83333333331</v>
      </c>
      <c r="CJ44" s="9">
        <f t="shared" si="25"/>
        <v>545</v>
      </c>
      <c r="CK44" s="10">
        <f t="shared" si="26"/>
        <v>3601.0128440366975</v>
      </c>
      <c r="CL44" s="10">
        <f t="shared" si="27"/>
        <v>17846.939449541285</v>
      </c>
      <c r="CM44" s="11" t="str">
        <f t="shared" si="28"/>
        <v xml:space="preserve"> </v>
      </c>
    </row>
    <row r="45" spans="1:91" x14ac:dyDescent="0.3">
      <c r="A45" s="8" t="s">
        <v>67</v>
      </c>
      <c r="B45" s="9">
        <v>322721.25</v>
      </c>
      <c r="C45" s="9">
        <v>17755.916666666668</v>
      </c>
      <c r="D45" s="9">
        <v>879</v>
      </c>
      <c r="E45" s="10">
        <v>13217.252559726963</v>
      </c>
      <c r="F45" s="10">
        <v>727.20477815699655</v>
      </c>
      <c r="G45" s="11">
        <v>3.3033333333333341</v>
      </c>
      <c r="H45" s="9">
        <v>212939.63636363635</v>
      </c>
      <c r="I45" s="9">
        <v>11771.545454545454</v>
      </c>
      <c r="J45" s="9">
        <v>598</v>
      </c>
      <c r="K45" s="10">
        <v>11750.84949832776</v>
      </c>
      <c r="L45" s="10">
        <v>649.60033444816054</v>
      </c>
      <c r="M45" s="11">
        <v>3.3372727272727274</v>
      </c>
      <c r="N45" s="12">
        <v>153205</v>
      </c>
      <c r="O45" s="12">
        <v>7030</v>
      </c>
      <c r="P45" s="12">
        <v>40</v>
      </c>
      <c r="Q45" s="13">
        <f t="shared" si="0"/>
        <v>11490.375</v>
      </c>
      <c r="R45" s="13">
        <f t="shared" si="1"/>
        <v>527.25</v>
      </c>
      <c r="S45" s="14"/>
      <c r="T45" s="12">
        <v>197844</v>
      </c>
      <c r="U45" s="12">
        <v>10713</v>
      </c>
      <c r="V45" s="12">
        <v>52</v>
      </c>
      <c r="W45" s="13">
        <f t="shared" si="2"/>
        <v>11414.076923076922</v>
      </c>
      <c r="X45" s="13">
        <f t="shared" si="3"/>
        <v>618.05769230769238</v>
      </c>
      <c r="Y45" s="14"/>
      <c r="Z45" s="12">
        <v>271444</v>
      </c>
      <c r="AA45" s="12">
        <v>22752</v>
      </c>
      <c r="AB45" s="12">
        <v>64</v>
      </c>
      <c r="AC45" s="13">
        <f t="shared" si="4"/>
        <v>12723.9375</v>
      </c>
      <c r="AD45" s="13">
        <f t="shared" si="5"/>
        <v>1066.5</v>
      </c>
      <c r="AE45" s="14"/>
      <c r="AF45" s="12">
        <v>60072</v>
      </c>
      <c r="AG45" s="12">
        <v>5717</v>
      </c>
      <c r="AH45" s="12">
        <v>21</v>
      </c>
      <c r="AI45" s="13">
        <f t="shared" si="6"/>
        <v>8581.7142857142862</v>
      </c>
      <c r="AJ45" s="13">
        <f t="shared" si="7"/>
        <v>816.71428571428578</v>
      </c>
      <c r="AK45" s="14"/>
      <c r="AL45" s="12">
        <v>91450</v>
      </c>
      <c r="AM45" s="12">
        <v>7186</v>
      </c>
      <c r="AN45" s="12">
        <v>20</v>
      </c>
      <c r="AO45" s="13">
        <f t="shared" si="8"/>
        <v>13717.5</v>
      </c>
      <c r="AP45" s="13">
        <f t="shared" si="9"/>
        <v>1077.9000000000001</v>
      </c>
      <c r="AQ45" s="14"/>
      <c r="AR45" s="12">
        <v>162695</v>
      </c>
      <c r="AS45" s="12">
        <v>10674</v>
      </c>
      <c r="AT45" s="12">
        <v>43</v>
      </c>
      <c r="AU45" s="13">
        <f t="shared" si="10"/>
        <v>11350.813953488372</v>
      </c>
      <c r="AV45" s="13">
        <f t="shared" si="11"/>
        <v>744.69767441860472</v>
      </c>
      <c r="AW45" s="14"/>
      <c r="AX45" s="12">
        <v>122938</v>
      </c>
      <c r="AY45" s="12">
        <v>8074</v>
      </c>
      <c r="AZ45" s="12">
        <v>44</v>
      </c>
      <c r="BA45" s="13">
        <f t="shared" si="12"/>
        <v>8382.136363636364</v>
      </c>
      <c r="BB45" s="13">
        <f t="shared" si="13"/>
        <v>550.5</v>
      </c>
      <c r="BC45" s="14"/>
      <c r="BD45" s="12">
        <v>84386</v>
      </c>
      <c r="BE45" s="12">
        <v>5240</v>
      </c>
      <c r="BF45" s="12">
        <v>26</v>
      </c>
      <c r="BG45" s="13">
        <f t="shared" si="14"/>
        <v>9736.8461538461543</v>
      </c>
      <c r="BH45" s="13">
        <f t="shared" si="15"/>
        <v>604.61538461538464</v>
      </c>
      <c r="BI45" s="14"/>
      <c r="BJ45" s="12">
        <v>231987</v>
      </c>
      <c r="BK45" s="12">
        <v>15325</v>
      </c>
      <c r="BL45" s="12">
        <v>50</v>
      </c>
      <c r="BM45" s="13">
        <f t="shared" si="16"/>
        <v>13919.22</v>
      </c>
      <c r="BN45" s="13">
        <f t="shared" si="17"/>
        <v>919.5</v>
      </c>
      <c r="BO45" s="14"/>
      <c r="BP45" s="12">
        <v>308428</v>
      </c>
      <c r="BQ45" s="12">
        <v>17907</v>
      </c>
      <c r="BR45" s="12">
        <v>73</v>
      </c>
      <c r="BS45" s="13">
        <f t="shared" si="18"/>
        <v>12675.123287671235</v>
      </c>
      <c r="BT45" s="13">
        <f t="shared" si="19"/>
        <v>735.90410958904113</v>
      </c>
      <c r="BU45" s="14"/>
      <c r="BV45" s="12">
        <v>268753</v>
      </c>
      <c r="BW45" s="12">
        <v>13807</v>
      </c>
      <c r="BX45" s="12">
        <v>59</v>
      </c>
      <c r="BY45" s="13">
        <f t="shared" si="20"/>
        <v>13665.406779661016</v>
      </c>
      <c r="BZ45" s="13">
        <f t="shared" si="21"/>
        <v>702.05084745762713</v>
      </c>
      <c r="CA45" s="14"/>
      <c r="CB45" s="12">
        <v>249896</v>
      </c>
      <c r="CC45" s="12">
        <v>13271</v>
      </c>
      <c r="CD45" s="12">
        <v>58</v>
      </c>
      <c r="CE45" s="13">
        <f t="shared" si="22"/>
        <v>12925.655172413793</v>
      </c>
      <c r="CF45" s="13">
        <f t="shared" si="23"/>
        <v>686.43103448275861</v>
      </c>
      <c r="CG45" s="14" t="s">
        <v>51</v>
      </c>
      <c r="CH45" s="9">
        <f t="shared" si="24"/>
        <v>183591.5</v>
      </c>
      <c r="CI45" s="9">
        <f t="shared" si="24"/>
        <v>11474.666666666666</v>
      </c>
      <c r="CJ45" s="9">
        <f t="shared" si="25"/>
        <v>550</v>
      </c>
      <c r="CK45" s="10">
        <f t="shared" si="26"/>
        <v>12016.898181818182</v>
      </c>
      <c r="CL45" s="10">
        <f t="shared" si="27"/>
        <v>751.06909090909085</v>
      </c>
      <c r="CM45" s="11" t="str">
        <f t="shared" si="28"/>
        <v xml:space="preserve"> </v>
      </c>
    </row>
    <row r="46" spans="1:91" x14ac:dyDescent="0.3">
      <c r="A46" s="8" t="s">
        <v>68</v>
      </c>
      <c r="B46" s="9">
        <v>323282.33333333331</v>
      </c>
      <c r="C46" s="9">
        <v>16774.75</v>
      </c>
      <c r="D46" s="9">
        <v>904</v>
      </c>
      <c r="E46" s="10">
        <v>12874.075221238938</v>
      </c>
      <c r="F46" s="10">
        <v>668.02101769911508</v>
      </c>
      <c r="G46" s="11">
        <v>3.1991666666666667</v>
      </c>
      <c r="H46" s="9">
        <v>215213.90909090909</v>
      </c>
      <c r="I46" s="9">
        <v>11581.181818181818</v>
      </c>
      <c r="J46" s="9">
        <v>620</v>
      </c>
      <c r="K46" s="10">
        <v>11454.933870967741</v>
      </c>
      <c r="L46" s="10">
        <v>616.41774193548383</v>
      </c>
      <c r="M46" s="11">
        <v>3.209090909090909</v>
      </c>
      <c r="N46" s="12">
        <v>120455.47443999999</v>
      </c>
      <c r="O46" s="12">
        <v>5149</v>
      </c>
      <c r="P46" s="12">
        <v>30</v>
      </c>
      <c r="Q46" s="13">
        <f t="shared" si="0"/>
        <v>12045.547443999998</v>
      </c>
      <c r="R46" s="13">
        <f t="shared" si="1"/>
        <v>514.9</v>
      </c>
      <c r="S46" s="14"/>
      <c r="T46" s="12">
        <v>126820</v>
      </c>
      <c r="U46" s="12">
        <v>7694</v>
      </c>
      <c r="V46" s="12">
        <v>44</v>
      </c>
      <c r="W46" s="13">
        <f t="shared" si="2"/>
        <v>8646.818181818182</v>
      </c>
      <c r="X46" s="13">
        <f t="shared" si="3"/>
        <v>524.59090909090912</v>
      </c>
      <c r="Y46" s="14"/>
      <c r="Z46" s="12">
        <v>289080</v>
      </c>
      <c r="AA46" s="12">
        <v>25377</v>
      </c>
      <c r="AB46" s="12">
        <v>62</v>
      </c>
      <c r="AC46" s="13">
        <f t="shared" si="4"/>
        <v>13987.741935483871</v>
      </c>
      <c r="AD46" s="13">
        <f t="shared" si="5"/>
        <v>1227.9193548387098</v>
      </c>
      <c r="AE46" s="14"/>
      <c r="AF46" s="12">
        <v>86571</v>
      </c>
      <c r="AG46" s="12">
        <v>8664</v>
      </c>
      <c r="AH46" s="12">
        <v>26</v>
      </c>
      <c r="AI46" s="13">
        <f t="shared" si="6"/>
        <v>9988.961538461539</v>
      </c>
      <c r="AJ46" s="13">
        <f t="shared" si="7"/>
        <v>999.69230769230762</v>
      </c>
      <c r="AK46" s="14"/>
      <c r="AL46" s="12">
        <v>96591</v>
      </c>
      <c r="AM46" s="12">
        <v>6627</v>
      </c>
      <c r="AN46" s="12">
        <v>21</v>
      </c>
      <c r="AO46" s="13">
        <f t="shared" si="8"/>
        <v>13798.714285714286</v>
      </c>
      <c r="AP46" s="13">
        <f t="shared" si="9"/>
        <v>946.71428571428567</v>
      </c>
      <c r="AQ46" s="14"/>
      <c r="AR46" s="12">
        <v>157658</v>
      </c>
      <c r="AS46" s="12">
        <v>12522</v>
      </c>
      <c r="AT46" s="12">
        <v>47</v>
      </c>
      <c r="AU46" s="13">
        <f t="shared" si="10"/>
        <v>10063.276595744681</v>
      </c>
      <c r="AV46" s="13">
        <f t="shared" si="11"/>
        <v>799.27659574468089</v>
      </c>
      <c r="AW46" s="14"/>
      <c r="AX46" s="12">
        <v>72657</v>
      </c>
      <c r="AY46" s="12">
        <v>6378</v>
      </c>
      <c r="AZ46" s="12">
        <v>35</v>
      </c>
      <c r="BA46" s="13">
        <f t="shared" si="12"/>
        <v>6227.7428571428572</v>
      </c>
      <c r="BB46" s="13">
        <f t="shared" si="13"/>
        <v>546.68571428571431</v>
      </c>
      <c r="BC46" s="14"/>
      <c r="BD46" s="12">
        <v>40175</v>
      </c>
      <c r="BE46" s="12">
        <v>3191</v>
      </c>
      <c r="BF46" s="12">
        <v>18</v>
      </c>
      <c r="BG46" s="13">
        <f t="shared" si="14"/>
        <v>6695.833333333333</v>
      </c>
      <c r="BH46" s="13">
        <f t="shared" si="15"/>
        <v>531.83333333333326</v>
      </c>
      <c r="BI46" s="14"/>
      <c r="BJ46" s="12">
        <v>130086</v>
      </c>
      <c r="BK46" s="12">
        <v>8223</v>
      </c>
      <c r="BL46" s="12">
        <v>31</v>
      </c>
      <c r="BM46" s="13">
        <f t="shared" si="16"/>
        <v>12588.967741935483</v>
      </c>
      <c r="BN46" s="13">
        <f t="shared" si="17"/>
        <v>795.77419354838707</v>
      </c>
      <c r="BO46" s="14"/>
      <c r="BP46" s="12">
        <v>216611</v>
      </c>
      <c r="BQ46" s="12">
        <v>12659</v>
      </c>
      <c r="BR46" s="12">
        <v>59</v>
      </c>
      <c r="BS46" s="13">
        <f t="shared" si="18"/>
        <v>11014.118644067798</v>
      </c>
      <c r="BT46" s="13">
        <f t="shared" si="19"/>
        <v>643.67796610169489</v>
      </c>
      <c r="BU46" s="14"/>
      <c r="BV46" s="12">
        <v>231438</v>
      </c>
      <c r="BW46" s="12">
        <v>11088</v>
      </c>
      <c r="BX46" s="12">
        <v>50</v>
      </c>
      <c r="BY46" s="13">
        <f t="shared" si="20"/>
        <v>13886.28</v>
      </c>
      <c r="BZ46" s="13">
        <f t="shared" si="21"/>
        <v>665.28</v>
      </c>
      <c r="CA46" s="14"/>
      <c r="CB46" s="12">
        <v>223330</v>
      </c>
      <c r="CC46" s="12">
        <v>13489</v>
      </c>
      <c r="CD46" s="12">
        <v>62</v>
      </c>
      <c r="CE46" s="13">
        <f t="shared" si="22"/>
        <v>10806.290322580644</v>
      </c>
      <c r="CF46" s="13">
        <f t="shared" si="23"/>
        <v>652.69354838709683</v>
      </c>
      <c r="CG46" s="14" t="s">
        <v>51</v>
      </c>
      <c r="CH46" s="9">
        <f t="shared" si="24"/>
        <v>149289.37286999999</v>
      </c>
      <c r="CI46" s="9">
        <f t="shared" si="24"/>
        <v>10088.416666666666</v>
      </c>
      <c r="CJ46" s="9">
        <f t="shared" si="25"/>
        <v>485</v>
      </c>
      <c r="CK46" s="10">
        <f t="shared" si="26"/>
        <v>11081.273037773197</v>
      </c>
      <c r="CL46" s="10">
        <f t="shared" si="27"/>
        <v>748.83092783505151</v>
      </c>
      <c r="CM46" s="11" t="str">
        <f t="shared" si="28"/>
        <v xml:space="preserve"> </v>
      </c>
    </row>
    <row r="47" spans="1:91" x14ac:dyDescent="0.3">
      <c r="A47" s="8" t="s">
        <v>69</v>
      </c>
      <c r="B47" s="9">
        <v>321165.75</v>
      </c>
      <c r="C47" s="9">
        <v>17299.583333333332</v>
      </c>
      <c r="D47" s="9">
        <v>882</v>
      </c>
      <c r="E47" s="10">
        <v>13108.806122448979</v>
      </c>
      <c r="F47" s="10">
        <v>706.10544217687072</v>
      </c>
      <c r="G47" s="11">
        <v>3.2549999999999994</v>
      </c>
      <c r="H47" s="9">
        <v>160114.88888888888</v>
      </c>
      <c r="I47" s="9">
        <v>9259</v>
      </c>
      <c r="J47" s="9">
        <v>459</v>
      </c>
      <c r="K47" s="10">
        <v>9418.5228758169942</v>
      </c>
      <c r="L47" s="10">
        <v>544.64705882352951</v>
      </c>
      <c r="M47" s="11">
        <v>3.3611111111111116</v>
      </c>
      <c r="N47" s="12">
        <v>73360</v>
      </c>
      <c r="O47" s="12">
        <v>4244</v>
      </c>
      <c r="P47" s="12">
        <v>26</v>
      </c>
      <c r="Q47" s="13">
        <f t="shared" si="0"/>
        <v>8464.6153846153848</v>
      </c>
      <c r="R47" s="13">
        <f t="shared" si="1"/>
        <v>489.69230769230768</v>
      </c>
      <c r="S47" s="14"/>
      <c r="T47" s="12">
        <v>95545</v>
      </c>
      <c r="U47" s="12">
        <v>6394</v>
      </c>
      <c r="V47" s="12">
        <v>44</v>
      </c>
      <c r="W47" s="13">
        <f t="shared" si="2"/>
        <v>6514.431818181818</v>
      </c>
      <c r="X47" s="13">
        <f t="shared" si="3"/>
        <v>435.95454545454544</v>
      </c>
      <c r="Y47" s="14"/>
      <c r="Z47" s="12">
        <v>207781</v>
      </c>
      <c r="AA47" s="12">
        <v>17336</v>
      </c>
      <c r="AB47" s="12">
        <v>49</v>
      </c>
      <c r="AC47" s="13">
        <f t="shared" si="4"/>
        <v>12721.285714285714</v>
      </c>
      <c r="AD47" s="13">
        <f t="shared" si="5"/>
        <v>1061.3877551020407</v>
      </c>
      <c r="AE47" s="14"/>
      <c r="AF47" s="12">
        <v>40382</v>
      </c>
      <c r="AG47" s="12">
        <v>2611</v>
      </c>
      <c r="AH47" s="12">
        <v>15</v>
      </c>
      <c r="AI47" s="13">
        <f t="shared" si="6"/>
        <v>8076.4</v>
      </c>
      <c r="AJ47" s="13">
        <f t="shared" si="7"/>
        <v>522.20000000000005</v>
      </c>
      <c r="AK47" s="14"/>
      <c r="AL47" s="12"/>
      <c r="AM47" s="12"/>
      <c r="AN47" s="12"/>
      <c r="AO47" s="13" t="str">
        <f t="shared" si="8"/>
        <v xml:space="preserve"> </v>
      </c>
      <c r="AP47" s="13" t="str">
        <f t="shared" si="9"/>
        <v xml:space="preserve"> </v>
      </c>
      <c r="AQ47" s="14"/>
      <c r="AR47" s="12"/>
      <c r="AS47" s="12"/>
      <c r="AT47" s="12"/>
      <c r="AU47" s="13" t="str">
        <f t="shared" si="10"/>
        <v xml:space="preserve"> </v>
      </c>
      <c r="AV47" s="13" t="str">
        <f t="shared" si="11"/>
        <v xml:space="preserve"> </v>
      </c>
      <c r="AW47" s="14"/>
      <c r="AX47" s="12">
        <v>98530</v>
      </c>
      <c r="AY47" s="12">
        <v>5624</v>
      </c>
      <c r="AZ47" s="12">
        <v>37</v>
      </c>
      <c r="BA47" s="13">
        <f t="shared" si="12"/>
        <v>7988.9189189189183</v>
      </c>
      <c r="BB47" s="13">
        <f t="shared" si="13"/>
        <v>456</v>
      </c>
      <c r="BC47" s="14"/>
      <c r="BD47" s="12">
        <v>9996</v>
      </c>
      <c r="BE47" s="12">
        <v>778</v>
      </c>
      <c r="BF47" s="12">
        <v>3</v>
      </c>
      <c r="BG47" s="13">
        <f t="shared" si="14"/>
        <v>9996</v>
      </c>
      <c r="BH47" s="13">
        <f t="shared" si="15"/>
        <v>778</v>
      </c>
      <c r="BI47" s="14"/>
      <c r="BJ47" s="12">
        <v>159695</v>
      </c>
      <c r="BK47" s="12">
        <v>12030</v>
      </c>
      <c r="BL47" s="12">
        <v>37</v>
      </c>
      <c r="BM47" s="13">
        <f t="shared" si="16"/>
        <v>12948.243243243243</v>
      </c>
      <c r="BN47" s="13">
        <f t="shared" si="17"/>
        <v>975.40540540540542</v>
      </c>
      <c r="BO47" s="14"/>
      <c r="BP47" s="12">
        <v>249390</v>
      </c>
      <c r="BQ47" s="12">
        <v>19106</v>
      </c>
      <c r="BR47" s="12">
        <v>68</v>
      </c>
      <c r="BS47" s="13">
        <f t="shared" si="18"/>
        <v>11002.5</v>
      </c>
      <c r="BT47" s="13">
        <f t="shared" si="19"/>
        <v>842.91176470588243</v>
      </c>
      <c r="BU47" s="14"/>
      <c r="BV47" s="12">
        <v>151576</v>
      </c>
      <c r="BW47" s="12">
        <v>10778</v>
      </c>
      <c r="BX47" s="12">
        <v>47</v>
      </c>
      <c r="BY47" s="13">
        <f t="shared" si="20"/>
        <v>9675.0638297872356</v>
      </c>
      <c r="BZ47" s="13">
        <f t="shared" si="21"/>
        <v>687.95744680851067</v>
      </c>
      <c r="CA47" s="14"/>
      <c r="CB47" s="12">
        <v>275832</v>
      </c>
      <c r="CC47" s="12">
        <v>16744</v>
      </c>
      <c r="CD47" s="12">
        <v>58</v>
      </c>
      <c r="CE47" s="13">
        <f t="shared" si="22"/>
        <v>14267.172413793103</v>
      </c>
      <c r="CF47" s="13">
        <f t="shared" si="23"/>
        <v>866.06896551724139</v>
      </c>
      <c r="CG47" s="14" t="s">
        <v>51</v>
      </c>
      <c r="CH47" s="9">
        <f t="shared" si="24"/>
        <v>136208.70000000001</v>
      </c>
      <c r="CI47" s="9">
        <f t="shared" si="24"/>
        <v>9564.5</v>
      </c>
      <c r="CJ47" s="9">
        <f t="shared" si="25"/>
        <v>384</v>
      </c>
      <c r="CK47" s="10">
        <f t="shared" si="26"/>
        <v>10641.3046875</v>
      </c>
      <c r="CL47" s="10">
        <f t="shared" si="27"/>
        <v>747.2265625</v>
      </c>
      <c r="CM47" s="11" t="str">
        <f t="shared" si="28"/>
        <v xml:space="preserve"> </v>
      </c>
    </row>
    <row r="48" spans="1:91" x14ac:dyDescent="0.3">
      <c r="A48" s="8" t="s">
        <v>70</v>
      </c>
      <c r="B48" s="9">
        <v>119973.45454545454</v>
      </c>
      <c r="C48" s="9">
        <v>2122.090909090909</v>
      </c>
      <c r="D48" s="9">
        <v>434</v>
      </c>
      <c r="E48" s="10">
        <v>9122.4055299539177</v>
      </c>
      <c r="F48" s="10">
        <v>161.35714285714286</v>
      </c>
      <c r="G48" s="11">
        <v>1.8772727272727272</v>
      </c>
      <c r="H48" s="9">
        <v>160811.42857142858</v>
      </c>
      <c r="I48" s="9">
        <v>2703.7142857142858</v>
      </c>
      <c r="J48" s="9">
        <v>321</v>
      </c>
      <c r="K48" s="10">
        <v>10520.373831775702</v>
      </c>
      <c r="L48" s="10">
        <v>176.87850467289721</v>
      </c>
      <c r="M48" s="11">
        <v>1.8199999999999998</v>
      </c>
      <c r="N48" s="12">
        <v>22337</v>
      </c>
      <c r="O48" s="12">
        <v>507</v>
      </c>
      <c r="P48" s="12">
        <v>8</v>
      </c>
      <c r="Q48" s="13">
        <f t="shared" si="0"/>
        <v>8376.375</v>
      </c>
      <c r="R48" s="13">
        <f t="shared" si="1"/>
        <v>190.125</v>
      </c>
      <c r="S48" s="14"/>
      <c r="T48" s="12">
        <v>48924</v>
      </c>
      <c r="U48" s="12">
        <v>639</v>
      </c>
      <c r="V48" s="12">
        <v>9</v>
      </c>
      <c r="W48" s="13">
        <f t="shared" si="2"/>
        <v>16308</v>
      </c>
      <c r="X48" s="13">
        <f t="shared" si="3"/>
        <v>213</v>
      </c>
      <c r="Y48" s="14"/>
      <c r="Z48" s="12"/>
      <c r="AA48" s="12"/>
      <c r="AB48" s="12"/>
      <c r="AC48" s="13" t="str">
        <f t="shared" si="4"/>
        <v xml:space="preserve"> </v>
      </c>
      <c r="AD48" s="13" t="str">
        <f t="shared" si="5"/>
        <v xml:space="preserve"> </v>
      </c>
      <c r="AE48" s="14"/>
      <c r="AF48" s="12"/>
      <c r="AG48" s="12"/>
      <c r="AH48" s="12"/>
      <c r="AI48" s="13" t="str">
        <f t="shared" si="6"/>
        <v xml:space="preserve"> </v>
      </c>
      <c r="AJ48" s="13" t="str">
        <f t="shared" si="7"/>
        <v xml:space="preserve"> </v>
      </c>
      <c r="AK48" s="14"/>
      <c r="AL48" s="12"/>
      <c r="AM48" s="12"/>
      <c r="AN48" s="12"/>
      <c r="AO48" s="13" t="str">
        <f t="shared" si="8"/>
        <v xml:space="preserve"> </v>
      </c>
      <c r="AP48" s="13" t="str">
        <f t="shared" si="9"/>
        <v xml:space="preserve"> </v>
      </c>
      <c r="AQ48" s="14"/>
      <c r="AR48" s="12"/>
      <c r="AS48" s="12"/>
      <c r="AT48" s="12"/>
      <c r="AU48" s="13" t="str">
        <f t="shared" si="10"/>
        <v xml:space="preserve"> </v>
      </c>
      <c r="AV48" s="13" t="str">
        <f t="shared" si="11"/>
        <v xml:space="preserve"> </v>
      </c>
      <c r="AW48" s="14"/>
      <c r="AX48" s="12"/>
      <c r="AY48" s="12"/>
      <c r="AZ48" s="12"/>
      <c r="BA48" s="13" t="str">
        <f t="shared" si="12"/>
        <v xml:space="preserve"> </v>
      </c>
      <c r="BB48" s="13" t="str">
        <f t="shared" si="13"/>
        <v xml:space="preserve"> </v>
      </c>
      <c r="BC48" s="14"/>
      <c r="BD48" s="12"/>
      <c r="BE48" s="12"/>
      <c r="BF48" s="12"/>
      <c r="BG48" s="13" t="str">
        <f t="shared" si="14"/>
        <v xml:space="preserve"> </v>
      </c>
      <c r="BH48" s="13" t="str">
        <f t="shared" si="15"/>
        <v xml:space="preserve"> </v>
      </c>
      <c r="BI48" s="14"/>
      <c r="BJ48" s="12"/>
      <c r="BK48" s="12"/>
      <c r="BL48" s="12"/>
      <c r="BM48" s="13" t="str">
        <f t="shared" si="16"/>
        <v xml:space="preserve"> </v>
      </c>
      <c r="BN48" s="13" t="str">
        <f t="shared" si="17"/>
        <v xml:space="preserve"> </v>
      </c>
      <c r="BO48" s="14"/>
      <c r="BP48" s="12"/>
      <c r="BQ48" s="12"/>
      <c r="BR48" s="12"/>
      <c r="BS48" s="13" t="str">
        <f t="shared" si="18"/>
        <v xml:space="preserve"> </v>
      </c>
      <c r="BT48" s="13" t="str">
        <f t="shared" si="19"/>
        <v xml:space="preserve"> </v>
      </c>
      <c r="BU48" s="14"/>
      <c r="BV48" s="12"/>
      <c r="BW48" s="12"/>
      <c r="BX48" s="12"/>
      <c r="BY48" s="13" t="str">
        <f t="shared" si="20"/>
        <v xml:space="preserve"> </v>
      </c>
      <c r="BZ48" s="13" t="str">
        <f t="shared" si="21"/>
        <v xml:space="preserve"> </v>
      </c>
      <c r="CA48" s="14"/>
      <c r="CD48" s="12"/>
      <c r="CE48" s="13" t="str">
        <f t="shared" si="22"/>
        <v xml:space="preserve"> </v>
      </c>
      <c r="CF48" s="13" t="str">
        <f t="shared" si="23"/>
        <v xml:space="preserve"> </v>
      </c>
      <c r="CG48" s="14" t="s">
        <v>51</v>
      </c>
      <c r="CH48" s="9">
        <f t="shared" si="24"/>
        <v>35630.5</v>
      </c>
      <c r="CI48" s="9">
        <f t="shared" si="24"/>
        <v>573</v>
      </c>
      <c r="CJ48" s="9">
        <f>IFERROR(SUM(P48,V48,AB48,AH48,AN48,AT48,AZ48,BF48,BL48,BR48,BX48,CD48)," ")</f>
        <v>17</v>
      </c>
      <c r="CK48" s="10">
        <f>IFERROR(SUM(N48,T48,Z48,AF48,AL48,AR48,AX48,BD48,BJ48,BP48,BV48,CB48)/CJ48*3," ")</f>
        <v>12575.470588235294</v>
      </c>
      <c r="CL48" s="10">
        <f>IFERROR(SUM(O48,U48,AA48,AG48,AM48,AS48,AY48,BE48,BK48,BQ48,BW48,CC48)/CJ48*3," ")</f>
        <v>202.23529411764704</v>
      </c>
      <c r="CM48" s="11" t="str">
        <f>IFERROR(AVERAGE(S48,Y48,AE48,AK48,AQ48,AW48,BC48,BI48,BO48,BU48,CA48,CG48)," ")</f>
        <v xml:space="preserve"> </v>
      </c>
    </row>
    <row r="49" spans="1:91" x14ac:dyDescent="0.3">
      <c r="A49" s="8" t="s">
        <v>71</v>
      </c>
      <c r="B49" s="9">
        <v>115610.41666666667</v>
      </c>
      <c r="C49" s="9">
        <v>2044.5833333333333</v>
      </c>
      <c r="D49" s="9">
        <v>453</v>
      </c>
      <c r="E49" s="10">
        <v>9187.5827814569548</v>
      </c>
      <c r="F49" s="10">
        <v>162.48344370860929</v>
      </c>
      <c r="G49" s="11">
        <v>1.8733333333333331</v>
      </c>
      <c r="H49" s="9">
        <v>141921</v>
      </c>
      <c r="I49" s="9">
        <v>2097.3333333333335</v>
      </c>
      <c r="J49" s="9">
        <v>255</v>
      </c>
      <c r="K49" s="10">
        <v>10017.952941176471</v>
      </c>
      <c r="L49" s="10">
        <v>148.04705882352943</v>
      </c>
      <c r="M49" s="11">
        <v>1.7033333333333334</v>
      </c>
      <c r="N49" s="12">
        <v>21744</v>
      </c>
      <c r="O49" s="12">
        <v>284</v>
      </c>
      <c r="P49" s="12">
        <v>4</v>
      </c>
      <c r="Q49" s="13">
        <f t="shared" si="0"/>
        <v>16308</v>
      </c>
      <c r="R49" s="13">
        <f t="shared" si="1"/>
        <v>213</v>
      </c>
      <c r="S49" s="14"/>
      <c r="T49" s="12">
        <v>38052</v>
      </c>
      <c r="U49" s="12">
        <v>497</v>
      </c>
      <c r="V49" s="12">
        <v>7</v>
      </c>
      <c r="W49" s="13">
        <f t="shared" si="2"/>
        <v>16308</v>
      </c>
      <c r="X49" s="13">
        <f t="shared" si="3"/>
        <v>213</v>
      </c>
      <c r="Y49" s="14"/>
      <c r="Z49" s="12"/>
      <c r="AA49" s="12"/>
      <c r="AB49" s="12"/>
      <c r="AC49" s="13" t="str">
        <f t="shared" si="4"/>
        <v xml:space="preserve"> </v>
      </c>
      <c r="AD49" s="13" t="str">
        <f t="shared" si="5"/>
        <v xml:space="preserve"> </v>
      </c>
      <c r="AE49" s="14"/>
      <c r="AF49" s="12"/>
      <c r="AG49" s="12"/>
      <c r="AH49" s="12"/>
      <c r="AI49" s="13" t="str">
        <f t="shared" si="6"/>
        <v xml:space="preserve"> </v>
      </c>
      <c r="AJ49" s="13" t="str">
        <f t="shared" si="7"/>
        <v xml:space="preserve"> </v>
      </c>
      <c r="AK49" s="14"/>
      <c r="AL49" s="12"/>
      <c r="AM49" s="12"/>
      <c r="AN49" s="12"/>
      <c r="AO49" s="13" t="str">
        <f t="shared" si="8"/>
        <v xml:space="preserve"> </v>
      </c>
      <c r="AP49" s="13" t="str">
        <f t="shared" si="9"/>
        <v xml:space="preserve"> </v>
      </c>
      <c r="AQ49" s="14"/>
      <c r="AR49" s="12"/>
      <c r="AS49" s="12"/>
      <c r="AT49" s="12"/>
      <c r="AU49" s="13" t="str">
        <f t="shared" si="10"/>
        <v xml:space="preserve"> </v>
      </c>
      <c r="AV49" s="13" t="str">
        <f t="shared" si="11"/>
        <v xml:space="preserve"> </v>
      </c>
      <c r="AW49" s="14"/>
      <c r="AX49" s="12"/>
      <c r="AY49" s="12"/>
      <c r="AZ49" s="12"/>
      <c r="BA49" s="13" t="str">
        <f t="shared" si="12"/>
        <v xml:space="preserve"> </v>
      </c>
      <c r="BB49" s="13" t="str">
        <f t="shared" si="13"/>
        <v xml:space="preserve"> </v>
      </c>
      <c r="BC49" s="14"/>
      <c r="BD49" s="12"/>
      <c r="BE49" s="12"/>
      <c r="BF49" s="12"/>
      <c r="BG49" s="13" t="str">
        <f t="shared" si="14"/>
        <v xml:space="preserve"> </v>
      </c>
      <c r="BH49" s="13" t="str">
        <f t="shared" si="15"/>
        <v xml:space="preserve"> </v>
      </c>
      <c r="BI49" s="14"/>
      <c r="BJ49" s="12"/>
      <c r="BK49" s="12"/>
      <c r="BL49" s="12"/>
      <c r="BM49" s="13" t="str">
        <f t="shared" si="16"/>
        <v xml:space="preserve"> </v>
      </c>
      <c r="BN49" s="13" t="str">
        <f t="shared" si="17"/>
        <v xml:space="preserve"> </v>
      </c>
      <c r="BO49" s="14"/>
      <c r="BP49" s="12"/>
      <c r="BQ49" s="12"/>
      <c r="BR49" s="12"/>
      <c r="BS49" s="13" t="str">
        <f t="shared" si="18"/>
        <v xml:space="preserve"> </v>
      </c>
      <c r="BT49" s="13" t="str">
        <f t="shared" si="19"/>
        <v xml:space="preserve"> </v>
      </c>
      <c r="BU49" s="14"/>
      <c r="BV49" s="12"/>
      <c r="BW49" s="12"/>
      <c r="BX49" s="12"/>
      <c r="BY49" s="13" t="str">
        <f t="shared" si="20"/>
        <v xml:space="preserve"> </v>
      </c>
      <c r="BZ49" s="13" t="str">
        <f t="shared" si="21"/>
        <v xml:space="preserve"> </v>
      </c>
      <c r="CA49" s="14"/>
      <c r="CD49" s="12"/>
      <c r="CE49" s="13" t="str">
        <f t="shared" si="22"/>
        <v xml:space="preserve"> </v>
      </c>
      <c r="CF49" s="13" t="str">
        <f t="shared" si="23"/>
        <v xml:space="preserve"> </v>
      </c>
      <c r="CG49" s="14" t="s">
        <v>51</v>
      </c>
      <c r="CH49" s="9">
        <f t="shared" si="24"/>
        <v>29898</v>
      </c>
      <c r="CI49" s="9">
        <f t="shared" si="24"/>
        <v>390.5</v>
      </c>
      <c r="CJ49" s="9">
        <f>IFERROR(SUM(P49,V49,AB49,AH49,AN49,AT49,AZ49,BF49,BL49,BR49,BX49,CD49)," ")</f>
        <v>11</v>
      </c>
      <c r="CK49" s="10">
        <f>IFERROR(SUM(N49,T49,Z49,AF49,AL49,AR49,AX49,BD49,BJ49,BP49,BV49,CB49)/CJ49*3," ")</f>
        <v>16308</v>
      </c>
      <c r="CL49" s="10">
        <f>IFERROR(SUM(O49,U49,AA49,AG49,AM49,AS49,AY49,BE49,BK49,BQ49,BW49,CC49)/CJ49*3," ")</f>
        <v>213</v>
      </c>
      <c r="CM49" s="11" t="str">
        <f>IFERROR(AVERAGE(S49,Y49,AE49,AK49,AQ49,AW49,BC49,BI49,BO49,BU49,CA49,CG49)," ")</f>
        <v xml:space="preserve"> </v>
      </c>
    </row>
    <row r="50" spans="1:91" x14ac:dyDescent="0.3">
      <c r="A50" s="8" t="s">
        <v>72</v>
      </c>
      <c r="B50" s="9">
        <v>290262.5</v>
      </c>
      <c r="C50" s="9">
        <v>34976.166666666664</v>
      </c>
      <c r="D50" s="9">
        <v>331</v>
      </c>
      <c r="E50" s="10">
        <v>15784.667673716012</v>
      </c>
      <c r="F50" s="10">
        <v>1902.0271903323262</v>
      </c>
      <c r="G50" s="11">
        <v>5.2749999999999995</v>
      </c>
      <c r="H50" s="9">
        <v>170107.45454545456</v>
      </c>
      <c r="I50" s="9">
        <v>23950.090909090908</v>
      </c>
      <c r="J50" s="9">
        <v>484</v>
      </c>
      <c r="K50" s="10">
        <v>11598.235537190083</v>
      </c>
      <c r="L50" s="10">
        <v>1632.9607438016528</v>
      </c>
      <c r="M50" s="11">
        <v>5.2509090909090901</v>
      </c>
      <c r="N50" s="12">
        <v>29061</v>
      </c>
      <c r="O50" s="12">
        <v>3222</v>
      </c>
      <c r="P50" s="12">
        <v>7</v>
      </c>
      <c r="Q50" s="13">
        <f t="shared" si="0"/>
        <v>12454.714285714286</v>
      </c>
      <c r="R50" s="13">
        <f t="shared" si="1"/>
        <v>1380.8571428571429</v>
      </c>
      <c r="S50" s="14"/>
      <c r="T50" s="12">
        <v>54288</v>
      </c>
      <c r="U50" s="12">
        <v>8316</v>
      </c>
      <c r="V50" s="12">
        <v>16</v>
      </c>
      <c r="W50" s="13">
        <f t="shared" si="2"/>
        <v>10179</v>
      </c>
      <c r="X50" s="13">
        <f t="shared" si="3"/>
        <v>1559.25</v>
      </c>
      <c r="Y50" s="14"/>
      <c r="Z50" s="12">
        <v>132506</v>
      </c>
      <c r="AA50" s="12">
        <v>25358</v>
      </c>
      <c r="AB50" s="12">
        <v>29</v>
      </c>
      <c r="AC50" s="13">
        <f t="shared" si="4"/>
        <v>13707.51724137931</v>
      </c>
      <c r="AD50" s="13">
        <f t="shared" si="5"/>
        <v>2623.2413793103447</v>
      </c>
      <c r="AE50" s="14"/>
      <c r="AF50" s="12">
        <v>111005</v>
      </c>
      <c r="AG50" s="12">
        <v>18798</v>
      </c>
      <c r="AH50" s="12">
        <v>25</v>
      </c>
      <c r="AI50" s="13">
        <f t="shared" si="6"/>
        <v>13320.599999999999</v>
      </c>
      <c r="AJ50" s="13">
        <f t="shared" si="7"/>
        <v>2255.7599999999998</v>
      </c>
      <c r="AK50" s="14"/>
      <c r="AL50" s="12">
        <v>84280</v>
      </c>
      <c r="AM50" s="12">
        <v>11225</v>
      </c>
      <c r="AN50" s="12">
        <v>16</v>
      </c>
      <c r="AO50" s="13">
        <f t="shared" si="8"/>
        <v>15802.5</v>
      </c>
      <c r="AP50" s="13">
        <f t="shared" si="9"/>
        <v>2104.6875</v>
      </c>
      <c r="AQ50" s="14"/>
      <c r="AR50" s="12"/>
      <c r="AS50" s="12"/>
      <c r="AT50" s="12"/>
      <c r="AU50" s="13" t="str">
        <f t="shared" si="10"/>
        <v xml:space="preserve"> </v>
      </c>
      <c r="AV50" s="13" t="str">
        <f t="shared" si="11"/>
        <v xml:space="preserve"> </v>
      </c>
      <c r="AW50" s="14"/>
      <c r="AX50" s="12">
        <v>41093</v>
      </c>
      <c r="AY50" s="12">
        <v>5793</v>
      </c>
      <c r="AZ50" s="12">
        <v>8</v>
      </c>
      <c r="BA50" s="13">
        <f t="shared" si="12"/>
        <v>15409.875</v>
      </c>
      <c r="BB50" s="13">
        <f t="shared" si="13"/>
        <v>2172.375</v>
      </c>
      <c r="BC50" s="14"/>
      <c r="BD50" s="12">
        <v>112674</v>
      </c>
      <c r="BE50" s="12">
        <v>23082</v>
      </c>
      <c r="BF50" s="12">
        <v>28</v>
      </c>
      <c r="BG50" s="13">
        <f t="shared" si="14"/>
        <v>12072.214285714286</v>
      </c>
      <c r="BH50" s="13">
        <f t="shared" si="15"/>
        <v>2473.0714285714284</v>
      </c>
      <c r="BI50" s="14"/>
      <c r="BJ50" s="12">
        <v>132635</v>
      </c>
      <c r="BK50" s="12">
        <v>18184</v>
      </c>
      <c r="BL50" s="12">
        <v>29</v>
      </c>
      <c r="BM50" s="13">
        <f t="shared" si="16"/>
        <v>13720.862068965516</v>
      </c>
      <c r="BN50" s="13">
        <f t="shared" si="17"/>
        <v>1881.1034482758621</v>
      </c>
      <c r="BO50" s="14"/>
      <c r="BP50" s="12">
        <v>77453</v>
      </c>
      <c r="BQ50" s="12">
        <v>13912</v>
      </c>
      <c r="BR50" s="12">
        <v>17</v>
      </c>
      <c r="BS50" s="13">
        <f t="shared" si="18"/>
        <v>13668.176470588234</v>
      </c>
      <c r="BT50" s="13">
        <f t="shared" si="19"/>
        <v>2455.0588235294117</v>
      </c>
      <c r="BU50" s="14"/>
      <c r="BV50" s="12">
        <v>118667</v>
      </c>
      <c r="BW50" s="12">
        <v>19176</v>
      </c>
      <c r="BX50" s="12">
        <v>28</v>
      </c>
      <c r="BY50" s="13">
        <f t="shared" si="20"/>
        <v>12714.321428571429</v>
      </c>
      <c r="BZ50" s="13">
        <f t="shared" si="21"/>
        <v>2054.5714285714284</v>
      </c>
      <c r="CA50" s="14"/>
      <c r="CB50" s="12">
        <v>206121</v>
      </c>
      <c r="CC50" s="12">
        <v>35347</v>
      </c>
      <c r="CD50" s="12">
        <v>52</v>
      </c>
      <c r="CE50" s="13">
        <f t="shared" si="22"/>
        <v>11891.596153846154</v>
      </c>
      <c r="CF50" s="13">
        <f t="shared" si="23"/>
        <v>2039.25</v>
      </c>
      <c r="CG50" s="14" t="s">
        <v>51</v>
      </c>
      <c r="CH50" s="9">
        <f t="shared" si="24"/>
        <v>99980.272727272721</v>
      </c>
      <c r="CI50" s="9">
        <f t="shared" si="24"/>
        <v>16583</v>
      </c>
      <c r="CJ50" s="9">
        <f>IFERROR(SUM(P50,V50,AB50,AH50,AN50,AT50,AZ50,BF50,BL50,BR50,BX50,CD50)," ")</f>
        <v>255</v>
      </c>
      <c r="CK50" s="10">
        <f>IFERROR(SUM(N50,T50,Z50,AF50,AL50,AR50,AX50,BD50,BJ50,BP50,BV50,CB50)/CJ50*3," ")</f>
        <v>12938.623529411765</v>
      </c>
      <c r="CL50" s="10">
        <f>IFERROR(SUM(O50,U50,AA50,AG50,AM50,AS50,AY50,BE50,BK50,BQ50,BW50,CC50)/CJ50*3," ")</f>
        <v>2146.035294117647</v>
      </c>
      <c r="CM50" s="11" t="str">
        <f>IFERROR(AVERAGE(S50,Y50,AE50,AK50,AQ50,AW50,BC50,BI50,BO50,BU50,CA50,CG50)," ")</f>
        <v xml:space="preserve"> </v>
      </c>
    </row>
    <row r="51" spans="1:91" x14ac:dyDescent="0.3">
      <c r="A51" s="8" t="s">
        <v>73</v>
      </c>
      <c r="B51" s="9">
        <v>40183.5</v>
      </c>
      <c r="C51" s="9">
        <v>5475</v>
      </c>
      <c r="D51" s="9">
        <v>102</v>
      </c>
      <c r="E51" s="10">
        <v>7091.2058823529405</v>
      </c>
      <c r="F51" s="10">
        <v>966.17647058823536</v>
      </c>
      <c r="G51" s="11">
        <v>5.835</v>
      </c>
      <c r="H51" s="9" t="s">
        <v>51</v>
      </c>
      <c r="I51" s="9" t="s">
        <v>51</v>
      </c>
      <c r="J51" s="9"/>
      <c r="K51" s="10" t="s">
        <v>51</v>
      </c>
      <c r="L51" s="10" t="s">
        <v>51</v>
      </c>
      <c r="M51" s="11" t="s">
        <v>51</v>
      </c>
      <c r="N51" s="12"/>
      <c r="O51" s="12"/>
      <c r="P51" s="12"/>
      <c r="Q51" s="13" t="str">
        <f t="shared" si="0"/>
        <v/>
      </c>
      <c r="R51" s="13" t="str">
        <f t="shared" si="1"/>
        <v/>
      </c>
      <c r="S51" s="14"/>
      <c r="T51" s="12"/>
      <c r="U51" s="12"/>
      <c r="V51" s="12"/>
      <c r="W51" s="13" t="str">
        <f t="shared" si="2"/>
        <v/>
      </c>
      <c r="X51" s="13" t="str">
        <f t="shared" si="3"/>
        <v/>
      </c>
      <c r="Y51" s="14"/>
      <c r="Z51" s="12"/>
      <c r="AA51" s="12"/>
      <c r="AB51" s="12"/>
      <c r="AC51" s="13" t="str">
        <f t="shared" ref="AC51:AC62" si="29">IFERROR(Z51/AB51*3,"")</f>
        <v/>
      </c>
      <c r="AD51" s="13" t="str">
        <f t="shared" ref="AD51:AD62" si="30">IFERROR(AA51/AB51*3,"")</f>
        <v/>
      </c>
      <c r="AE51" s="14"/>
      <c r="AF51" s="12"/>
      <c r="AG51" s="12"/>
      <c r="AH51" s="12"/>
      <c r="AI51" s="13" t="str">
        <f t="shared" ref="AI51:AI62" si="31">IFERROR(AF51/AH51*3,"")</f>
        <v/>
      </c>
      <c r="AJ51" s="13" t="str">
        <f t="shared" ref="AJ51:AJ62" si="32">IFERROR(AG51/AH51*3,"")</f>
        <v/>
      </c>
      <c r="AK51" s="14"/>
      <c r="AL51" s="12"/>
      <c r="AM51" s="12"/>
      <c r="AN51" s="12"/>
      <c r="AO51" s="13" t="str">
        <f t="shared" ref="AO51:AO62" si="33">IFERROR(AL51/AN51*3,"")</f>
        <v/>
      </c>
      <c r="AP51" s="13" t="str">
        <f t="shared" ref="AP51:AP62" si="34">IFERROR(AM51/AN51*3,"")</f>
        <v/>
      </c>
      <c r="AQ51" s="14"/>
      <c r="AR51" s="12"/>
      <c r="AS51" s="12"/>
      <c r="AT51" s="12"/>
      <c r="AU51" s="13" t="str">
        <f t="shared" ref="AU51:AU62" si="35">IFERROR(AR51/AT51*3,"")</f>
        <v/>
      </c>
      <c r="AV51" s="13" t="str">
        <f t="shared" ref="AV51:AV62" si="36">IFERROR(AS51/AT51*3,"")</f>
        <v/>
      </c>
      <c r="AW51" s="14"/>
      <c r="AX51" s="12"/>
      <c r="AY51" s="12"/>
      <c r="AZ51" s="12"/>
      <c r="BA51" s="13" t="str">
        <f t="shared" ref="BA51:BA62" si="37">IFERROR(AX51/AZ51*3,"")</f>
        <v/>
      </c>
      <c r="BB51" s="13" t="str">
        <f t="shared" ref="BB51:BB62" si="38">IFERROR(AY51/AZ51*3,"")</f>
        <v/>
      </c>
      <c r="BC51" s="14"/>
      <c r="BD51" s="12"/>
      <c r="BE51" s="12"/>
      <c r="BF51" s="12"/>
      <c r="BG51" s="13" t="str">
        <f t="shared" ref="BG51:BG62" si="39">IFERROR(BD51/BF51*3,"")</f>
        <v/>
      </c>
      <c r="BH51" s="13" t="str">
        <f t="shared" ref="BH51:BH62" si="40">IFERROR(BE51/BF51*3,"")</f>
        <v/>
      </c>
      <c r="BI51" s="14"/>
      <c r="BJ51" s="12">
        <v>122400</v>
      </c>
      <c r="BK51" s="12">
        <v>9552</v>
      </c>
      <c r="BL51" s="12">
        <v>10</v>
      </c>
      <c r="BM51" s="13">
        <f t="shared" si="16"/>
        <v>36720</v>
      </c>
      <c r="BN51" s="13">
        <f t="shared" si="17"/>
        <v>2865.6000000000004</v>
      </c>
      <c r="BO51" s="14"/>
      <c r="BP51" s="12"/>
      <c r="BQ51" s="12"/>
      <c r="BR51" s="12"/>
      <c r="BS51" s="13" t="str">
        <f t="shared" si="18"/>
        <v xml:space="preserve"> </v>
      </c>
      <c r="BT51" s="13" t="str">
        <f t="shared" si="19"/>
        <v xml:space="preserve"> </v>
      </c>
      <c r="BU51" s="14"/>
      <c r="BV51" s="12"/>
      <c r="BW51" s="12"/>
      <c r="BX51" s="12"/>
      <c r="BY51" s="13" t="str">
        <f t="shared" si="20"/>
        <v xml:space="preserve"> </v>
      </c>
      <c r="BZ51" s="13" t="str">
        <f t="shared" si="21"/>
        <v xml:space="preserve"> </v>
      </c>
      <c r="CA51" s="14"/>
      <c r="CB51" s="12">
        <v>126000</v>
      </c>
      <c r="CC51" s="12">
        <v>7940</v>
      </c>
      <c r="CD51" s="12">
        <v>9</v>
      </c>
      <c r="CE51" s="13">
        <f t="shared" si="22"/>
        <v>42000</v>
      </c>
      <c r="CF51" s="13">
        <f t="shared" si="23"/>
        <v>2646.6666666666665</v>
      </c>
      <c r="CG51" s="14" t="s">
        <v>51</v>
      </c>
      <c r="CH51" s="9">
        <f t="shared" si="24"/>
        <v>124200</v>
      </c>
      <c r="CI51" s="9">
        <f t="shared" si="24"/>
        <v>8746</v>
      </c>
      <c r="CJ51" s="9">
        <f>IFERROR(SUM(P51,V51,AB51,AH51,AN51,AT51,AZ51,BF51,BL51,BR51,BX51,CD51)," ")</f>
        <v>19</v>
      </c>
      <c r="CK51" s="10">
        <f>IFERROR(SUM(N51,T51,Z51,AF51,AL51,AR51,AX51,BD51,BJ51,BP51,BV51,CB51)/CJ51*3," ")</f>
        <v>39221.052631578947</v>
      </c>
      <c r="CL51" s="10">
        <f>IFERROR(SUM(O51,U51,AA51,AG51,AM51,AS51,AY51,BE51,BK51,BQ51,BW51,CC51)/CJ51*3," ")</f>
        <v>2761.8947368421054</v>
      </c>
      <c r="CM51" s="11" t="str">
        <f>IFERROR(AVERAGE(S51,Y51,AE51,AK51,AQ51,AW51,BC51,BI51,BO51,BU51,CA51,CG51)," ")</f>
        <v xml:space="preserve"> </v>
      </c>
    </row>
    <row r="52" spans="1:91" x14ac:dyDescent="0.3">
      <c r="A52" s="8" t="s">
        <v>74</v>
      </c>
      <c r="B52" s="9">
        <v>26132.5</v>
      </c>
      <c r="C52" s="9">
        <v>32268.833333333332</v>
      </c>
      <c r="D52" s="9">
        <v>472</v>
      </c>
      <c r="E52" s="10">
        <v>1993.1567796610168</v>
      </c>
      <c r="F52" s="10">
        <v>2461.1822033898306</v>
      </c>
      <c r="G52" s="11">
        <v>18.041666666666668</v>
      </c>
      <c r="H52" s="9">
        <v>19178.363636363636</v>
      </c>
      <c r="I52" s="9">
        <v>26087.272727272728</v>
      </c>
      <c r="J52" s="9">
        <v>331</v>
      </c>
      <c r="K52" s="10">
        <v>1912.0422960725075</v>
      </c>
      <c r="L52" s="10">
        <v>2600.8459214501509</v>
      </c>
      <c r="M52" s="11">
        <v>19.026363636363637</v>
      </c>
      <c r="N52" s="12">
        <v>3500</v>
      </c>
      <c r="O52" s="12">
        <v>7040</v>
      </c>
      <c r="P52" s="12">
        <v>4</v>
      </c>
      <c r="Q52" s="13">
        <f t="shared" si="0"/>
        <v>2625</v>
      </c>
      <c r="R52" s="13">
        <f t="shared" si="1"/>
        <v>5280</v>
      </c>
      <c r="S52" s="14"/>
      <c r="T52" s="12">
        <v>7500</v>
      </c>
      <c r="U52" s="12">
        <v>13080</v>
      </c>
      <c r="V52" s="12">
        <v>8</v>
      </c>
      <c r="W52" s="13">
        <f t="shared" si="2"/>
        <v>2812.5</v>
      </c>
      <c r="X52" s="13">
        <f t="shared" si="3"/>
        <v>4905</v>
      </c>
      <c r="Y52" s="14"/>
      <c r="Z52" s="12">
        <v>5944</v>
      </c>
      <c r="AA52" s="12">
        <v>12545</v>
      </c>
      <c r="AB52" s="12">
        <v>6</v>
      </c>
      <c r="AC52" s="13">
        <f t="shared" si="29"/>
        <v>2972</v>
      </c>
      <c r="AD52" s="13">
        <f t="shared" si="30"/>
        <v>6272.5</v>
      </c>
      <c r="AE52" s="14"/>
      <c r="AF52" s="12">
        <v>8150</v>
      </c>
      <c r="AG52" s="12">
        <v>24877</v>
      </c>
      <c r="AH52" s="12">
        <v>8</v>
      </c>
      <c r="AI52" s="13">
        <f t="shared" si="31"/>
        <v>3056.25</v>
      </c>
      <c r="AJ52" s="13">
        <f t="shared" si="32"/>
        <v>9328.875</v>
      </c>
      <c r="AK52" s="14"/>
      <c r="AL52" s="12">
        <v>11430</v>
      </c>
      <c r="AM52" s="12">
        <v>27090</v>
      </c>
      <c r="AN52" s="12">
        <v>9</v>
      </c>
      <c r="AO52" s="13">
        <f t="shared" si="33"/>
        <v>3810</v>
      </c>
      <c r="AP52" s="13">
        <f t="shared" si="34"/>
        <v>9030</v>
      </c>
      <c r="AQ52" s="14"/>
      <c r="AR52" s="12">
        <v>2580</v>
      </c>
      <c r="AS52" s="12">
        <v>5557</v>
      </c>
      <c r="AT52" s="12">
        <v>3</v>
      </c>
      <c r="AU52" s="13">
        <f t="shared" si="35"/>
        <v>2580</v>
      </c>
      <c r="AV52" s="13">
        <f t="shared" si="36"/>
        <v>5557</v>
      </c>
      <c r="AW52" s="14"/>
      <c r="AX52" s="12">
        <v>9150</v>
      </c>
      <c r="AY52" s="12">
        <v>24561</v>
      </c>
      <c r="AZ52" s="12">
        <v>11</v>
      </c>
      <c r="BA52" s="13">
        <f t="shared" si="37"/>
        <v>2495.4545454545455</v>
      </c>
      <c r="BB52" s="13">
        <f t="shared" si="38"/>
        <v>6698.454545454546</v>
      </c>
      <c r="BC52" s="14"/>
      <c r="BD52" s="12">
        <v>2610</v>
      </c>
      <c r="BE52" s="12">
        <v>5464</v>
      </c>
      <c r="BF52" s="12">
        <v>3</v>
      </c>
      <c r="BG52" s="13">
        <f t="shared" si="39"/>
        <v>2610</v>
      </c>
      <c r="BH52" s="13">
        <f t="shared" si="40"/>
        <v>5464</v>
      </c>
      <c r="BI52" s="14"/>
      <c r="BJ52" s="12">
        <v>17625</v>
      </c>
      <c r="BK52" s="12">
        <v>24406</v>
      </c>
      <c r="BL52" s="12">
        <v>12</v>
      </c>
      <c r="BM52" s="13">
        <f t="shared" si="16"/>
        <v>4406.25</v>
      </c>
      <c r="BN52" s="13">
        <f t="shared" si="17"/>
        <v>6101.5</v>
      </c>
      <c r="BO52" s="14"/>
      <c r="BP52" s="12">
        <v>19866</v>
      </c>
      <c r="BQ52" s="12">
        <v>35617</v>
      </c>
      <c r="BR52" s="12">
        <v>16</v>
      </c>
      <c r="BS52" s="13">
        <f t="shared" si="18"/>
        <v>3724.875</v>
      </c>
      <c r="BT52" s="13">
        <f t="shared" si="19"/>
        <v>6678.1875</v>
      </c>
      <c r="BU52" s="14"/>
      <c r="BV52" s="12">
        <v>13750</v>
      </c>
      <c r="BW52" s="12">
        <v>28160</v>
      </c>
      <c r="BX52" s="12">
        <v>9</v>
      </c>
      <c r="BY52" s="13">
        <f t="shared" si="20"/>
        <v>4583.3333333333339</v>
      </c>
      <c r="BZ52" s="13">
        <f t="shared" si="21"/>
        <v>9386.6666666666661</v>
      </c>
      <c r="CA52" s="14"/>
      <c r="CB52" s="12">
        <v>13252</v>
      </c>
      <c r="CC52" s="12">
        <v>19395</v>
      </c>
      <c r="CD52" s="12">
        <v>12</v>
      </c>
      <c r="CE52" s="13">
        <f t="shared" si="22"/>
        <v>3313</v>
      </c>
      <c r="CF52" s="13">
        <f t="shared" si="23"/>
        <v>4848.75</v>
      </c>
      <c r="CG52" s="14" t="s">
        <v>51</v>
      </c>
      <c r="CH52" s="9">
        <f t="shared" si="24"/>
        <v>9613.0833333333339</v>
      </c>
      <c r="CI52" s="9">
        <f t="shared" si="24"/>
        <v>18982.666666666668</v>
      </c>
      <c r="CJ52" s="9">
        <f t="shared" si="25"/>
        <v>101</v>
      </c>
      <c r="CK52" s="10">
        <f t="shared" si="26"/>
        <v>3426.4455445544554</v>
      </c>
      <c r="CL52" s="10">
        <f t="shared" si="27"/>
        <v>6766.0990099009896</v>
      </c>
      <c r="CM52" s="11" t="str">
        <f t="shared" si="28"/>
        <v xml:space="preserve"> </v>
      </c>
    </row>
    <row r="53" spans="1:91" x14ac:dyDescent="0.3">
      <c r="A53" s="8" t="s">
        <v>75</v>
      </c>
      <c r="B53" s="9"/>
      <c r="C53" s="9"/>
      <c r="D53" s="9"/>
      <c r="E53" s="10"/>
      <c r="F53" s="10"/>
      <c r="G53" s="11"/>
      <c r="H53" s="9"/>
      <c r="I53" s="9"/>
      <c r="J53" s="9"/>
      <c r="K53" s="10"/>
      <c r="L53" s="10"/>
      <c r="M53" s="11"/>
      <c r="N53" s="12"/>
      <c r="O53" s="12"/>
      <c r="P53" s="12"/>
      <c r="Q53" s="13" t="str">
        <f t="shared" si="0"/>
        <v/>
      </c>
      <c r="R53" s="13" t="str">
        <f t="shared" si="1"/>
        <v/>
      </c>
      <c r="S53" s="14"/>
      <c r="T53" s="12"/>
      <c r="U53" s="12"/>
      <c r="V53" s="12"/>
      <c r="W53" s="13" t="str">
        <f t="shared" si="2"/>
        <v/>
      </c>
      <c r="X53" s="13" t="str">
        <f t="shared" si="3"/>
        <v/>
      </c>
      <c r="Y53" s="14"/>
      <c r="Z53" s="12"/>
      <c r="AA53" s="12"/>
      <c r="AB53" s="12"/>
      <c r="AC53" s="13" t="str">
        <f t="shared" si="29"/>
        <v/>
      </c>
      <c r="AD53" s="13" t="str">
        <f t="shared" si="30"/>
        <v/>
      </c>
      <c r="AE53" s="14"/>
      <c r="AF53" s="12">
        <v>34840</v>
      </c>
      <c r="AG53" s="12">
        <v>1288</v>
      </c>
      <c r="AH53" s="12">
        <v>4</v>
      </c>
      <c r="AI53" s="13">
        <f t="shared" si="31"/>
        <v>26130</v>
      </c>
      <c r="AJ53" s="13">
        <f t="shared" si="32"/>
        <v>966</v>
      </c>
      <c r="AK53" s="14"/>
      <c r="AL53" s="12">
        <v>29122</v>
      </c>
      <c r="AM53" s="12">
        <v>967</v>
      </c>
      <c r="AN53" s="12">
        <v>7</v>
      </c>
      <c r="AO53" s="13">
        <f t="shared" si="33"/>
        <v>12480.857142857145</v>
      </c>
      <c r="AP53" s="13">
        <f t="shared" si="34"/>
        <v>414.42857142857144</v>
      </c>
      <c r="AQ53" s="14"/>
      <c r="AR53" s="12">
        <v>21680</v>
      </c>
      <c r="AS53" s="12">
        <v>804</v>
      </c>
      <c r="AT53" s="12">
        <v>3</v>
      </c>
      <c r="AU53" s="13">
        <f t="shared" si="35"/>
        <v>21680</v>
      </c>
      <c r="AV53" s="13">
        <f t="shared" si="36"/>
        <v>804</v>
      </c>
      <c r="AW53" s="14"/>
      <c r="AX53" s="12"/>
      <c r="AY53" s="12"/>
      <c r="AZ53" s="12"/>
      <c r="BA53" s="13" t="str">
        <f t="shared" si="37"/>
        <v/>
      </c>
      <c r="BB53" s="13" t="str">
        <f t="shared" si="38"/>
        <v/>
      </c>
      <c r="BC53" s="14"/>
      <c r="BD53" s="12">
        <v>4656</v>
      </c>
      <c r="BE53" s="12">
        <v>74</v>
      </c>
      <c r="BF53" s="12">
        <v>1</v>
      </c>
      <c r="BG53" s="13">
        <f t="shared" si="39"/>
        <v>13968</v>
      </c>
      <c r="BH53" s="13">
        <f t="shared" si="40"/>
        <v>222</v>
      </c>
      <c r="BI53" s="14"/>
      <c r="BJ53" s="12"/>
      <c r="BK53" s="12"/>
      <c r="BL53" s="12"/>
      <c r="BM53" s="13" t="str">
        <f t="shared" si="16"/>
        <v xml:space="preserve"> </v>
      </c>
      <c r="BN53" s="13" t="str">
        <f t="shared" si="17"/>
        <v xml:space="preserve"> </v>
      </c>
      <c r="BO53" s="14"/>
      <c r="BP53" s="12"/>
      <c r="BQ53" s="12"/>
      <c r="BR53" s="12"/>
      <c r="BS53" s="13" t="str">
        <f t="shared" si="18"/>
        <v xml:space="preserve"> </v>
      </c>
      <c r="BT53" s="13" t="str">
        <f t="shared" si="19"/>
        <v xml:space="preserve"> </v>
      </c>
      <c r="BU53" s="14"/>
      <c r="BV53" s="12"/>
      <c r="BW53" s="12"/>
      <c r="BX53" s="12"/>
      <c r="BY53" s="13" t="str">
        <f t="shared" si="20"/>
        <v xml:space="preserve"> </v>
      </c>
      <c r="BZ53" s="13" t="str">
        <f t="shared" si="21"/>
        <v xml:space="preserve"> </v>
      </c>
      <c r="CA53" s="14"/>
      <c r="CD53" s="12"/>
      <c r="CE53" s="13" t="str">
        <f t="shared" si="22"/>
        <v xml:space="preserve"> </v>
      </c>
      <c r="CF53" s="13" t="str">
        <f t="shared" si="23"/>
        <v xml:space="preserve"> </v>
      </c>
      <c r="CG53" s="14" t="s">
        <v>51</v>
      </c>
      <c r="CH53" s="9">
        <f t="shared" ref="CH53:CI62" si="41">IFERROR(AVERAGE(N53,T53,Z53,AF53,AL53,AR53,AX53,BD53,BJ53,BP53,BV53,CB53)," ")</f>
        <v>22574.5</v>
      </c>
      <c r="CI53" s="9">
        <f t="shared" si="41"/>
        <v>783.25</v>
      </c>
      <c r="CJ53" s="9">
        <f t="shared" si="25"/>
        <v>15</v>
      </c>
      <c r="CK53" s="10">
        <f t="shared" si="26"/>
        <v>18059.599999999999</v>
      </c>
      <c r="CL53" s="10">
        <f t="shared" si="27"/>
        <v>626.6</v>
      </c>
      <c r="CM53" s="11" t="str">
        <f t="shared" si="28"/>
        <v xml:space="preserve"> </v>
      </c>
    </row>
    <row r="54" spans="1:91" x14ac:dyDescent="0.3">
      <c r="A54" s="8" t="s">
        <v>76</v>
      </c>
      <c r="B54" s="9"/>
      <c r="C54" s="9"/>
      <c r="D54" s="9"/>
      <c r="E54" s="10"/>
      <c r="F54" s="10"/>
      <c r="G54" s="11"/>
      <c r="H54" s="9"/>
      <c r="I54" s="9"/>
      <c r="J54" s="9"/>
      <c r="K54" s="10"/>
      <c r="L54" s="10"/>
      <c r="M54" s="11"/>
      <c r="N54" s="12"/>
      <c r="O54" s="12"/>
      <c r="P54" s="12"/>
      <c r="Q54" s="13" t="str">
        <f t="shared" si="0"/>
        <v/>
      </c>
      <c r="R54" s="13" t="str">
        <f t="shared" si="1"/>
        <v/>
      </c>
      <c r="S54" s="14"/>
      <c r="T54" s="12"/>
      <c r="U54" s="12"/>
      <c r="V54" s="12"/>
      <c r="W54" s="13" t="str">
        <f t="shared" si="2"/>
        <v/>
      </c>
      <c r="X54" s="13" t="str">
        <f t="shared" si="3"/>
        <v/>
      </c>
      <c r="Y54" s="14"/>
      <c r="Z54" s="12"/>
      <c r="AA54" s="12"/>
      <c r="AB54" s="12"/>
      <c r="AC54" s="13" t="str">
        <f t="shared" si="29"/>
        <v/>
      </c>
      <c r="AD54" s="13" t="str">
        <f t="shared" si="30"/>
        <v/>
      </c>
      <c r="AE54" s="14"/>
      <c r="AF54" s="12"/>
      <c r="AG54" s="12"/>
      <c r="AH54" s="12"/>
      <c r="AI54" s="13" t="str">
        <f t="shared" si="31"/>
        <v/>
      </c>
      <c r="AJ54" s="13" t="str">
        <f t="shared" si="32"/>
        <v/>
      </c>
      <c r="AK54" s="14"/>
      <c r="AL54" s="12">
        <v>21680</v>
      </c>
      <c r="AM54" s="12">
        <v>804</v>
      </c>
      <c r="AN54" s="12">
        <v>3</v>
      </c>
      <c r="AO54" s="13">
        <f t="shared" si="33"/>
        <v>21680</v>
      </c>
      <c r="AP54" s="13">
        <f t="shared" si="34"/>
        <v>804</v>
      </c>
      <c r="AQ54" s="14"/>
      <c r="AR54" s="12"/>
      <c r="AS54" s="12"/>
      <c r="AT54" s="12"/>
      <c r="AU54" s="13" t="str">
        <f t="shared" si="35"/>
        <v/>
      </c>
      <c r="AV54" s="13" t="str">
        <f t="shared" si="36"/>
        <v/>
      </c>
      <c r="AW54" s="14"/>
      <c r="AX54" s="12"/>
      <c r="AY54" s="12"/>
      <c r="AZ54" s="12"/>
      <c r="BA54" s="13" t="str">
        <f t="shared" si="37"/>
        <v/>
      </c>
      <c r="BB54" s="13" t="str">
        <f t="shared" si="38"/>
        <v/>
      </c>
      <c r="BC54" s="14"/>
      <c r="BD54" s="12"/>
      <c r="BE54" s="12"/>
      <c r="BF54" s="12"/>
      <c r="BG54" s="13" t="str">
        <f t="shared" si="39"/>
        <v/>
      </c>
      <c r="BH54" s="13" t="str">
        <f t="shared" si="40"/>
        <v/>
      </c>
      <c r="BI54" s="14"/>
      <c r="BJ54" s="12"/>
      <c r="BK54" s="12"/>
      <c r="BL54" s="12"/>
      <c r="BM54" s="13" t="str">
        <f t="shared" si="16"/>
        <v xml:space="preserve"> </v>
      </c>
      <c r="BN54" s="13" t="str">
        <f t="shared" si="17"/>
        <v xml:space="preserve"> </v>
      </c>
      <c r="BO54" s="14"/>
      <c r="BP54" s="12"/>
      <c r="BQ54" s="12"/>
      <c r="BR54" s="12"/>
      <c r="BS54" s="13" t="str">
        <f t="shared" si="18"/>
        <v xml:space="preserve"> </v>
      </c>
      <c r="BT54" s="13" t="str">
        <f t="shared" si="19"/>
        <v xml:space="preserve"> </v>
      </c>
      <c r="BU54" s="14"/>
      <c r="BV54" s="12"/>
      <c r="BW54" s="12"/>
      <c r="BX54" s="12"/>
      <c r="BY54" s="13" t="str">
        <f t="shared" si="20"/>
        <v xml:space="preserve"> </v>
      </c>
      <c r="BZ54" s="13" t="str">
        <f t="shared" si="21"/>
        <v xml:space="preserve"> </v>
      </c>
      <c r="CA54" s="14"/>
      <c r="CD54" s="12"/>
      <c r="CE54" s="13" t="str">
        <f t="shared" si="22"/>
        <v xml:space="preserve"> </v>
      </c>
      <c r="CF54" s="13" t="str">
        <f t="shared" si="23"/>
        <v xml:space="preserve"> </v>
      </c>
      <c r="CG54" s="14" t="s">
        <v>51</v>
      </c>
      <c r="CH54" s="9">
        <f t="shared" si="41"/>
        <v>21680</v>
      </c>
      <c r="CI54" s="9">
        <f t="shared" si="41"/>
        <v>804</v>
      </c>
      <c r="CJ54" s="9">
        <f t="shared" si="25"/>
        <v>3</v>
      </c>
      <c r="CK54" s="10">
        <f t="shared" si="26"/>
        <v>21680</v>
      </c>
      <c r="CL54" s="10">
        <f t="shared" si="27"/>
        <v>804</v>
      </c>
      <c r="CM54" s="11" t="str">
        <f t="shared" si="28"/>
        <v xml:space="preserve"> </v>
      </c>
    </row>
    <row r="55" spans="1:91" x14ac:dyDescent="0.3">
      <c r="A55" s="8" t="s">
        <v>77</v>
      </c>
      <c r="B55" s="9"/>
      <c r="C55" s="9"/>
      <c r="D55" s="9"/>
      <c r="E55" s="10"/>
      <c r="F55" s="10"/>
      <c r="G55" s="11"/>
      <c r="H55" s="9"/>
      <c r="I55" s="9"/>
      <c r="J55" s="9"/>
      <c r="K55" s="10"/>
      <c r="L55" s="10"/>
      <c r="M55" s="11"/>
      <c r="N55" s="12"/>
      <c r="O55" s="12"/>
      <c r="P55" s="12"/>
      <c r="Q55" s="13" t="str">
        <f t="shared" si="0"/>
        <v/>
      </c>
      <c r="R55" s="13" t="str">
        <f t="shared" si="1"/>
        <v/>
      </c>
      <c r="S55" s="14"/>
      <c r="T55" s="12"/>
      <c r="U55" s="12"/>
      <c r="V55" s="12"/>
      <c r="W55" s="13" t="str">
        <f t="shared" si="2"/>
        <v/>
      </c>
      <c r="X55" s="13" t="str">
        <f t="shared" si="3"/>
        <v/>
      </c>
      <c r="Y55" s="14"/>
      <c r="Z55" s="12"/>
      <c r="AA55" s="12"/>
      <c r="AB55" s="12"/>
      <c r="AC55" s="13" t="str">
        <f t="shared" si="29"/>
        <v/>
      </c>
      <c r="AD55" s="13" t="str">
        <f t="shared" si="30"/>
        <v/>
      </c>
      <c r="AE55" s="14"/>
      <c r="AF55" s="12"/>
      <c r="AG55" s="12"/>
      <c r="AH55" s="12"/>
      <c r="AI55" s="13" t="str">
        <f t="shared" si="31"/>
        <v/>
      </c>
      <c r="AJ55" s="13" t="str">
        <f t="shared" si="32"/>
        <v/>
      </c>
      <c r="AK55" s="14"/>
      <c r="AL55" s="12"/>
      <c r="AM55" s="12"/>
      <c r="AN55" s="12"/>
      <c r="AO55" s="13" t="str">
        <f t="shared" si="33"/>
        <v/>
      </c>
      <c r="AP55" s="13" t="str">
        <f t="shared" si="34"/>
        <v/>
      </c>
      <c r="AQ55" s="14"/>
      <c r="AR55" s="12">
        <v>161641</v>
      </c>
      <c r="AS55" s="12">
        <v>3118</v>
      </c>
      <c r="AT55" s="12">
        <v>26</v>
      </c>
      <c r="AU55" s="13">
        <f t="shared" si="35"/>
        <v>18650.884615384613</v>
      </c>
      <c r="AV55" s="13">
        <f t="shared" si="36"/>
        <v>359.76923076923077</v>
      </c>
      <c r="AW55" s="14"/>
      <c r="AX55" s="12">
        <v>121457</v>
      </c>
      <c r="AY55" s="12">
        <v>2014</v>
      </c>
      <c r="AZ55" s="12">
        <v>20</v>
      </c>
      <c r="BA55" s="13">
        <f t="shared" si="37"/>
        <v>18218.550000000003</v>
      </c>
      <c r="BB55" s="13">
        <f t="shared" si="38"/>
        <v>302.10000000000002</v>
      </c>
      <c r="BC55" s="14"/>
      <c r="BD55" s="12">
        <v>38811</v>
      </c>
      <c r="BE55" s="12">
        <v>796</v>
      </c>
      <c r="BF55" s="12">
        <v>7</v>
      </c>
      <c r="BG55" s="13">
        <f t="shared" si="39"/>
        <v>16633.285714285714</v>
      </c>
      <c r="BH55" s="13">
        <f t="shared" si="40"/>
        <v>341.14285714285711</v>
      </c>
      <c r="BI55" s="14"/>
      <c r="BJ55" s="12">
        <v>151686</v>
      </c>
      <c r="BK55" s="12">
        <v>2612</v>
      </c>
      <c r="BL55" s="12">
        <v>22</v>
      </c>
      <c r="BM55" s="13">
        <f t="shared" si="16"/>
        <v>20684.454545454544</v>
      </c>
      <c r="BN55" s="13">
        <f t="shared" si="17"/>
        <v>356.18181818181819</v>
      </c>
      <c r="BO55" s="14"/>
      <c r="BP55" s="12">
        <v>16410</v>
      </c>
      <c r="BQ55" s="12">
        <v>276</v>
      </c>
      <c r="BR55" s="12">
        <v>5</v>
      </c>
      <c r="BS55" s="13">
        <f t="shared" si="18"/>
        <v>9846</v>
      </c>
      <c r="BT55" s="13">
        <f t="shared" si="19"/>
        <v>165.60000000000002</v>
      </c>
      <c r="BU55" s="14"/>
      <c r="BV55" s="12">
        <v>39994</v>
      </c>
      <c r="BW55" s="12">
        <v>569</v>
      </c>
      <c r="BX55" s="12">
        <v>6</v>
      </c>
      <c r="BY55" s="13">
        <f t="shared" si="20"/>
        <v>19997</v>
      </c>
      <c r="BZ55" s="13">
        <f t="shared" si="21"/>
        <v>284.5</v>
      </c>
      <c r="CA55" s="14"/>
      <c r="CB55" s="12">
        <v>194523</v>
      </c>
      <c r="CC55" s="12">
        <v>3177</v>
      </c>
      <c r="CD55" s="12">
        <v>34</v>
      </c>
      <c r="CE55" s="13">
        <f t="shared" si="22"/>
        <v>17163.794117647059</v>
      </c>
      <c r="CF55" s="13">
        <f t="shared" si="23"/>
        <v>280.3235294117647</v>
      </c>
      <c r="CG55" s="14" t="s">
        <v>51</v>
      </c>
      <c r="CH55" s="9">
        <f t="shared" si="41"/>
        <v>103503.14285714286</v>
      </c>
      <c r="CI55" s="9">
        <f t="shared" si="41"/>
        <v>1794.5714285714287</v>
      </c>
      <c r="CJ55" s="9">
        <f t="shared" si="25"/>
        <v>120</v>
      </c>
      <c r="CK55" s="10">
        <f t="shared" si="26"/>
        <v>18113.05</v>
      </c>
      <c r="CL55" s="10">
        <f t="shared" si="27"/>
        <v>314.05</v>
      </c>
      <c r="CM55" s="11" t="str">
        <f t="shared" si="28"/>
        <v xml:space="preserve"> </v>
      </c>
    </row>
    <row r="56" spans="1:91" x14ac:dyDescent="0.3">
      <c r="A56" s="8" t="s">
        <v>78</v>
      </c>
      <c r="B56" s="9"/>
      <c r="C56" s="9"/>
      <c r="D56" s="9"/>
      <c r="E56" s="10"/>
      <c r="F56" s="10"/>
      <c r="G56" s="11"/>
      <c r="H56" s="9"/>
      <c r="I56" s="9"/>
      <c r="J56" s="9"/>
      <c r="K56" s="10"/>
      <c r="L56" s="10"/>
      <c r="M56" s="11"/>
      <c r="N56" s="12"/>
      <c r="O56" s="12"/>
      <c r="P56" s="12"/>
      <c r="Q56" s="13" t="str">
        <f t="shared" si="0"/>
        <v/>
      </c>
      <c r="R56" s="13" t="str">
        <f t="shared" si="1"/>
        <v/>
      </c>
      <c r="S56" s="14"/>
      <c r="T56" s="12"/>
      <c r="U56" s="12"/>
      <c r="V56" s="12"/>
      <c r="W56" s="13" t="str">
        <f t="shared" si="2"/>
        <v/>
      </c>
      <c r="X56" s="13" t="str">
        <f t="shared" si="3"/>
        <v/>
      </c>
      <c r="Y56" s="14"/>
      <c r="Z56" s="12"/>
      <c r="AA56" s="12"/>
      <c r="AB56" s="12"/>
      <c r="AC56" s="13" t="str">
        <f t="shared" si="29"/>
        <v/>
      </c>
      <c r="AD56" s="13" t="str">
        <f t="shared" si="30"/>
        <v/>
      </c>
      <c r="AE56" s="14"/>
      <c r="AF56" s="12">
        <v>59019</v>
      </c>
      <c r="AG56" s="12">
        <v>864</v>
      </c>
      <c r="AH56" s="12">
        <v>21</v>
      </c>
      <c r="AI56" s="13">
        <f t="shared" si="31"/>
        <v>8431.2857142857138</v>
      </c>
      <c r="AJ56" s="13">
        <f t="shared" si="32"/>
        <v>123.42857142857144</v>
      </c>
      <c r="AK56" s="14"/>
      <c r="AL56" s="12">
        <v>43968</v>
      </c>
      <c r="AM56" s="12">
        <v>669</v>
      </c>
      <c r="AN56" s="12">
        <v>8</v>
      </c>
      <c r="AO56" s="13">
        <f t="shared" si="33"/>
        <v>16488</v>
      </c>
      <c r="AP56" s="13">
        <f t="shared" si="34"/>
        <v>250.875</v>
      </c>
      <c r="AQ56" s="14"/>
      <c r="AR56" s="12">
        <v>184470</v>
      </c>
      <c r="AS56" s="12">
        <v>3007</v>
      </c>
      <c r="AT56" s="12">
        <v>35</v>
      </c>
      <c r="AU56" s="13">
        <f t="shared" si="35"/>
        <v>15811.714285714286</v>
      </c>
      <c r="AV56" s="13">
        <f t="shared" si="36"/>
        <v>257.74285714285713</v>
      </c>
      <c r="AW56" s="14"/>
      <c r="AX56" s="12">
        <v>66743</v>
      </c>
      <c r="AY56" s="12">
        <v>1426</v>
      </c>
      <c r="AZ56" s="12">
        <v>15</v>
      </c>
      <c r="BA56" s="13">
        <f t="shared" si="37"/>
        <v>13348.600000000002</v>
      </c>
      <c r="BB56" s="13">
        <f t="shared" si="38"/>
        <v>285.2</v>
      </c>
      <c r="BC56" s="14"/>
      <c r="BD56" s="12">
        <v>100523</v>
      </c>
      <c r="BE56" s="12">
        <v>1487</v>
      </c>
      <c r="BF56" s="12">
        <v>15</v>
      </c>
      <c r="BG56" s="13">
        <f t="shared" si="39"/>
        <v>20104.600000000002</v>
      </c>
      <c r="BH56" s="13">
        <f t="shared" si="40"/>
        <v>297.40000000000003</v>
      </c>
      <c r="BI56" s="14"/>
      <c r="BJ56" s="12">
        <v>242546</v>
      </c>
      <c r="BK56" s="12">
        <v>4272</v>
      </c>
      <c r="BL56" s="12">
        <v>41</v>
      </c>
      <c r="BM56" s="13">
        <f t="shared" si="16"/>
        <v>17747.268292682929</v>
      </c>
      <c r="BN56" s="13">
        <f t="shared" si="17"/>
        <v>312.58536585365852</v>
      </c>
      <c r="BO56" s="14"/>
      <c r="BP56" s="12">
        <v>68799</v>
      </c>
      <c r="BQ56" s="12">
        <v>1009</v>
      </c>
      <c r="BR56" s="12">
        <v>9</v>
      </c>
      <c r="BS56" s="13">
        <f t="shared" si="18"/>
        <v>22933</v>
      </c>
      <c r="BT56" s="13">
        <f t="shared" si="19"/>
        <v>336.33333333333337</v>
      </c>
      <c r="BU56" s="14"/>
      <c r="BV56" s="12">
        <v>186946</v>
      </c>
      <c r="BW56" s="12">
        <v>3304</v>
      </c>
      <c r="BX56" s="12">
        <v>31</v>
      </c>
      <c r="BY56" s="13">
        <f t="shared" si="20"/>
        <v>18091.548387096776</v>
      </c>
      <c r="BZ56" s="13">
        <f t="shared" si="21"/>
        <v>319.74193548387098</v>
      </c>
      <c r="CA56" s="14"/>
      <c r="CB56" s="12">
        <v>272385</v>
      </c>
      <c r="CC56" s="12">
        <v>3740</v>
      </c>
      <c r="CD56" s="12">
        <v>40</v>
      </c>
      <c r="CE56" s="13">
        <f t="shared" si="22"/>
        <v>20428.875</v>
      </c>
      <c r="CF56" s="13">
        <f t="shared" si="23"/>
        <v>280.5</v>
      </c>
      <c r="CG56" s="14" t="s">
        <v>51</v>
      </c>
      <c r="CH56" s="9">
        <f t="shared" si="41"/>
        <v>136155.44444444444</v>
      </c>
      <c r="CI56" s="9">
        <f t="shared" si="41"/>
        <v>2197.5555555555557</v>
      </c>
      <c r="CJ56" s="9">
        <f t="shared" si="25"/>
        <v>215</v>
      </c>
      <c r="CK56" s="10">
        <f t="shared" si="26"/>
        <v>17098.590697674419</v>
      </c>
      <c r="CL56" s="10">
        <f t="shared" si="27"/>
        <v>275.97209302325581</v>
      </c>
      <c r="CM56" s="11" t="str">
        <f t="shared" si="28"/>
        <v xml:space="preserve"> </v>
      </c>
    </row>
    <row r="57" spans="1:91" x14ac:dyDescent="0.3">
      <c r="A57" s="8" t="s">
        <v>79</v>
      </c>
      <c r="B57" s="9"/>
      <c r="C57" s="9"/>
      <c r="D57" s="9"/>
      <c r="E57" s="10"/>
      <c r="F57" s="10"/>
      <c r="G57" s="11"/>
      <c r="H57" s="9"/>
      <c r="I57" s="9"/>
      <c r="J57" s="9"/>
      <c r="K57" s="10"/>
      <c r="L57" s="10"/>
      <c r="M57" s="11"/>
      <c r="N57" s="12"/>
      <c r="O57" s="12"/>
      <c r="P57" s="12"/>
      <c r="Q57" s="13" t="str">
        <f t="shared" si="0"/>
        <v/>
      </c>
      <c r="R57" s="13" t="str">
        <f t="shared" si="1"/>
        <v/>
      </c>
      <c r="S57" s="14"/>
      <c r="T57" s="12"/>
      <c r="U57" s="12"/>
      <c r="V57" s="12"/>
      <c r="W57" s="13" t="str">
        <f t="shared" si="2"/>
        <v/>
      </c>
      <c r="X57" s="13" t="str">
        <f t="shared" si="3"/>
        <v/>
      </c>
      <c r="Y57" s="14"/>
      <c r="Z57" s="12"/>
      <c r="AA57" s="12"/>
      <c r="AB57" s="12"/>
      <c r="AC57" s="13" t="str">
        <f t="shared" si="29"/>
        <v/>
      </c>
      <c r="AD57" s="13" t="str">
        <f t="shared" si="30"/>
        <v/>
      </c>
      <c r="AE57" s="14"/>
      <c r="AF57" s="12"/>
      <c r="AG57" s="12"/>
      <c r="AH57" s="12"/>
      <c r="AI57" s="13" t="str">
        <f t="shared" si="31"/>
        <v/>
      </c>
      <c r="AJ57" s="13" t="str">
        <f t="shared" si="32"/>
        <v/>
      </c>
      <c r="AK57" s="14"/>
      <c r="AL57" s="12"/>
      <c r="AM57" s="12"/>
      <c r="AN57" s="12"/>
      <c r="AO57" s="13" t="str">
        <f t="shared" si="33"/>
        <v/>
      </c>
      <c r="AP57" s="13" t="str">
        <f t="shared" si="34"/>
        <v/>
      </c>
      <c r="AQ57" s="14"/>
      <c r="AR57" s="12"/>
      <c r="AS57" s="12"/>
      <c r="AT57" s="12"/>
      <c r="AU57" s="13" t="str">
        <f t="shared" si="35"/>
        <v/>
      </c>
      <c r="AV57" s="13" t="str">
        <f t="shared" si="36"/>
        <v/>
      </c>
      <c r="AW57" s="14"/>
      <c r="AX57" s="12"/>
      <c r="AY57" s="12"/>
      <c r="AZ57" s="12"/>
      <c r="BA57" s="13" t="str">
        <f t="shared" si="37"/>
        <v/>
      </c>
      <c r="BB57" s="13" t="str">
        <f t="shared" si="38"/>
        <v/>
      </c>
      <c r="BC57" s="14"/>
      <c r="BD57" s="12"/>
      <c r="BE57" s="12"/>
      <c r="BF57" s="12"/>
      <c r="BG57" s="13" t="str">
        <f t="shared" si="39"/>
        <v/>
      </c>
      <c r="BH57" s="13" t="str">
        <f t="shared" si="40"/>
        <v/>
      </c>
      <c r="BI57" s="14"/>
      <c r="BJ57" s="12">
        <v>98400</v>
      </c>
      <c r="BK57" s="12">
        <v>6200</v>
      </c>
      <c r="BL57" s="12">
        <v>5</v>
      </c>
      <c r="BM57" s="13">
        <f t="shared" si="16"/>
        <v>59040</v>
      </c>
      <c r="BN57" s="13">
        <f t="shared" si="17"/>
        <v>3720</v>
      </c>
      <c r="BO57" s="14"/>
      <c r="BP57" s="12">
        <v>282900</v>
      </c>
      <c r="BQ57" s="12">
        <v>17825</v>
      </c>
      <c r="BR57" s="12">
        <v>20</v>
      </c>
      <c r="BS57" s="13">
        <f t="shared" si="18"/>
        <v>42435</v>
      </c>
      <c r="BT57" s="13">
        <f t="shared" si="19"/>
        <v>2673.75</v>
      </c>
      <c r="BU57" s="14"/>
      <c r="BV57" s="12">
        <v>265550</v>
      </c>
      <c r="BW57" s="12">
        <v>17117</v>
      </c>
      <c r="BX57" s="12">
        <v>25</v>
      </c>
      <c r="BY57" s="13">
        <f t="shared" si="20"/>
        <v>31866</v>
      </c>
      <c r="BZ57" s="13">
        <f t="shared" si="21"/>
        <v>2054.04</v>
      </c>
      <c r="CA57" s="14"/>
      <c r="CB57" s="12">
        <v>327600</v>
      </c>
      <c r="CC57" s="12">
        <v>20644</v>
      </c>
      <c r="CD57" s="12">
        <v>21</v>
      </c>
      <c r="CE57" s="13">
        <f t="shared" si="22"/>
        <v>46800</v>
      </c>
      <c r="CF57" s="13">
        <f t="shared" si="23"/>
        <v>2949.1428571428569</v>
      </c>
      <c r="CG57" s="14" t="s">
        <v>51</v>
      </c>
      <c r="CH57" s="9">
        <f t="shared" si="41"/>
        <v>243612.5</v>
      </c>
      <c r="CI57" s="9">
        <f t="shared" si="41"/>
        <v>15446.5</v>
      </c>
      <c r="CJ57" s="9">
        <f t="shared" si="25"/>
        <v>71</v>
      </c>
      <c r="CK57" s="10">
        <f t="shared" si="26"/>
        <v>41173.943661971833</v>
      </c>
      <c r="CL57" s="10">
        <f t="shared" si="27"/>
        <v>2610.6760563380285</v>
      </c>
      <c r="CM57" s="11" t="str">
        <f t="shared" si="28"/>
        <v xml:space="preserve"> </v>
      </c>
    </row>
    <row r="58" spans="1:91" x14ac:dyDescent="0.3">
      <c r="A58" s="8" t="s">
        <v>80</v>
      </c>
      <c r="B58" s="9"/>
      <c r="C58" s="9"/>
      <c r="D58" s="9"/>
      <c r="E58" s="10"/>
      <c r="F58" s="10"/>
      <c r="G58" s="11"/>
      <c r="H58" s="9"/>
      <c r="I58" s="9"/>
      <c r="J58" s="9"/>
      <c r="K58" s="10"/>
      <c r="L58" s="10"/>
      <c r="M58" s="11"/>
      <c r="N58" s="12"/>
      <c r="O58" s="12"/>
      <c r="P58" s="12"/>
      <c r="Q58" s="13"/>
      <c r="R58" s="13"/>
      <c r="S58" s="14"/>
      <c r="T58" s="12"/>
      <c r="U58" s="12"/>
      <c r="V58" s="12"/>
      <c r="W58" s="13"/>
      <c r="X58" s="13"/>
      <c r="Y58" s="14"/>
      <c r="Z58" s="12"/>
      <c r="AA58" s="12"/>
      <c r="AB58" s="12"/>
      <c r="AC58" s="13"/>
      <c r="AD58" s="13"/>
      <c r="AE58" s="14"/>
      <c r="AF58" s="12"/>
      <c r="AG58" s="12"/>
      <c r="AH58" s="12"/>
      <c r="AI58" s="13"/>
      <c r="AJ58" s="13"/>
      <c r="AK58" s="14"/>
      <c r="AL58" s="12"/>
      <c r="AM58" s="12"/>
      <c r="AN58" s="12"/>
      <c r="AO58" s="13"/>
      <c r="AP58" s="13"/>
      <c r="AQ58" s="14"/>
      <c r="AR58" s="12"/>
      <c r="AS58" s="12"/>
      <c r="AT58" s="12"/>
      <c r="AU58" s="13"/>
      <c r="AV58" s="13"/>
      <c r="AW58" s="14"/>
      <c r="AX58" s="12"/>
      <c r="AY58" s="12"/>
      <c r="AZ58" s="12"/>
      <c r="BA58" s="13"/>
      <c r="BB58" s="13"/>
      <c r="BC58" s="14"/>
      <c r="BD58" s="12"/>
      <c r="BE58" s="12"/>
      <c r="BF58" s="12"/>
      <c r="BG58" s="13"/>
      <c r="BH58" s="13"/>
      <c r="BI58" s="14"/>
      <c r="BJ58" s="12">
        <v>12300</v>
      </c>
      <c r="BK58" s="12">
        <v>775</v>
      </c>
      <c r="BL58" s="12">
        <v>1</v>
      </c>
      <c r="BM58" s="13"/>
      <c r="BN58" s="13"/>
      <c r="BO58" s="14"/>
      <c r="BP58" s="12">
        <v>147608</v>
      </c>
      <c r="BQ58" s="12">
        <v>9300</v>
      </c>
      <c r="BR58" s="12">
        <v>11</v>
      </c>
      <c r="BS58" s="13"/>
      <c r="BT58" s="13"/>
      <c r="BU58" s="14"/>
      <c r="BV58" s="12">
        <v>316311</v>
      </c>
      <c r="BW58" s="12">
        <v>19146</v>
      </c>
      <c r="BX58" s="12">
        <v>18</v>
      </c>
      <c r="BY58" s="13"/>
      <c r="BZ58" s="13"/>
      <c r="CA58" s="14"/>
      <c r="CB58" s="12">
        <v>75600</v>
      </c>
      <c r="CC58" s="12">
        <v>4764</v>
      </c>
      <c r="CD58" s="12">
        <v>6</v>
      </c>
      <c r="CE58" s="13"/>
      <c r="CF58" s="13"/>
      <c r="CG58" s="14"/>
      <c r="CH58" s="9">
        <f t="shared" si="41"/>
        <v>137954.75</v>
      </c>
      <c r="CI58" s="9">
        <f t="shared" si="41"/>
        <v>8496.25</v>
      </c>
      <c r="CJ58" s="9">
        <f t="shared" si="25"/>
        <v>36</v>
      </c>
      <c r="CK58" s="10">
        <f t="shared" si="26"/>
        <v>45984.916666666664</v>
      </c>
      <c r="CL58" s="10">
        <f t="shared" si="27"/>
        <v>2832.0833333333335</v>
      </c>
      <c r="CM58" s="11"/>
    </row>
    <row r="59" spans="1:91" x14ac:dyDescent="0.3">
      <c r="A59" s="8" t="s">
        <v>81</v>
      </c>
      <c r="B59" s="9"/>
      <c r="C59" s="9"/>
      <c r="D59" s="9"/>
      <c r="E59" s="10"/>
      <c r="F59" s="10"/>
      <c r="G59" s="11"/>
      <c r="H59" s="9"/>
      <c r="I59" s="9"/>
      <c r="J59" s="9"/>
      <c r="K59" s="10"/>
      <c r="L59" s="10"/>
      <c r="M59" s="11"/>
      <c r="N59" s="12"/>
      <c r="O59" s="12"/>
      <c r="P59" s="12"/>
      <c r="Q59" s="13" t="str">
        <f t="shared" si="0"/>
        <v/>
      </c>
      <c r="R59" s="13" t="str">
        <f t="shared" si="1"/>
        <v/>
      </c>
      <c r="S59" s="14"/>
      <c r="T59" s="12"/>
      <c r="U59" s="12"/>
      <c r="V59" s="12"/>
      <c r="W59" s="13" t="str">
        <f t="shared" si="2"/>
        <v/>
      </c>
      <c r="X59" s="13" t="str">
        <f t="shared" si="3"/>
        <v/>
      </c>
      <c r="Y59" s="14"/>
      <c r="Z59" s="12"/>
      <c r="AA59" s="12"/>
      <c r="AB59" s="12"/>
      <c r="AC59" s="13" t="str">
        <f t="shared" si="29"/>
        <v/>
      </c>
      <c r="AD59" s="13" t="str">
        <f t="shared" si="30"/>
        <v/>
      </c>
      <c r="AE59" s="14"/>
      <c r="AF59" s="12">
        <v>12228</v>
      </c>
      <c r="AG59" s="12">
        <v>8062</v>
      </c>
      <c r="AH59" s="12">
        <v>7</v>
      </c>
      <c r="AI59" s="13">
        <f t="shared" si="31"/>
        <v>5240.5714285714284</v>
      </c>
      <c r="AJ59" s="13">
        <f t="shared" si="32"/>
        <v>3455.1428571428573</v>
      </c>
      <c r="AK59" s="14"/>
      <c r="AL59" s="12">
        <v>68244</v>
      </c>
      <c r="AM59" s="12">
        <v>21018</v>
      </c>
      <c r="AN59" s="12">
        <v>13</v>
      </c>
      <c r="AO59" s="13">
        <f t="shared" si="33"/>
        <v>15748.615384615387</v>
      </c>
      <c r="AP59" s="13">
        <f t="shared" si="34"/>
        <v>4850.3076923076924</v>
      </c>
      <c r="AQ59" s="14"/>
      <c r="AR59" s="12">
        <v>82151</v>
      </c>
      <c r="AS59" s="12">
        <v>23314</v>
      </c>
      <c r="AT59" s="12">
        <v>17</v>
      </c>
      <c r="AU59" s="13">
        <f t="shared" si="35"/>
        <v>14497.235294117647</v>
      </c>
      <c r="AV59" s="13">
        <f t="shared" si="36"/>
        <v>4114.2352941176468</v>
      </c>
      <c r="AW59" s="14"/>
      <c r="AX59" s="12">
        <v>81423</v>
      </c>
      <c r="AY59" s="12">
        <v>28903</v>
      </c>
      <c r="AZ59" s="12">
        <v>21</v>
      </c>
      <c r="BA59" s="13">
        <f t="shared" si="37"/>
        <v>11631.857142857143</v>
      </c>
      <c r="BB59" s="13">
        <f t="shared" si="38"/>
        <v>4129</v>
      </c>
      <c r="BC59" s="14"/>
      <c r="BD59" s="12"/>
      <c r="BE59" s="12"/>
      <c r="BF59" s="12"/>
      <c r="BG59" s="13" t="str">
        <f t="shared" si="39"/>
        <v/>
      </c>
      <c r="BH59" s="13" t="str">
        <f t="shared" si="40"/>
        <v/>
      </c>
      <c r="BI59" s="14"/>
      <c r="BJ59" s="12"/>
      <c r="BK59" s="12"/>
      <c r="BL59" s="12"/>
      <c r="BM59" s="13" t="str">
        <f t="shared" si="16"/>
        <v xml:space="preserve"> </v>
      </c>
      <c r="BN59" s="13" t="str">
        <f t="shared" si="17"/>
        <v xml:space="preserve"> </v>
      </c>
      <c r="BO59" s="14"/>
      <c r="BP59" s="12"/>
      <c r="BQ59" s="12"/>
      <c r="BR59" s="12"/>
      <c r="BS59" s="13" t="str">
        <f t="shared" si="18"/>
        <v xml:space="preserve"> </v>
      </c>
      <c r="BT59" s="13" t="str">
        <f t="shared" si="19"/>
        <v xml:space="preserve"> </v>
      </c>
      <c r="BU59" s="14"/>
      <c r="BV59" s="12"/>
      <c r="BW59" s="12"/>
      <c r="BX59" s="12"/>
      <c r="BY59" s="13" t="str">
        <f t="shared" si="20"/>
        <v xml:space="preserve"> </v>
      </c>
      <c r="BZ59" s="13" t="str">
        <f t="shared" si="21"/>
        <v xml:space="preserve"> </v>
      </c>
      <c r="CA59" s="14"/>
      <c r="CB59" s="12">
        <v>131399</v>
      </c>
      <c r="CC59" s="12">
        <v>42335</v>
      </c>
      <c r="CD59" s="12">
        <v>32</v>
      </c>
      <c r="CE59" s="13">
        <f t="shared" si="22"/>
        <v>12318.65625</v>
      </c>
      <c r="CF59" s="13">
        <f t="shared" si="23"/>
        <v>3968.90625</v>
      </c>
      <c r="CG59" s="14" t="s">
        <v>51</v>
      </c>
      <c r="CH59" s="9">
        <f t="shared" si="41"/>
        <v>75089</v>
      </c>
      <c r="CI59" s="9">
        <f t="shared" si="41"/>
        <v>24726.400000000001</v>
      </c>
      <c r="CJ59" s="9">
        <f t="shared" si="25"/>
        <v>90</v>
      </c>
      <c r="CK59" s="10">
        <f t="shared" si="26"/>
        <v>12514.833333333334</v>
      </c>
      <c r="CL59" s="10">
        <f t="shared" si="27"/>
        <v>4121.0666666666666</v>
      </c>
      <c r="CM59" s="11" t="str">
        <f t="shared" si="28"/>
        <v xml:space="preserve"> </v>
      </c>
    </row>
    <row r="60" spans="1:91" x14ac:dyDescent="0.3">
      <c r="A60" s="8" t="s">
        <v>82</v>
      </c>
      <c r="B60" s="9"/>
      <c r="C60" s="9"/>
      <c r="D60" s="9"/>
      <c r="E60" s="10"/>
      <c r="F60" s="10"/>
      <c r="G60" s="11"/>
      <c r="H60" s="9"/>
      <c r="I60" s="9"/>
      <c r="J60" s="9"/>
      <c r="K60" s="10"/>
      <c r="L60" s="10"/>
      <c r="M60" s="11"/>
      <c r="N60" s="12"/>
      <c r="O60" s="12"/>
      <c r="P60" s="12"/>
      <c r="Q60" s="13" t="str">
        <f t="shared" si="0"/>
        <v/>
      </c>
      <c r="R60" s="13" t="str">
        <f t="shared" si="1"/>
        <v/>
      </c>
      <c r="S60" s="14"/>
      <c r="T60" s="12"/>
      <c r="U60" s="12"/>
      <c r="V60" s="12"/>
      <c r="W60" s="13" t="str">
        <f t="shared" si="2"/>
        <v/>
      </c>
      <c r="X60" s="13" t="str">
        <f t="shared" si="3"/>
        <v/>
      </c>
      <c r="Y60" s="14"/>
      <c r="Z60" s="12"/>
      <c r="AA60" s="12"/>
      <c r="AB60" s="12"/>
      <c r="AC60" s="13" t="str">
        <f t="shared" si="29"/>
        <v/>
      </c>
      <c r="AD60" s="13" t="str">
        <f t="shared" si="30"/>
        <v/>
      </c>
      <c r="AE60" s="14"/>
      <c r="AF60" s="12"/>
      <c r="AG60" s="12"/>
      <c r="AH60" s="12"/>
      <c r="AI60" s="13" t="str">
        <f t="shared" si="31"/>
        <v/>
      </c>
      <c r="AJ60" s="13" t="str">
        <f t="shared" si="32"/>
        <v/>
      </c>
      <c r="AK60" s="14"/>
      <c r="AL60" s="12"/>
      <c r="AM60" s="12"/>
      <c r="AN60" s="12"/>
      <c r="AO60" s="13" t="str">
        <f t="shared" si="33"/>
        <v/>
      </c>
      <c r="AP60" s="13" t="str">
        <f t="shared" si="34"/>
        <v/>
      </c>
      <c r="AQ60" s="14"/>
      <c r="AR60" s="12">
        <v>37940</v>
      </c>
      <c r="AS60" s="12">
        <v>1407</v>
      </c>
      <c r="AT60" s="12">
        <v>5</v>
      </c>
      <c r="AU60" s="13">
        <f t="shared" si="35"/>
        <v>22764</v>
      </c>
      <c r="AV60" s="13">
        <f t="shared" si="36"/>
        <v>844.19999999999993</v>
      </c>
      <c r="AW60" s="14"/>
      <c r="AX60" s="12"/>
      <c r="AY60" s="12"/>
      <c r="AZ60" s="12"/>
      <c r="BA60" s="13" t="str">
        <f t="shared" si="37"/>
        <v/>
      </c>
      <c r="BB60" s="13" t="str">
        <f t="shared" si="38"/>
        <v/>
      </c>
      <c r="BC60" s="14"/>
      <c r="BD60" s="12"/>
      <c r="BE60" s="12"/>
      <c r="BF60" s="12"/>
      <c r="BG60" s="13" t="str">
        <f t="shared" si="39"/>
        <v/>
      </c>
      <c r="BH60" s="13" t="str">
        <f t="shared" si="40"/>
        <v/>
      </c>
      <c r="BI60" s="14"/>
      <c r="BJ60" s="12"/>
      <c r="BK60" s="12"/>
      <c r="BL60" s="12"/>
      <c r="BM60" s="13" t="str">
        <f t="shared" si="16"/>
        <v xml:space="preserve"> </v>
      </c>
      <c r="BN60" s="13" t="str">
        <f t="shared" si="17"/>
        <v xml:space="preserve"> </v>
      </c>
      <c r="BO60" s="14"/>
      <c r="BP60" s="12"/>
      <c r="BQ60" s="12"/>
      <c r="BR60" s="12"/>
      <c r="BS60" s="13" t="str">
        <f t="shared" si="18"/>
        <v xml:space="preserve"> </v>
      </c>
      <c r="BT60" s="13" t="str">
        <f t="shared" si="19"/>
        <v xml:space="preserve"> </v>
      </c>
      <c r="BU60" s="14"/>
      <c r="BV60" s="12"/>
      <c r="BW60" s="12"/>
      <c r="BX60" s="12"/>
      <c r="BY60" s="13" t="str">
        <f t="shared" si="20"/>
        <v xml:space="preserve"> </v>
      </c>
      <c r="BZ60" s="13" t="str">
        <f t="shared" si="21"/>
        <v xml:space="preserve"> </v>
      </c>
      <c r="CA60" s="14"/>
      <c r="CB60" s="12">
        <v>47860</v>
      </c>
      <c r="CC60" s="12">
        <v>1774</v>
      </c>
      <c r="CD60" s="12">
        <v>7</v>
      </c>
      <c r="CE60" s="13">
        <f t="shared" si="22"/>
        <v>20511.428571428572</v>
      </c>
      <c r="CF60" s="13">
        <f t="shared" si="23"/>
        <v>760.28571428571422</v>
      </c>
      <c r="CG60" s="14" t="s">
        <v>51</v>
      </c>
      <c r="CH60" s="9">
        <f t="shared" si="41"/>
        <v>42900</v>
      </c>
      <c r="CI60" s="9">
        <f t="shared" si="41"/>
        <v>1590.5</v>
      </c>
      <c r="CJ60" s="9">
        <f t="shared" si="25"/>
        <v>12</v>
      </c>
      <c r="CK60" s="10">
        <f t="shared" si="26"/>
        <v>21450</v>
      </c>
      <c r="CL60" s="10">
        <f t="shared" si="27"/>
        <v>795.25</v>
      </c>
      <c r="CM60" s="11" t="str">
        <f t="shared" si="28"/>
        <v xml:space="preserve"> </v>
      </c>
    </row>
    <row r="61" spans="1:91" x14ac:dyDescent="0.3">
      <c r="A61" s="8" t="s">
        <v>83</v>
      </c>
      <c r="B61" s="9"/>
      <c r="C61" s="9"/>
      <c r="D61" s="9"/>
      <c r="E61" s="10"/>
      <c r="F61" s="10"/>
      <c r="G61" s="11"/>
      <c r="H61" s="9"/>
      <c r="I61" s="9"/>
      <c r="J61" s="9"/>
      <c r="K61" s="10"/>
      <c r="L61" s="10"/>
      <c r="M61" s="11"/>
      <c r="N61" s="12"/>
      <c r="O61" s="12"/>
      <c r="P61" s="12"/>
      <c r="Q61" s="13"/>
      <c r="R61" s="13"/>
      <c r="S61" s="14"/>
      <c r="T61" s="12"/>
      <c r="U61" s="12"/>
      <c r="V61" s="12"/>
      <c r="W61" s="13"/>
      <c r="X61" s="13"/>
      <c r="Y61" s="14"/>
      <c r="Z61" s="12"/>
      <c r="AA61" s="12"/>
      <c r="AB61" s="12"/>
      <c r="AC61" s="13"/>
      <c r="AD61" s="13"/>
      <c r="AE61" s="14"/>
      <c r="AF61" s="12"/>
      <c r="AG61" s="12"/>
      <c r="AH61" s="12"/>
      <c r="AI61" s="13"/>
      <c r="AJ61" s="13"/>
      <c r="AK61" s="14"/>
      <c r="AL61" s="12"/>
      <c r="AM61" s="12"/>
      <c r="AN61" s="12"/>
      <c r="AO61" s="13"/>
      <c r="AP61" s="13"/>
      <c r="AQ61" s="14"/>
      <c r="AR61" s="12"/>
      <c r="AS61" s="12"/>
      <c r="AT61" s="12"/>
      <c r="AU61" s="13"/>
      <c r="AV61" s="13"/>
      <c r="AW61" s="14"/>
      <c r="AX61" s="12"/>
      <c r="AY61" s="12"/>
      <c r="AZ61" s="12"/>
      <c r="BA61" s="13"/>
      <c r="BB61" s="13"/>
      <c r="BC61" s="14"/>
      <c r="BD61" s="12"/>
      <c r="BE61" s="12"/>
      <c r="BF61" s="12"/>
      <c r="BG61" s="13"/>
      <c r="BH61" s="13"/>
      <c r="BI61" s="14"/>
      <c r="BJ61" s="12"/>
      <c r="BK61" s="12"/>
      <c r="BL61" s="12"/>
      <c r="BM61" s="13"/>
      <c r="BN61" s="13"/>
      <c r="BO61" s="14"/>
      <c r="BP61" s="12"/>
      <c r="BQ61" s="12"/>
      <c r="BR61" s="12"/>
      <c r="BS61" s="13"/>
      <c r="BT61" s="13"/>
      <c r="BU61" s="14"/>
      <c r="BV61" s="12"/>
      <c r="BW61" s="12"/>
      <c r="BX61" s="12"/>
      <c r="BY61" s="13"/>
      <c r="BZ61" s="13"/>
      <c r="CA61" s="14"/>
      <c r="CB61" s="12">
        <v>50620</v>
      </c>
      <c r="CC61" s="12">
        <v>3637</v>
      </c>
      <c r="CD61" s="12">
        <v>10</v>
      </c>
      <c r="CE61" s="13"/>
      <c r="CF61" s="13"/>
      <c r="CG61" s="14"/>
      <c r="CH61" s="9">
        <f t="shared" si="41"/>
        <v>50620</v>
      </c>
      <c r="CI61" s="9">
        <f t="shared" si="41"/>
        <v>3637</v>
      </c>
      <c r="CJ61" s="9">
        <f t="shared" si="25"/>
        <v>10</v>
      </c>
      <c r="CK61" s="10">
        <f t="shared" si="26"/>
        <v>15186</v>
      </c>
      <c r="CL61" s="10">
        <f t="shared" si="27"/>
        <v>1091.0999999999999</v>
      </c>
      <c r="CM61" s="11" t="str">
        <f t="shared" si="28"/>
        <v xml:space="preserve"> </v>
      </c>
    </row>
    <row r="62" spans="1:91" x14ac:dyDescent="0.3">
      <c r="A62" s="8" t="s">
        <v>84</v>
      </c>
      <c r="B62" s="9"/>
      <c r="C62" s="9"/>
      <c r="D62" s="9"/>
      <c r="E62" s="10"/>
      <c r="F62" s="10"/>
      <c r="G62" s="11"/>
      <c r="H62" s="9"/>
      <c r="I62" s="9"/>
      <c r="J62" s="9"/>
      <c r="K62" s="10"/>
      <c r="L62" s="10"/>
      <c r="M62" s="11"/>
      <c r="N62" s="12"/>
      <c r="O62" s="12"/>
      <c r="P62" s="12"/>
      <c r="Q62" s="13" t="str">
        <f t="shared" si="0"/>
        <v/>
      </c>
      <c r="R62" s="13" t="str">
        <f t="shared" si="1"/>
        <v/>
      </c>
      <c r="S62" s="14"/>
      <c r="T62" s="12"/>
      <c r="U62" s="12"/>
      <c r="V62" s="12"/>
      <c r="W62" s="13" t="str">
        <f t="shared" si="2"/>
        <v/>
      </c>
      <c r="X62" s="13" t="str">
        <f t="shared" si="3"/>
        <v/>
      </c>
      <c r="Y62" s="14"/>
      <c r="Z62" s="12">
        <v>3660</v>
      </c>
      <c r="AA62" s="12">
        <v>9447</v>
      </c>
      <c r="AB62" s="12">
        <v>2</v>
      </c>
      <c r="AC62" s="13">
        <f t="shared" si="29"/>
        <v>5490</v>
      </c>
      <c r="AD62" s="13">
        <f t="shared" si="30"/>
        <v>14170.5</v>
      </c>
      <c r="AE62" s="14"/>
      <c r="AF62" s="12">
        <v>2800</v>
      </c>
      <c r="AG62" s="12">
        <v>6079</v>
      </c>
      <c r="AH62" s="12">
        <v>2</v>
      </c>
      <c r="AI62" s="13">
        <f t="shared" si="31"/>
        <v>4200</v>
      </c>
      <c r="AJ62" s="13">
        <f t="shared" si="32"/>
        <v>9118.5</v>
      </c>
      <c r="AK62" s="14"/>
      <c r="AL62" s="12"/>
      <c r="AM62" s="12"/>
      <c r="AN62" s="12"/>
      <c r="AO62" s="13" t="str">
        <f t="shared" si="33"/>
        <v/>
      </c>
      <c r="AP62" s="13" t="str">
        <f t="shared" si="34"/>
        <v/>
      </c>
      <c r="AQ62" s="14"/>
      <c r="AR62" s="12"/>
      <c r="AS62" s="12"/>
      <c r="AT62" s="12"/>
      <c r="AU62" s="13" t="str">
        <f t="shared" si="35"/>
        <v/>
      </c>
      <c r="AV62" s="13" t="str">
        <f t="shared" si="36"/>
        <v/>
      </c>
      <c r="AW62" s="14"/>
      <c r="AX62" s="12">
        <v>8400</v>
      </c>
      <c r="AY62" s="12">
        <v>21404</v>
      </c>
      <c r="AZ62" s="12">
        <v>4</v>
      </c>
      <c r="BA62" s="13">
        <f t="shared" si="37"/>
        <v>6300</v>
      </c>
      <c r="BB62" s="13">
        <f t="shared" si="38"/>
        <v>16053</v>
      </c>
      <c r="BC62" s="14"/>
      <c r="BD62" s="12">
        <v>10878</v>
      </c>
      <c r="BE62" s="12">
        <v>20846</v>
      </c>
      <c r="BF62" s="12">
        <v>5</v>
      </c>
      <c r="BG62" s="13">
        <f t="shared" si="39"/>
        <v>6526.7999999999993</v>
      </c>
      <c r="BH62" s="13">
        <f t="shared" si="40"/>
        <v>12507.599999999999</v>
      </c>
      <c r="BI62" s="14"/>
      <c r="BJ62" s="12">
        <v>23571</v>
      </c>
      <c r="BK62" s="12">
        <v>66977</v>
      </c>
      <c r="BL62" s="12">
        <v>17</v>
      </c>
      <c r="BM62" s="13">
        <f t="shared" si="16"/>
        <v>4159.5882352941171</v>
      </c>
      <c r="BN62" s="13">
        <f t="shared" si="17"/>
        <v>11819.470588235294</v>
      </c>
      <c r="BO62" s="14"/>
      <c r="BP62" s="12">
        <v>27236</v>
      </c>
      <c r="BQ62" s="12">
        <v>86143</v>
      </c>
      <c r="BR62" s="12">
        <v>21</v>
      </c>
      <c r="BS62" s="13">
        <f t="shared" si="18"/>
        <v>3890.8571428571431</v>
      </c>
      <c r="BT62" s="13">
        <f t="shared" si="19"/>
        <v>12306.142857142859</v>
      </c>
      <c r="BU62" s="14"/>
      <c r="BV62" s="12">
        <v>73364</v>
      </c>
      <c r="BW62" s="12">
        <v>174671</v>
      </c>
      <c r="BX62" s="12">
        <v>41</v>
      </c>
      <c r="BY62" s="13">
        <f t="shared" si="20"/>
        <v>5368.0975609756097</v>
      </c>
      <c r="BZ62" s="13">
        <f t="shared" si="21"/>
        <v>12780.804878048781</v>
      </c>
      <c r="CA62" s="14"/>
      <c r="CB62" s="12">
        <v>94143</v>
      </c>
      <c r="CC62" s="12">
        <v>202964</v>
      </c>
      <c r="CD62" s="12">
        <v>58</v>
      </c>
      <c r="CE62" s="13">
        <f t="shared" si="22"/>
        <v>4869.4655172413786</v>
      </c>
      <c r="CF62" s="13">
        <f t="shared" si="23"/>
        <v>10498.137931034482</v>
      </c>
      <c r="CG62" s="14" t="s">
        <v>51</v>
      </c>
      <c r="CH62" s="9">
        <f t="shared" si="41"/>
        <v>30506.5</v>
      </c>
      <c r="CI62" s="9">
        <f t="shared" si="41"/>
        <v>73566.375</v>
      </c>
      <c r="CJ62" s="9">
        <f t="shared" si="25"/>
        <v>150</v>
      </c>
      <c r="CK62" s="10">
        <f t="shared" si="26"/>
        <v>4881.04</v>
      </c>
      <c r="CL62" s="10">
        <f t="shared" si="27"/>
        <v>11770.619999999999</v>
      </c>
      <c r="CM62" s="11" t="str">
        <f t="shared" si="28"/>
        <v xml:space="preserve"> </v>
      </c>
    </row>
    <row r="63" spans="1:91" s="17" customFormat="1" x14ac:dyDescent="0.3">
      <c r="A63" s="2" t="s">
        <v>85</v>
      </c>
      <c r="B63" s="15">
        <v>12648720.354545455</v>
      </c>
      <c r="C63" s="15">
        <v>2745150.3131313133</v>
      </c>
      <c r="D63" s="15">
        <v>36197</v>
      </c>
      <c r="E63" s="15">
        <v>607984.28042865114</v>
      </c>
      <c r="F63" s="15">
        <v>131459.79023228583</v>
      </c>
      <c r="G63" s="16"/>
      <c r="H63" s="15">
        <v>9360318.5779220741</v>
      </c>
      <c r="I63" s="15">
        <v>2004328.1266955263</v>
      </c>
      <c r="J63" s="15">
        <v>26734</v>
      </c>
      <c r="K63" s="15">
        <v>505937.56500805006</v>
      </c>
      <c r="L63" s="15">
        <v>110901.73250745529</v>
      </c>
      <c r="M63" s="15"/>
      <c r="N63" s="15">
        <f>SUM(N3:N62)</f>
        <v>4869454.1053424245</v>
      </c>
      <c r="O63" s="15">
        <f>SUM(O3:O62)</f>
        <v>1146699</v>
      </c>
      <c r="P63" s="15"/>
      <c r="Q63" s="15"/>
      <c r="R63" s="15"/>
      <c r="S63" s="15"/>
      <c r="T63" s="15">
        <f>SUM(T3:T62)</f>
        <v>6969464</v>
      </c>
      <c r="U63" s="15">
        <f>SUM(U3:U62)</f>
        <v>1791312</v>
      </c>
      <c r="V63" s="15"/>
      <c r="W63" s="15"/>
      <c r="X63" s="15"/>
      <c r="Y63" s="15"/>
      <c r="Z63" s="15">
        <f>SUM(Z3:Z62)</f>
        <v>5911215</v>
      </c>
      <c r="AA63" s="15">
        <f>SUM(AA3:AA62)</f>
        <v>1645592</v>
      </c>
      <c r="AB63" s="15"/>
      <c r="AC63" s="15"/>
      <c r="AD63" s="15"/>
      <c r="AE63" s="15"/>
      <c r="AF63" s="15">
        <f>SUM(AF3:AF62)</f>
        <v>4116689</v>
      </c>
      <c r="AG63" s="15">
        <f>SUM(AG3:AG62)</f>
        <v>1017946</v>
      </c>
      <c r="AH63" s="15"/>
      <c r="AI63" s="15"/>
      <c r="AJ63" s="15"/>
      <c r="AK63" s="15"/>
      <c r="AL63" s="15">
        <f>SUM(AL3:AL62)</f>
        <v>77441505.230000004</v>
      </c>
      <c r="AM63" s="15">
        <f>SUM(AM3:AM62)</f>
        <v>4384202</v>
      </c>
      <c r="AN63" s="15"/>
      <c r="AO63" s="15"/>
      <c r="AP63" s="15"/>
      <c r="AQ63" s="15"/>
      <c r="AR63" s="15">
        <f>SUM(AR3:AR62)</f>
        <v>6138876</v>
      </c>
      <c r="AS63" s="15">
        <f>SUM(AS3:AS62)</f>
        <v>1429679</v>
      </c>
      <c r="AT63" s="15"/>
      <c r="AU63" s="15"/>
      <c r="AV63" s="15"/>
      <c r="AW63" s="15"/>
      <c r="AX63" s="15">
        <f>SUM(AX3:AX62)</f>
        <v>6760489</v>
      </c>
      <c r="AY63" s="15">
        <f>SUM(AY3:AY62)</f>
        <v>1846951</v>
      </c>
      <c r="AZ63" s="15"/>
      <c r="BA63" s="15"/>
      <c r="BB63" s="15"/>
      <c r="BC63" s="15"/>
      <c r="BD63" s="15">
        <f>SUM(BD3:BD62)</f>
        <v>6742579</v>
      </c>
      <c r="BE63" s="15">
        <f>SUM(BE3:BE62)</f>
        <v>1849184</v>
      </c>
      <c r="BF63" s="15"/>
      <c r="BG63" s="15"/>
      <c r="BH63" s="15"/>
      <c r="BI63" s="15"/>
      <c r="BJ63" s="15">
        <f>SUM(BJ3:BJ62)</f>
        <v>8503888</v>
      </c>
      <c r="BK63" s="15">
        <f>SUM(BK3:BK62)</f>
        <v>2211017</v>
      </c>
      <c r="BL63" s="15"/>
      <c r="BM63" s="15"/>
      <c r="BN63" s="15"/>
      <c r="BO63" s="15"/>
      <c r="BP63" s="15">
        <f>SUM(BP3:BP62)</f>
        <v>10197187</v>
      </c>
      <c r="BQ63" s="15">
        <f>SUM(BQ3:BQ62)</f>
        <v>2616959</v>
      </c>
      <c r="BR63" s="15"/>
      <c r="BS63" s="15"/>
      <c r="BT63" s="15"/>
      <c r="BU63" s="15"/>
      <c r="BV63" s="15">
        <f>SUM(BV3:BV62)</f>
        <v>9273554</v>
      </c>
      <c r="BW63" s="15">
        <f>SUM(BW3:BW62)</f>
        <v>2507494</v>
      </c>
      <c r="BX63" s="15"/>
      <c r="BY63" s="15"/>
      <c r="BZ63" s="15"/>
      <c r="CA63" s="15"/>
      <c r="CB63" s="15">
        <f>SUM(CB3:CB62)</f>
        <v>9904345</v>
      </c>
      <c r="CC63" s="15">
        <f>SUM(CC3:CC62)</f>
        <v>2616880</v>
      </c>
      <c r="CD63" s="15"/>
      <c r="CE63" s="15"/>
      <c r="CF63" s="15"/>
      <c r="CG63" s="15"/>
      <c r="CH63" s="15">
        <f>SUM(CH3:CH62)</f>
        <v>13938312.638514318</v>
      </c>
      <c r="CI63" s="15">
        <f t="shared" ref="CI63:CL63" si="42">SUM(CI3:CI62)</f>
        <v>2181438.8197330446</v>
      </c>
      <c r="CJ63" s="15">
        <f t="shared" si="42"/>
        <v>18991</v>
      </c>
      <c r="CK63" s="15">
        <f t="shared" si="42"/>
        <v>1269608.4256760729</v>
      </c>
      <c r="CL63" s="15">
        <f t="shared" si="42"/>
        <v>170293.75503881043</v>
      </c>
      <c r="CM63" s="15"/>
    </row>
    <row r="64" spans="1:91" x14ac:dyDescent="0.3">
      <c r="B64" s="12"/>
      <c r="C64" s="12"/>
      <c r="D64" s="12"/>
      <c r="E64" s="12"/>
      <c r="F64" s="19"/>
      <c r="G64" s="20"/>
      <c r="H64" s="20"/>
      <c r="I64" s="20"/>
      <c r="J64" s="20"/>
      <c r="K64" s="20"/>
      <c r="L64" s="20"/>
      <c r="M64" s="20"/>
      <c r="CH64" s="12"/>
      <c r="CI64" s="12"/>
      <c r="CJ64" s="12"/>
      <c r="CK64" s="12"/>
      <c r="CL64" s="19"/>
      <c r="CM64" s="20"/>
    </row>
    <row r="65" spans="1:94" x14ac:dyDescent="0.3">
      <c r="A65" s="1"/>
      <c r="B65" s="29" t="s">
        <v>0</v>
      </c>
      <c r="C65" s="29"/>
      <c r="D65" s="29"/>
      <c r="E65" s="29"/>
      <c r="F65" s="29"/>
      <c r="G65" s="29"/>
      <c r="H65" s="29" t="s">
        <v>1</v>
      </c>
      <c r="I65" s="29"/>
      <c r="J65" s="29"/>
      <c r="K65" s="29"/>
      <c r="L65" s="29"/>
      <c r="M65" s="29"/>
      <c r="N65" s="29" t="s">
        <v>2</v>
      </c>
      <c r="O65" s="29"/>
      <c r="P65" s="29"/>
      <c r="Q65" s="29"/>
      <c r="R65" s="29"/>
      <c r="S65" s="2"/>
      <c r="T65" s="29" t="s">
        <v>3</v>
      </c>
      <c r="U65" s="29"/>
      <c r="V65" s="29"/>
      <c r="W65" s="29"/>
      <c r="X65" s="29"/>
      <c r="Y65" s="2"/>
      <c r="Z65" s="29" t="s">
        <v>4</v>
      </c>
      <c r="AA65" s="29"/>
      <c r="AB65" s="29"/>
      <c r="AC65" s="29"/>
      <c r="AD65" s="29"/>
      <c r="AE65" s="2"/>
      <c r="AF65" s="29" t="s">
        <v>5</v>
      </c>
      <c r="AG65" s="29"/>
      <c r="AH65" s="29"/>
      <c r="AI65" s="29"/>
      <c r="AJ65" s="29"/>
      <c r="AK65" s="2"/>
      <c r="AL65" s="29" t="s">
        <v>6</v>
      </c>
      <c r="AM65" s="29"/>
      <c r="AN65" s="29"/>
      <c r="AO65" s="29"/>
      <c r="AP65" s="29"/>
      <c r="AQ65" s="2"/>
      <c r="AR65" s="29" t="s">
        <v>7</v>
      </c>
      <c r="AS65" s="29"/>
      <c r="AT65" s="29"/>
      <c r="AU65" s="29"/>
      <c r="AV65" s="29"/>
      <c r="AW65" s="2"/>
      <c r="AX65" s="29" t="s">
        <v>8</v>
      </c>
      <c r="AY65" s="29"/>
      <c r="AZ65" s="29"/>
      <c r="BA65" s="29"/>
      <c r="BB65" s="29"/>
      <c r="BC65" s="2"/>
      <c r="BD65" s="29" t="s">
        <v>9</v>
      </c>
      <c r="BE65" s="29"/>
      <c r="BF65" s="29"/>
      <c r="BG65" s="29"/>
      <c r="BH65" s="29"/>
      <c r="BI65" s="2"/>
      <c r="BJ65" s="29" t="s">
        <v>10</v>
      </c>
      <c r="BK65" s="29"/>
      <c r="BL65" s="29"/>
      <c r="BM65" s="29"/>
      <c r="BN65" s="29"/>
      <c r="BO65" s="2"/>
      <c r="BP65" s="29" t="s">
        <v>11</v>
      </c>
      <c r="BQ65" s="29"/>
      <c r="BR65" s="29"/>
      <c r="BS65" s="29"/>
      <c r="BT65" s="29"/>
      <c r="BU65" s="2"/>
      <c r="BV65" s="29" t="s">
        <v>12</v>
      </c>
      <c r="BW65" s="29"/>
      <c r="BX65" s="29"/>
      <c r="BY65" s="29"/>
      <c r="BZ65" s="29"/>
      <c r="CA65" s="2"/>
      <c r="CB65" s="30" t="s">
        <v>13</v>
      </c>
      <c r="CC65" s="30"/>
      <c r="CD65" s="30"/>
      <c r="CE65" s="30"/>
      <c r="CF65" s="30"/>
      <c r="CG65" s="3"/>
      <c r="CH65" s="29" t="s">
        <v>14</v>
      </c>
      <c r="CI65" s="29"/>
      <c r="CJ65" s="29"/>
      <c r="CK65" s="29"/>
      <c r="CL65" s="29"/>
      <c r="CM65" s="2"/>
    </row>
    <row r="66" spans="1:94" ht="72" x14ac:dyDescent="0.3">
      <c r="A66" s="5"/>
      <c r="B66" s="6" t="s">
        <v>15</v>
      </c>
      <c r="C66" s="6" t="s">
        <v>16</v>
      </c>
      <c r="D66" s="21" t="s">
        <v>17</v>
      </c>
      <c r="E66" s="6" t="s">
        <v>18</v>
      </c>
      <c r="F66" s="6" t="s">
        <v>19</v>
      </c>
      <c r="G66" s="21" t="s">
        <v>20</v>
      </c>
      <c r="H66" s="21" t="s">
        <v>15</v>
      </c>
      <c r="I66" s="21" t="s">
        <v>16</v>
      </c>
      <c r="J66" s="21" t="s">
        <v>17</v>
      </c>
      <c r="K66" s="21" t="s">
        <v>18</v>
      </c>
      <c r="L66" s="21" t="s">
        <v>19</v>
      </c>
      <c r="M66" s="21" t="s">
        <v>20</v>
      </c>
      <c r="N66" s="6" t="s">
        <v>21</v>
      </c>
      <c r="O66" s="6" t="s">
        <v>22</v>
      </c>
      <c r="P66" s="6" t="s">
        <v>23</v>
      </c>
      <c r="Q66" s="6" t="s">
        <v>18</v>
      </c>
      <c r="R66" s="6" t="s">
        <v>19</v>
      </c>
      <c r="S66" s="6" t="s">
        <v>20</v>
      </c>
      <c r="T66" s="6" t="s">
        <v>21</v>
      </c>
      <c r="U66" s="6" t="s">
        <v>22</v>
      </c>
      <c r="V66" s="6" t="s">
        <v>23</v>
      </c>
      <c r="W66" s="6" t="s">
        <v>18</v>
      </c>
      <c r="X66" s="6" t="s">
        <v>19</v>
      </c>
      <c r="Y66" s="6" t="s">
        <v>20</v>
      </c>
      <c r="Z66" s="6" t="s">
        <v>21</v>
      </c>
      <c r="AA66" s="6" t="s">
        <v>22</v>
      </c>
      <c r="AB66" s="6" t="s">
        <v>23</v>
      </c>
      <c r="AC66" s="6" t="s">
        <v>18</v>
      </c>
      <c r="AD66" s="6" t="s">
        <v>19</v>
      </c>
      <c r="AE66" s="6" t="s">
        <v>20</v>
      </c>
      <c r="AF66" s="6" t="s">
        <v>21</v>
      </c>
      <c r="AG66" s="6" t="s">
        <v>22</v>
      </c>
      <c r="AH66" s="6" t="s">
        <v>23</v>
      </c>
      <c r="AI66" s="6" t="s">
        <v>18</v>
      </c>
      <c r="AJ66" s="6" t="s">
        <v>19</v>
      </c>
      <c r="AK66" s="6" t="s">
        <v>20</v>
      </c>
      <c r="AL66" s="6" t="s">
        <v>21</v>
      </c>
      <c r="AM66" s="6" t="s">
        <v>22</v>
      </c>
      <c r="AN66" s="6" t="s">
        <v>23</v>
      </c>
      <c r="AO66" s="6" t="s">
        <v>18</v>
      </c>
      <c r="AP66" s="6" t="s">
        <v>19</v>
      </c>
      <c r="AQ66" s="6" t="s">
        <v>20</v>
      </c>
      <c r="AR66" s="6" t="s">
        <v>21</v>
      </c>
      <c r="AS66" s="6" t="s">
        <v>22</v>
      </c>
      <c r="AT66" s="6" t="s">
        <v>23</v>
      </c>
      <c r="AU66" s="6" t="s">
        <v>18</v>
      </c>
      <c r="AV66" s="6" t="s">
        <v>19</v>
      </c>
      <c r="AW66" s="6" t="s">
        <v>20</v>
      </c>
      <c r="AX66" s="6" t="s">
        <v>21</v>
      </c>
      <c r="AY66" s="6" t="s">
        <v>22</v>
      </c>
      <c r="AZ66" s="6" t="s">
        <v>23</v>
      </c>
      <c r="BA66" s="6" t="s">
        <v>18</v>
      </c>
      <c r="BB66" s="6" t="s">
        <v>19</v>
      </c>
      <c r="BC66" s="6" t="s">
        <v>20</v>
      </c>
      <c r="BD66" s="6" t="s">
        <v>21</v>
      </c>
      <c r="BE66" s="6" t="s">
        <v>22</v>
      </c>
      <c r="BF66" s="6" t="s">
        <v>23</v>
      </c>
      <c r="BG66" s="6" t="s">
        <v>18</v>
      </c>
      <c r="BH66" s="6" t="s">
        <v>19</v>
      </c>
      <c r="BI66" s="6" t="s">
        <v>20</v>
      </c>
      <c r="BJ66" s="6" t="s">
        <v>21</v>
      </c>
      <c r="BK66" s="6" t="s">
        <v>22</v>
      </c>
      <c r="BL66" s="6" t="s">
        <v>23</v>
      </c>
      <c r="BM66" s="6" t="s">
        <v>18</v>
      </c>
      <c r="BN66" s="6" t="s">
        <v>19</v>
      </c>
      <c r="BO66" s="6" t="s">
        <v>20</v>
      </c>
      <c r="BP66" s="6" t="s">
        <v>21</v>
      </c>
      <c r="BQ66" s="6" t="s">
        <v>22</v>
      </c>
      <c r="BR66" s="6" t="s">
        <v>23</v>
      </c>
      <c r="BS66" s="6" t="s">
        <v>18</v>
      </c>
      <c r="BT66" s="6" t="s">
        <v>19</v>
      </c>
      <c r="BU66" s="6" t="s">
        <v>20</v>
      </c>
      <c r="BV66" s="6" t="s">
        <v>21</v>
      </c>
      <c r="BW66" s="6" t="s">
        <v>22</v>
      </c>
      <c r="BX66" s="6" t="s">
        <v>23</v>
      </c>
      <c r="BY66" s="6" t="s">
        <v>18</v>
      </c>
      <c r="BZ66" s="6" t="s">
        <v>19</v>
      </c>
      <c r="CA66" s="6" t="s">
        <v>20</v>
      </c>
      <c r="CB66" s="6" t="s">
        <v>21</v>
      </c>
      <c r="CC66" s="6" t="s">
        <v>22</v>
      </c>
      <c r="CD66" s="6" t="s">
        <v>23</v>
      </c>
      <c r="CE66" s="6" t="s">
        <v>18</v>
      </c>
      <c r="CF66" s="6" t="s">
        <v>19</v>
      </c>
      <c r="CG66" s="6" t="s">
        <v>20</v>
      </c>
      <c r="CH66" s="6" t="s">
        <v>15</v>
      </c>
      <c r="CI66" s="6" t="s">
        <v>16</v>
      </c>
      <c r="CJ66" s="6" t="s">
        <v>17</v>
      </c>
      <c r="CK66" s="6" t="s">
        <v>18</v>
      </c>
      <c r="CL66" s="6" t="s">
        <v>19</v>
      </c>
      <c r="CM66" s="21" t="s">
        <v>20</v>
      </c>
    </row>
    <row r="67" spans="1:94" x14ac:dyDescent="0.3">
      <c r="A67" s="22" t="s">
        <v>86</v>
      </c>
      <c r="B67" s="9">
        <v>808736.91666666663</v>
      </c>
      <c r="C67" s="9">
        <v>101836.66666666667</v>
      </c>
      <c r="D67" s="9">
        <v>514</v>
      </c>
      <c r="E67" s="10">
        <v>56643.052529182882</v>
      </c>
      <c r="F67" s="10">
        <v>7132.5291828793779</v>
      </c>
      <c r="G67" s="11">
        <v>4.5233333333333334</v>
      </c>
      <c r="H67" s="9">
        <v>475006.1</v>
      </c>
      <c r="I67" s="9">
        <v>60102</v>
      </c>
      <c r="J67" s="9">
        <v>290</v>
      </c>
      <c r="K67" s="10">
        <v>49138.562068965519</v>
      </c>
      <c r="L67" s="10">
        <v>6217.4482758620688</v>
      </c>
      <c r="M67" s="11">
        <v>4.5629999999999997</v>
      </c>
      <c r="N67" s="12">
        <v>346448</v>
      </c>
      <c r="O67" s="12">
        <v>47103</v>
      </c>
      <c r="P67" s="12">
        <v>22</v>
      </c>
      <c r="Q67" s="13">
        <f>IFERROR(N67/P67*3,"")</f>
        <v>47242.909090909088</v>
      </c>
      <c r="R67" s="13">
        <f>IFERROR(O67/P67*3,"")</f>
        <v>6423.136363636364</v>
      </c>
      <c r="S67" s="14"/>
      <c r="T67" s="12">
        <v>410468</v>
      </c>
      <c r="U67" s="12">
        <v>55564</v>
      </c>
      <c r="V67" s="12">
        <v>27</v>
      </c>
      <c r="W67" s="13">
        <f>IFERROR(T67/V67*3,"")</f>
        <v>45607.555555555555</v>
      </c>
      <c r="X67" s="13">
        <f>IFERROR(U67/V67*3,"")</f>
        <v>6173.7777777777783</v>
      </c>
      <c r="Y67" s="14"/>
      <c r="Z67" s="12">
        <v>310906</v>
      </c>
      <c r="AA67" s="12">
        <v>44050</v>
      </c>
      <c r="AB67" s="12">
        <v>26</v>
      </c>
      <c r="AC67" s="13">
        <f>IFERROR(Z67/AB67*3," ")</f>
        <v>35873.769230769227</v>
      </c>
      <c r="AD67" s="13">
        <f>IFERROR(AA67/AB67*3," ")</f>
        <v>5082.6923076923076</v>
      </c>
      <c r="AE67" s="14"/>
      <c r="AF67" s="12">
        <v>96514</v>
      </c>
      <c r="AG67" s="12">
        <v>14400</v>
      </c>
      <c r="AH67" s="12">
        <v>8</v>
      </c>
      <c r="AI67" s="13">
        <f>IFERROR(AF67/AH67*3," ")</f>
        <v>36192.75</v>
      </c>
      <c r="AJ67" s="13">
        <f>IFERROR(AG67/AH67*3," ")</f>
        <v>5400</v>
      </c>
      <c r="AK67" s="14"/>
      <c r="AL67" s="12">
        <v>209868</v>
      </c>
      <c r="AM67" s="12">
        <v>29604</v>
      </c>
      <c r="AN67" s="12">
        <v>14</v>
      </c>
      <c r="AO67" s="13">
        <f>IFERROR(AL67/AN67*3," ")</f>
        <v>44971.71428571429</v>
      </c>
      <c r="AP67" s="13">
        <f>IFERROR(AM67/AN67*3," ")</f>
        <v>6343.7142857142853</v>
      </c>
      <c r="AQ67" s="14"/>
      <c r="AR67" s="12">
        <v>84500</v>
      </c>
      <c r="AS67" s="12">
        <v>12002</v>
      </c>
      <c r="AT67" s="12">
        <v>8</v>
      </c>
      <c r="AU67" s="13">
        <f>IFERROR(AR67/AT67*3," ")</f>
        <v>31687.5</v>
      </c>
      <c r="AV67" s="13">
        <f>IFERROR(AS67/AT67*3," ")</f>
        <v>4500.75</v>
      </c>
      <c r="AW67" s="14"/>
      <c r="AX67" s="12">
        <v>97640</v>
      </c>
      <c r="AY67" s="12">
        <v>13600</v>
      </c>
      <c r="AZ67" s="12">
        <v>9</v>
      </c>
      <c r="BA67" s="13">
        <f>IFERROR(AX67/AZ67*3," ")</f>
        <v>32546.666666666664</v>
      </c>
      <c r="BB67" s="13">
        <f>IFERROR(AY67/AZ67*3," ")</f>
        <v>4533.333333333333</v>
      </c>
      <c r="BC67" s="14"/>
      <c r="BD67" s="12">
        <v>143504</v>
      </c>
      <c r="BE67" s="12">
        <v>19204</v>
      </c>
      <c r="BF67" s="12">
        <v>13</v>
      </c>
      <c r="BG67" s="13">
        <f>IFERROR(BD67/BF67*3," ")</f>
        <v>33116.307692307688</v>
      </c>
      <c r="BH67" s="13">
        <f>IFERROR(BE67/BF67*3," ")</f>
        <v>4431.6923076923076</v>
      </c>
      <c r="BI67" s="14"/>
      <c r="BJ67" s="12">
        <v>126414</v>
      </c>
      <c r="BK67" s="12">
        <v>16800</v>
      </c>
      <c r="BL67" s="12">
        <v>9</v>
      </c>
      <c r="BM67" s="13">
        <f>IFERROR(BJ67/BL67*3," ")</f>
        <v>42138</v>
      </c>
      <c r="BN67" s="13">
        <f>IFERROR(BK67/BL67*3," ")</f>
        <v>5600</v>
      </c>
      <c r="BO67" s="14"/>
      <c r="BP67" s="12">
        <v>67388</v>
      </c>
      <c r="BQ67" s="12">
        <v>9604</v>
      </c>
      <c r="BR67" s="12">
        <v>6</v>
      </c>
      <c r="BS67" s="13">
        <f>IFERROR(BP67/BR67*3," ")</f>
        <v>33694</v>
      </c>
      <c r="BT67" s="13">
        <f>IFERROR(BQ67/BR67*3," ")</f>
        <v>4802</v>
      </c>
      <c r="BU67" s="14"/>
      <c r="BV67" s="12">
        <v>212462</v>
      </c>
      <c r="BW67" s="12">
        <v>31200</v>
      </c>
      <c r="BX67" s="12">
        <v>16</v>
      </c>
      <c r="BY67" s="13">
        <f>IFERROR(BV67/BX67*3," ")</f>
        <v>39836.625</v>
      </c>
      <c r="BZ67" s="13">
        <f>IFERROR(BW67/BX67*3," ")</f>
        <v>5850</v>
      </c>
      <c r="CA67" s="14"/>
      <c r="CB67" s="12">
        <v>119920</v>
      </c>
      <c r="CC67" s="12">
        <v>16647</v>
      </c>
      <c r="CD67" s="12">
        <v>7</v>
      </c>
      <c r="CE67" s="13">
        <f>IFERROR(CB67/CD67*3," ")</f>
        <v>51394.285714285717</v>
      </c>
      <c r="CF67" s="13">
        <f>IFERROR(CC67/CD67*3," ")</f>
        <v>7134.4285714285725</v>
      </c>
      <c r="CG67" s="14" t="s">
        <v>51</v>
      </c>
      <c r="CH67" s="9">
        <f t="shared" ref="CH67:CI82" si="43">IFERROR(AVERAGE(N67,T67,Z67,AF67,AL67,AR67,AX67,BD67,BJ67,BP67,BV67,CB67)," ")</f>
        <v>185502.66666666666</v>
      </c>
      <c r="CI67" s="9">
        <f t="shared" si="43"/>
        <v>25814.833333333332</v>
      </c>
      <c r="CJ67" s="9">
        <f t="shared" ref="CJ67:CJ130" si="44">IFERROR(SUM(P67,V67,AB67,AH67,AN67,AT67,AZ67,BF67,BL67,BR67,BX67,CD67)," ")</f>
        <v>165</v>
      </c>
      <c r="CK67" s="10">
        <f t="shared" ref="CK67:CK130" si="45">IFERROR(SUM(N67,T67,Z67,AF67,AL67,AR67,AX67,BD67,BJ67,BP67,BV67,CB67)/CJ67*3," ")</f>
        <v>40473.309090909097</v>
      </c>
      <c r="CL67" s="10">
        <f t="shared" ref="CL67:CL130" si="46">IFERROR(SUM(O67,U67,AA67,AG67,AM67,AS67,AY67,BE67,BK67,BQ67,BW67,CC67)/CJ67*3," ")</f>
        <v>5632.3272727272724</v>
      </c>
      <c r="CM67" s="11" t="str">
        <f t="shared" ref="CM67:CM130" si="47">IFERROR(AVERAGE(S67,Y67,AE67,AK67,AQ67,AW67,BC67,BI67,BO67,BU67,CA67,CG67)," ")</f>
        <v xml:space="preserve"> </v>
      </c>
      <c r="CN67" s="12"/>
      <c r="CO67" s="12"/>
      <c r="CP67" s="12"/>
    </row>
    <row r="68" spans="1:94" x14ac:dyDescent="0.3">
      <c r="A68" s="22" t="s">
        <v>87</v>
      </c>
      <c r="B68" s="9">
        <v>885939.75</v>
      </c>
      <c r="C68" s="9">
        <v>110201.58333333333</v>
      </c>
      <c r="D68" s="9">
        <v>547</v>
      </c>
      <c r="E68" s="10">
        <v>58306.820840950633</v>
      </c>
      <c r="F68" s="10">
        <v>7252.7550274223031</v>
      </c>
      <c r="G68" s="11">
        <v>4.4908333333333337</v>
      </c>
      <c r="H68" s="9">
        <v>298376.66666666669</v>
      </c>
      <c r="I68" s="9">
        <v>38886.666666666664</v>
      </c>
      <c r="J68" s="9">
        <v>187</v>
      </c>
      <c r="K68" s="10">
        <v>43081.122994652404</v>
      </c>
      <c r="L68" s="10">
        <v>5614.6524064171117</v>
      </c>
      <c r="M68" s="11">
        <v>4.6099999999999994</v>
      </c>
      <c r="N68" s="12"/>
      <c r="O68" s="12"/>
      <c r="P68" s="12"/>
      <c r="Q68" s="13" t="str">
        <f t="shared" ref="Q68:Q131" si="48">IFERROR(N68/P68*3,"")</f>
        <v/>
      </c>
      <c r="R68" s="13" t="str">
        <f t="shared" ref="R68:R131" si="49">IFERROR(O68/P68*3,"")</f>
        <v/>
      </c>
      <c r="S68" s="14"/>
      <c r="T68" s="12">
        <v>8444</v>
      </c>
      <c r="U68" s="12">
        <v>800</v>
      </c>
      <c r="V68" s="12">
        <v>1</v>
      </c>
      <c r="W68" s="13">
        <f t="shared" ref="W68:W131" si="50">IFERROR(T68/V68*3,"")</f>
        <v>25332</v>
      </c>
      <c r="X68" s="13">
        <f t="shared" ref="X68:X131" si="51">IFERROR(U68/V68*3,"")</f>
        <v>2400</v>
      </c>
      <c r="Y68" s="14"/>
      <c r="Z68" s="12">
        <v>10720</v>
      </c>
      <c r="AA68" s="12">
        <v>1600</v>
      </c>
      <c r="AB68" s="12">
        <v>1</v>
      </c>
      <c r="AC68" s="13">
        <f t="shared" ref="AC68:AC131" si="52">IFERROR(Z68/AB68*3," ")</f>
        <v>32160</v>
      </c>
      <c r="AD68" s="13">
        <f t="shared" ref="AD68:AD131" si="53">IFERROR(AA68/AB68*3," ")</f>
        <v>4800</v>
      </c>
      <c r="AE68" s="14"/>
      <c r="AF68" s="12"/>
      <c r="AG68" s="12"/>
      <c r="AH68" s="12"/>
      <c r="AI68" s="13" t="str">
        <f t="shared" ref="AI68:AI131" si="54">IFERROR(AF68/AH68*3," ")</f>
        <v xml:space="preserve"> </v>
      </c>
      <c r="AJ68" s="13" t="str">
        <f t="shared" ref="AJ68:AJ131" si="55">IFERROR(AG68/AH68*3," ")</f>
        <v xml:space="preserve"> </v>
      </c>
      <c r="AK68" s="14"/>
      <c r="AL68" s="12"/>
      <c r="AM68" s="12"/>
      <c r="AN68" s="12"/>
      <c r="AO68" s="13" t="str">
        <f t="shared" ref="AO68:AO131" si="56">IFERROR(AL68/AN68*3," ")</f>
        <v xml:space="preserve"> </v>
      </c>
      <c r="AP68" s="13" t="str">
        <f t="shared" ref="AP68:AP131" si="57">IFERROR(AM68/AN68*3," ")</f>
        <v xml:space="preserve"> </v>
      </c>
      <c r="AQ68" s="14"/>
      <c r="AR68" s="12"/>
      <c r="AS68" s="12"/>
      <c r="AT68" s="12"/>
      <c r="AU68" s="13" t="str">
        <f t="shared" ref="AU68:AU131" si="58">IFERROR(AR68/AT68*3," ")</f>
        <v xml:space="preserve"> </v>
      </c>
      <c r="AV68" s="13" t="str">
        <f t="shared" ref="AV68:AV131" si="59">IFERROR(AS68/AT68*3," ")</f>
        <v xml:space="preserve"> </v>
      </c>
      <c r="AW68" s="14"/>
      <c r="AX68" s="12"/>
      <c r="AY68" s="12"/>
      <c r="AZ68" s="12"/>
      <c r="BA68" s="13" t="str">
        <f t="shared" ref="BA68:BA131" si="60">IFERROR(AX68/AZ68*3," ")</f>
        <v xml:space="preserve"> </v>
      </c>
      <c r="BB68" s="13" t="str">
        <f t="shared" ref="BB68:BB131" si="61">IFERROR(AY68/AZ68*3," ")</f>
        <v xml:space="preserve"> </v>
      </c>
      <c r="BC68" s="14"/>
      <c r="BD68" s="12"/>
      <c r="BE68" s="12"/>
      <c r="BF68" s="12"/>
      <c r="BG68" s="13" t="str">
        <f t="shared" ref="BG68:BG131" si="62">IFERROR(BD68/BF68*3," ")</f>
        <v xml:space="preserve"> </v>
      </c>
      <c r="BH68" s="13" t="str">
        <f t="shared" ref="BH68:BH131" si="63">IFERROR(BE68/BF68*3," ")</f>
        <v xml:space="preserve"> </v>
      </c>
      <c r="BI68" s="14"/>
      <c r="BJ68" s="12"/>
      <c r="BK68" s="12"/>
      <c r="BL68" s="12"/>
      <c r="BM68" s="13" t="str">
        <f t="shared" ref="BM68:BM131" si="64">IFERROR(BJ68/BL68*3," ")</f>
        <v xml:space="preserve"> </v>
      </c>
      <c r="BN68" s="13" t="str">
        <f t="shared" ref="BN68:BN131" si="65">IFERROR(BK68/BL68*3," ")</f>
        <v xml:space="preserve"> </v>
      </c>
      <c r="BO68" s="14"/>
      <c r="BP68" s="12"/>
      <c r="BQ68" s="12"/>
      <c r="BR68" s="12"/>
      <c r="BS68" s="13" t="str">
        <f t="shared" ref="BS68:BS131" si="66">IFERROR(BP68/BR68*3," ")</f>
        <v xml:space="preserve"> </v>
      </c>
      <c r="BT68" s="13" t="str">
        <f t="shared" ref="BT68:BT131" si="67">IFERROR(BQ68/BR68*3," ")</f>
        <v xml:space="preserve"> </v>
      </c>
      <c r="BU68" s="14"/>
      <c r="BV68" s="12"/>
      <c r="BW68" s="12"/>
      <c r="BX68" s="12"/>
      <c r="BY68" s="13" t="str">
        <f t="shared" ref="BY68:BY131" si="68">IFERROR(BV68/BX68*3," ")</f>
        <v xml:space="preserve"> </v>
      </c>
      <c r="BZ68" s="13" t="str">
        <f t="shared" ref="BZ68:BZ131" si="69">IFERROR(BW68/BX68*3," ")</f>
        <v xml:space="preserve"> </v>
      </c>
      <c r="CA68" s="14"/>
      <c r="CD68" s="12"/>
      <c r="CE68" s="13" t="str">
        <f t="shared" ref="CE68:CE131" si="70">IFERROR(CB68/CD68*3," ")</f>
        <v xml:space="preserve"> </v>
      </c>
      <c r="CF68" s="13" t="str">
        <f t="shared" ref="CF68:CF131" si="71">IFERROR(CC68/CD68*3," ")</f>
        <v xml:space="preserve"> </v>
      </c>
      <c r="CG68" s="14" t="s">
        <v>51</v>
      </c>
      <c r="CH68" s="9">
        <f t="shared" si="43"/>
        <v>9582</v>
      </c>
      <c r="CI68" s="9">
        <f t="shared" si="43"/>
        <v>1200</v>
      </c>
      <c r="CJ68" s="9">
        <f t="shared" si="44"/>
        <v>2</v>
      </c>
      <c r="CK68" s="10">
        <f t="shared" si="45"/>
        <v>28746</v>
      </c>
      <c r="CL68" s="10">
        <f t="shared" si="46"/>
        <v>3600</v>
      </c>
      <c r="CM68" s="11" t="str">
        <f t="shared" si="47"/>
        <v xml:space="preserve"> </v>
      </c>
      <c r="CN68" s="12"/>
      <c r="CO68" s="12"/>
      <c r="CP68" s="12"/>
    </row>
    <row r="69" spans="1:94" x14ac:dyDescent="0.3">
      <c r="A69" s="22" t="s">
        <v>88</v>
      </c>
      <c r="B69" s="9">
        <v>14347.5</v>
      </c>
      <c r="C69" s="9">
        <v>1660.5</v>
      </c>
      <c r="D69" s="9">
        <v>2</v>
      </c>
      <c r="E69" s="10">
        <v>43042.5</v>
      </c>
      <c r="F69" s="10">
        <v>4981.5</v>
      </c>
      <c r="G69" s="11">
        <v>4.21</v>
      </c>
      <c r="H69" s="9" t="s">
        <v>51</v>
      </c>
      <c r="I69" s="9" t="s">
        <v>51</v>
      </c>
      <c r="J69" s="9">
        <v>0</v>
      </c>
      <c r="K69" s="10" t="s">
        <v>51</v>
      </c>
      <c r="L69" s="10" t="s">
        <v>51</v>
      </c>
      <c r="M69" s="11" t="s">
        <v>51</v>
      </c>
      <c r="N69" s="12"/>
      <c r="O69" s="12"/>
      <c r="P69" s="12"/>
      <c r="Q69" s="13" t="str">
        <f t="shared" si="48"/>
        <v/>
      </c>
      <c r="R69" s="13" t="str">
        <f t="shared" si="49"/>
        <v/>
      </c>
      <c r="S69" s="14"/>
      <c r="T69" s="12"/>
      <c r="U69" s="12"/>
      <c r="V69" s="12"/>
      <c r="W69" s="13" t="str">
        <f t="shared" si="50"/>
        <v/>
      </c>
      <c r="X69" s="13" t="str">
        <f t="shared" si="51"/>
        <v/>
      </c>
      <c r="Y69" s="14"/>
      <c r="Z69" s="12"/>
      <c r="AA69" s="12"/>
      <c r="AB69" s="12"/>
      <c r="AC69" s="13" t="str">
        <f t="shared" si="52"/>
        <v xml:space="preserve"> </v>
      </c>
      <c r="AD69" s="13" t="str">
        <f t="shared" si="53"/>
        <v xml:space="preserve"> </v>
      </c>
      <c r="AE69" s="14"/>
      <c r="AF69" s="12"/>
      <c r="AG69" s="12"/>
      <c r="AH69" s="12"/>
      <c r="AI69" s="13" t="str">
        <f t="shared" si="54"/>
        <v xml:space="preserve"> </v>
      </c>
      <c r="AJ69" s="13" t="str">
        <f t="shared" si="55"/>
        <v xml:space="preserve"> </v>
      </c>
      <c r="AK69" s="14"/>
      <c r="AL69" s="12"/>
      <c r="AM69" s="12"/>
      <c r="AN69" s="12"/>
      <c r="AO69" s="13" t="str">
        <f t="shared" si="56"/>
        <v xml:space="preserve"> </v>
      </c>
      <c r="AP69" s="13" t="str">
        <f t="shared" si="57"/>
        <v xml:space="preserve"> </v>
      </c>
      <c r="AQ69" s="14"/>
      <c r="AR69" s="12"/>
      <c r="AS69" s="12"/>
      <c r="AT69" s="12"/>
      <c r="AU69" s="13" t="str">
        <f t="shared" si="58"/>
        <v xml:space="preserve"> </v>
      </c>
      <c r="AV69" s="13" t="str">
        <f t="shared" si="59"/>
        <v xml:space="preserve"> </v>
      </c>
      <c r="AW69" s="14"/>
      <c r="AX69" s="12"/>
      <c r="AY69" s="12"/>
      <c r="AZ69" s="12"/>
      <c r="BA69" s="13" t="str">
        <f t="shared" si="60"/>
        <v xml:space="preserve"> </v>
      </c>
      <c r="BB69" s="13" t="str">
        <f t="shared" si="61"/>
        <v xml:space="preserve"> </v>
      </c>
      <c r="BC69" s="14"/>
      <c r="BD69" s="12"/>
      <c r="BE69" s="12"/>
      <c r="BF69" s="12"/>
      <c r="BG69" s="13" t="str">
        <f t="shared" si="62"/>
        <v xml:space="preserve"> </v>
      </c>
      <c r="BH69" s="13" t="str">
        <f t="shared" si="63"/>
        <v xml:space="preserve"> </v>
      </c>
      <c r="BI69" s="14"/>
      <c r="BJ69" s="12">
        <v>5824</v>
      </c>
      <c r="BK69" s="12">
        <v>800</v>
      </c>
      <c r="BL69" s="12">
        <v>1</v>
      </c>
      <c r="BM69" s="13">
        <f t="shared" si="64"/>
        <v>17472</v>
      </c>
      <c r="BN69" s="13">
        <f t="shared" si="65"/>
        <v>2400</v>
      </c>
      <c r="BO69" s="14"/>
      <c r="BP69" s="12"/>
      <c r="BQ69" s="12"/>
      <c r="BR69" s="12"/>
      <c r="BS69" s="13" t="str">
        <f t="shared" si="66"/>
        <v xml:space="preserve"> </v>
      </c>
      <c r="BT69" s="13" t="str">
        <f t="shared" si="67"/>
        <v xml:space="preserve"> </v>
      </c>
      <c r="BU69" s="14"/>
      <c r="BV69" s="12"/>
      <c r="BW69" s="12"/>
      <c r="BX69" s="12"/>
      <c r="BY69" s="13" t="str">
        <f t="shared" si="68"/>
        <v xml:space="preserve"> </v>
      </c>
      <c r="BZ69" s="13" t="str">
        <f t="shared" si="69"/>
        <v xml:space="preserve"> </v>
      </c>
      <c r="CA69" s="14"/>
      <c r="CD69" s="12"/>
      <c r="CE69" s="13" t="str">
        <f t="shared" si="70"/>
        <v xml:space="preserve"> </v>
      </c>
      <c r="CF69" s="13" t="str">
        <f t="shared" si="71"/>
        <v xml:space="preserve"> </v>
      </c>
      <c r="CG69" s="14" t="s">
        <v>51</v>
      </c>
      <c r="CH69" s="9">
        <f t="shared" si="43"/>
        <v>5824</v>
      </c>
      <c r="CI69" s="9">
        <f t="shared" si="43"/>
        <v>800</v>
      </c>
      <c r="CJ69" s="9">
        <f t="shared" si="44"/>
        <v>1</v>
      </c>
      <c r="CK69" s="10">
        <f t="shared" si="45"/>
        <v>17472</v>
      </c>
      <c r="CL69" s="10">
        <f t="shared" si="46"/>
        <v>2400</v>
      </c>
      <c r="CM69" s="11" t="str">
        <f t="shared" si="47"/>
        <v xml:space="preserve"> </v>
      </c>
      <c r="CN69" s="12"/>
      <c r="CO69" s="12"/>
      <c r="CP69" s="12"/>
    </row>
    <row r="70" spans="1:94" x14ac:dyDescent="0.3">
      <c r="A70" s="22" t="s">
        <v>89</v>
      </c>
      <c r="B70" s="9">
        <v>131274.45454545456</v>
      </c>
      <c r="C70" s="9">
        <v>17193.81818181818</v>
      </c>
      <c r="D70" s="9">
        <v>94</v>
      </c>
      <c r="E70" s="10">
        <v>46085.712765957447</v>
      </c>
      <c r="F70" s="10">
        <v>6036.1276595744675</v>
      </c>
      <c r="G70" s="11">
        <v>4.5945454545454538</v>
      </c>
      <c r="H70" s="9">
        <v>180248</v>
      </c>
      <c r="I70" s="9">
        <v>22614</v>
      </c>
      <c r="J70" s="9">
        <v>71</v>
      </c>
      <c r="K70" s="10">
        <v>38080.563380281688</v>
      </c>
      <c r="L70" s="10">
        <v>4777.6056338028175</v>
      </c>
      <c r="M70" s="11">
        <v>4.516</v>
      </c>
      <c r="N70" s="12">
        <v>214272</v>
      </c>
      <c r="O70" s="12">
        <v>26400</v>
      </c>
      <c r="P70" s="12">
        <v>16</v>
      </c>
      <c r="Q70" s="13">
        <f t="shared" si="48"/>
        <v>40176</v>
      </c>
      <c r="R70" s="13">
        <f t="shared" si="49"/>
        <v>4950</v>
      </c>
      <c r="S70" s="14"/>
      <c r="T70" s="12">
        <v>198080</v>
      </c>
      <c r="U70" s="12">
        <v>25600</v>
      </c>
      <c r="V70" s="12">
        <v>16</v>
      </c>
      <c r="W70" s="13">
        <f t="shared" si="50"/>
        <v>37140</v>
      </c>
      <c r="X70" s="13">
        <f t="shared" si="51"/>
        <v>4800</v>
      </c>
      <c r="Y70" s="14"/>
      <c r="Z70" s="12">
        <v>20275</v>
      </c>
      <c r="AA70" s="12">
        <v>501</v>
      </c>
      <c r="AB70" s="12">
        <v>1</v>
      </c>
      <c r="AC70" s="13">
        <f t="shared" si="52"/>
        <v>60825</v>
      </c>
      <c r="AD70" s="13">
        <f t="shared" si="53"/>
        <v>1503</v>
      </c>
      <c r="AE70" s="14"/>
      <c r="AF70" s="12"/>
      <c r="AG70" s="12"/>
      <c r="AH70" s="12"/>
      <c r="AI70" s="13" t="str">
        <f t="shared" si="54"/>
        <v xml:space="preserve"> </v>
      </c>
      <c r="AJ70" s="13" t="str">
        <f t="shared" si="55"/>
        <v xml:space="preserve"> </v>
      </c>
      <c r="AK70" s="14"/>
      <c r="AL70" s="12">
        <v>121650</v>
      </c>
      <c r="AM70" s="12">
        <v>3006</v>
      </c>
      <c r="AN70" s="12">
        <v>5</v>
      </c>
      <c r="AO70" s="13">
        <f t="shared" si="56"/>
        <v>72990</v>
      </c>
      <c r="AP70" s="13">
        <f t="shared" si="57"/>
        <v>1803.6000000000001</v>
      </c>
      <c r="AQ70" s="14"/>
      <c r="AR70" s="12">
        <v>24080</v>
      </c>
      <c r="AS70" s="12">
        <v>3200</v>
      </c>
      <c r="AT70" s="12">
        <v>2</v>
      </c>
      <c r="AU70" s="13">
        <f t="shared" si="58"/>
        <v>36120</v>
      </c>
      <c r="AV70" s="13">
        <f t="shared" si="59"/>
        <v>4800</v>
      </c>
      <c r="AW70" s="14"/>
      <c r="AX70" s="12">
        <v>60976</v>
      </c>
      <c r="AY70" s="12">
        <v>8000</v>
      </c>
      <c r="AZ70" s="12">
        <v>5</v>
      </c>
      <c r="BA70" s="13">
        <f t="shared" si="60"/>
        <v>36585.600000000006</v>
      </c>
      <c r="BB70" s="13">
        <f t="shared" si="61"/>
        <v>4800</v>
      </c>
      <c r="BC70" s="14"/>
      <c r="BD70" s="12"/>
      <c r="BE70" s="12"/>
      <c r="BF70" s="12"/>
      <c r="BG70" s="13" t="str">
        <f t="shared" si="62"/>
        <v xml:space="preserve"> </v>
      </c>
      <c r="BH70" s="13" t="str">
        <f t="shared" si="63"/>
        <v xml:space="preserve"> </v>
      </c>
      <c r="BI70" s="14"/>
      <c r="BJ70" s="12"/>
      <c r="BK70" s="12"/>
      <c r="BL70" s="12"/>
      <c r="BM70" s="13" t="str">
        <f t="shared" si="64"/>
        <v xml:space="preserve"> </v>
      </c>
      <c r="BN70" s="13" t="str">
        <f t="shared" si="65"/>
        <v xml:space="preserve"> </v>
      </c>
      <c r="BO70" s="14"/>
      <c r="BP70" s="12"/>
      <c r="BQ70" s="12"/>
      <c r="BR70" s="12"/>
      <c r="BS70" s="13" t="str">
        <f t="shared" si="66"/>
        <v xml:space="preserve"> </v>
      </c>
      <c r="BT70" s="13" t="str">
        <f t="shared" si="67"/>
        <v xml:space="preserve"> </v>
      </c>
      <c r="BU70" s="14"/>
      <c r="BV70" s="12">
        <v>130110</v>
      </c>
      <c r="BW70" s="12">
        <v>5420</v>
      </c>
      <c r="BX70" s="12">
        <v>2</v>
      </c>
      <c r="BY70" s="13">
        <f t="shared" si="68"/>
        <v>195165</v>
      </c>
      <c r="BZ70" s="13">
        <f t="shared" si="69"/>
        <v>8130</v>
      </c>
      <c r="CA70" s="14"/>
      <c r="CB70" s="12">
        <v>115781</v>
      </c>
      <c r="CC70" s="12">
        <v>7470</v>
      </c>
      <c r="CD70" s="12">
        <v>8</v>
      </c>
      <c r="CE70" s="13">
        <f t="shared" si="70"/>
        <v>43417.875</v>
      </c>
      <c r="CF70" s="13">
        <f t="shared" si="71"/>
        <v>2801.25</v>
      </c>
      <c r="CG70" s="14" t="s">
        <v>51</v>
      </c>
      <c r="CH70" s="9">
        <f t="shared" si="43"/>
        <v>110653</v>
      </c>
      <c r="CI70" s="9">
        <f t="shared" si="43"/>
        <v>9949.625</v>
      </c>
      <c r="CJ70" s="9">
        <f t="shared" si="44"/>
        <v>55</v>
      </c>
      <c r="CK70" s="10">
        <f t="shared" si="45"/>
        <v>48284.94545454545</v>
      </c>
      <c r="CL70" s="10">
        <f t="shared" si="46"/>
        <v>4341.6545454545458</v>
      </c>
      <c r="CM70" s="11" t="str">
        <f t="shared" si="47"/>
        <v xml:space="preserve"> </v>
      </c>
      <c r="CN70" s="12"/>
      <c r="CO70" s="12"/>
      <c r="CP70" s="12"/>
    </row>
    <row r="71" spans="1:94" x14ac:dyDescent="0.3">
      <c r="A71" s="22" t="s">
        <v>90</v>
      </c>
      <c r="B71" s="9">
        <v>829817.83333333337</v>
      </c>
      <c r="C71" s="9">
        <v>85142.75</v>
      </c>
      <c r="D71" s="9">
        <v>515</v>
      </c>
      <c r="E71" s="10">
        <v>58006.683495145633</v>
      </c>
      <c r="F71" s="10">
        <v>5951.7262135922329</v>
      </c>
      <c r="G71" s="11">
        <v>4.0724999999999998</v>
      </c>
      <c r="H71" s="9">
        <v>584999.30000000005</v>
      </c>
      <c r="I71" s="9">
        <v>59698</v>
      </c>
      <c r="J71" s="9">
        <v>305</v>
      </c>
      <c r="K71" s="10">
        <v>57540.914754098361</v>
      </c>
      <c r="L71" s="10">
        <v>5871.9344262295081</v>
      </c>
      <c r="M71" s="11">
        <v>4.09</v>
      </c>
      <c r="N71" s="12">
        <v>535414</v>
      </c>
      <c r="O71" s="12">
        <v>51681</v>
      </c>
      <c r="P71" s="12">
        <v>26</v>
      </c>
      <c r="Q71" s="13">
        <f t="shared" si="48"/>
        <v>61778.538461538454</v>
      </c>
      <c r="R71" s="13">
        <f t="shared" si="49"/>
        <v>5963.1923076923076</v>
      </c>
      <c r="S71" s="14"/>
      <c r="T71" s="12">
        <v>353306</v>
      </c>
      <c r="U71" s="12">
        <v>36800</v>
      </c>
      <c r="V71" s="12">
        <v>24</v>
      </c>
      <c r="W71" s="13">
        <f t="shared" si="50"/>
        <v>44163.25</v>
      </c>
      <c r="X71" s="13">
        <f t="shared" si="51"/>
        <v>4600</v>
      </c>
      <c r="Y71" s="14"/>
      <c r="Z71" s="12">
        <v>286302</v>
      </c>
      <c r="AA71" s="12">
        <v>32800</v>
      </c>
      <c r="AB71" s="12">
        <v>20</v>
      </c>
      <c r="AC71" s="13">
        <f t="shared" si="52"/>
        <v>42945.3</v>
      </c>
      <c r="AD71" s="13">
        <f t="shared" si="53"/>
        <v>4920</v>
      </c>
      <c r="AE71" s="14"/>
      <c r="AF71" s="12">
        <v>77654</v>
      </c>
      <c r="AG71" s="12">
        <v>8000</v>
      </c>
      <c r="AH71" s="12">
        <v>6</v>
      </c>
      <c r="AI71" s="13">
        <f t="shared" si="54"/>
        <v>38827</v>
      </c>
      <c r="AJ71" s="13">
        <f t="shared" si="55"/>
        <v>4000</v>
      </c>
      <c r="AK71" s="14"/>
      <c r="AL71" s="12">
        <v>75544</v>
      </c>
      <c r="AM71" s="12">
        <v>8000</v>
      </c>
      <c r="AN71" s="12">
        <v>5</v>
      </c>
      <c r="AO71" s="13">
        <f t="shared" si="56"/>
        <v>45326.399999999994</v>
      </c>
      <c r="AP71" s="13">
        <f t="shared" si="57"/>
        <v>4800</v>
      </c>
      <c r="AQ71" s="14"/>
      <c r="AR71" s="12">
        <v>57472</v>
      </c>
      <c r="AS71" s="12">
        <v>6400</v>
      </c>
      <c r="AT71" s="12">
        <v>5</v>
      </c>
      <c r="AU71" s="13">
        <f t="shared" si="58"/>
        <v>34483.199999999997</v>
      </c>
      <c r="AV71" s="13">
        <f t="shared" si="59"/>
        <v>3840</v>
      </c>
      <c r="AW71" s="14"/>
      <c r="AX71" s="12"/>
      <c r="AY71" s="12"/>
      <c r="AZ71" s="12"/>
      <c r="BA71" s="13" t="str">
        <f t="shared" si="60"/>
        <v xml:space="preserve"> </v>
      </c>
      <c r="BB71" s="13" t="str">
        <f t="shared" si="61"/>
        <v xml:space="preserve"> </v>
      </c>
      <c r="BC71" s="14"/>
      <c r="BD71" s="12">
        <v>105420</v>
      </c>
      <c r="BE71" s="12">
        <v>10400</v>
      </c>
      <c r="BF71" s="12">
        <v>6</v>
      </c>
      <c r="BG71" s="13">
        <f t="shared" si="62"/>
        <v>52710</v>
      </c>
      <c r="BH71" s="13">
        <f t="shared" si="63"/>
        <v>5200</v>
      </c>
      <c r="BI71" s="14"/>
      <c r="BJ71" s="12">
        <v>108620</v>
      </c>
      <c r="BK71" s="12">
        <v>12000</v>
      </c>
      <c r="BL71" s="12">
        <v>8</v>
      </c>
      <c r="BM71" s="13">
        <f t="shared" si="64"/>
        <v>40732.5</v>
      </c>
      <c r="BN71" s="13">
        <f t="shared" si="65"/>
        <v>4500</v>
      </c>
      <c r="BO71" s="14"/>
      <c r="BP71" s="12">
        <v>49136</v>
      </c>
      <c r="BQ71" s="12">
        <v>5294</v>
      </c>
      <c r="BR71" s="12">
        <v>4</v>
      </c>
      <c r="BS71" s="13">
        <f t="shared" si="66"/>
        <v>36852</v>
      </c>
      <c r="BT71" s="13">
        <f t="shared" si="67"/>
        <v>3970.5</v>
      </c>
      <c r="BU71" s="14"/>
      <c r="BV71" s="12">
        <v>183332</v>
      </c>
      <c r="BW71" s="12">
        <v>18400</v>
      </c>
      <c r="BX71" s="12">
        <v>12</v>
      </c>
      <c r="BY71" s="13">
        <f t="shared" si="68"/>
        <v>45833</v>
      </c>
      <c r="BZ71" s="13">
        <f t="shared" si="69"/>
        <v>4600</v>
      </c>
      <c r="CA71" s="14"/>
      <c r="CB71" s="12">
        <v>13284</v>
      </c>
      <c r="CC71" s="12">
        <v>1600</v>
      </c>
      <c r="CD71" s="12">
        <v>1</v>
      </c>
      <c r="CE71" s="13">
        <f t="shared" si="70"/>
        <v>39852</v>
      </c>
      <c r="CF71" s="13">
        <f t="shared" si="71"/>
        <v>4800</v>
      </c>
      <c r="CG71" s="14" t="s">
        <v>51</v>
      </c>
      <c r="CH71" s="9">
        <f t="shared" si="43"/>
        <v>167771.27272727274</v>
      </c>
      <c r="CI71" s="9">
        <f t="shared" si="43"/>
        <v>17397.727272727272</v>
      </c>
      <c r="CJ71" s="9">
        <f t="shared" si="44"/>
        <v>117</v>
      </c>
      <c r="CK71" s="10">
        <f t="shared" si="45"/>
        <v>47320.102564102563</v>
      </c>
      <c r="CL71" s="10">
        <f t="shared" si="46"/>
        <v>4907.0512820512822</v>
      </c>
      <c r="CM71" s="11" t="str">
        <f t="shared" si="47"/>
        <v xml:space="preserve"> </v>
      </c>
      <c r="CN71" s="12"/>
      <c r="CO71" s="12"/>
      <c r="CP71" s="12"/>
    </row>
    <row r="72" spans="1:94" x14ac:dyDescent="0.3">
      <c r="A72" s="22" t="s">
        <v>91</v>
      </c>
      <c r="B72" s="9">
        <v>1155342.1666666667</v>
      </c>
      <c r="C72" s="9">
        <v>112262.5</v>
      </c>
      <c r="D72" s="9">
        <v>600</v>
      </c>
      <c r="E72" s="10">
        <v>69320.53</v>
      </c>
      <c r="F72" s="10">
        <v>6735.75</v>
      </c>
      <c r="G72" s="11">
        <v>3.9708333333333328</v>
      </c>
      <c r="H72" s="9">
        <v>658124.9</v>
      </c>
      <c r="I72" s="9">
        <v>64498</v>
      </c>
      <c r="J72" s="9">
        <v>325</v>
      </c>
      <c r="K72" s="10">
        <v>60749.990769230775</v>
      </c>
      <c r="L72" s="10">
        <v>5953.6615384615379</v>
      </c>
      <c r="M72" s="11">
        <v>3.9910000000000005</v>
      </c>
      <c r="N72" s="12">
        <v>273196</v>
      </c>
      <c r="O72" s="12">
        <v>26801</v>
      </c>
      <c r="P72" s="12">
        <v>20</v>
      </c>
      <c r="Q72" s="13">
        <f t="shared" si="48"/>
        <v>40979.399999999994</v>
      </c>
      <c r="R72" s="13">
        <f t="shared" si="49"/>
        <v>4020.1499999999996</v>
      </c>
      <c r="S72" s="14"/>
      <c r="T72" s="12">
        <v>331644</v>
      </c>
      <c r="U72" s="12">
        <v>31674</v>
      </c>
      <c r="V72" s="12">
        <v>20</v>
      </c>
      <c r="W72" s="13">
        <f t="shared" si="50"/>
        <v>49746.600000000006</v>
      </c>
      <c r="X72" s="13">
        <f t="shared" si="51"/>
        <v>4751.1000000000004</v>
      </c>
      <c r="Y72" s="14"/>
      <c r="Z72" s="12">
        <v>251410</v>
      </c>
      <c r="AA72" s="12">
        <v>24800</v>
      </c>
      <c r="AB72" s="12">
        <v>17</v>
      </c>
      <c r="AC72" s="13">
        <f t="shared" si="52"/>
        <v>44366.470588235294</v>
      </c>
      <c r="AD72" s="13">
        <f t="shared" si="53"/>
        <v>4376.4705882352937</v>
      </c>
      <c r="AE72" s="14"/>
      <c r="AF72" s="12">
        <v>89458</v>
      </c>
      <c r="AG72" s="12">
        <v>8800</v>
      </c>
      <c r="AH72" s="12">
        <v>7</v>
      </c>
      <c r="AI72" s="13">
        <f t="shared" si="54"/>
        <v>38339.142857142855</v>
      </c>
      <c r="AJ72" s="13">
        <f t="shared" si="55"/>
        <v>3771.4285714285716</v>
      </c>
      <c r="AK72" s="14"/>
      <c r="AL72" s="12">
        <v>80538</v>
      </c>
      <c r="AM72" s="12">
        <v>9605</v>
      </c>
      <c r="AN72" s="12">
        <v>7</v>
      </c>
      <c r="AO72" s="13">
        <f t="shared" si="56"/>
        <v>34516.28571428571</v>
      </c>
      <c r="AP72" s="13">
        <f t="shared" si="57"/>
        <v>4116.4285714285716</v>
      </c>
      <c r="AQ72" s="14"/>
      <c r="AR72" s="12">
        <v>46592</v>
      </c>
      <c r="AS72" s="12">
        <v>4800</v>
      </c>
      <c r="AT72" s="12">
        <v>5</v>
      </c>
      <c r="AU72" s="13">
        <f t="shared" si="58"/>
        <v>27955.199999999997</v>
      </c>
      <c r="AV72" s="13">
        <f t="shared" si="59"/>
        <v>2880</v>
      </c>
      <c r="AW72" s="14"/>
      <c r="AX72" s="12">
        <v>87200</v>
      </c>
      <c r="AY72" s="12">
        <v>9612</v>
      </c>
      <c r="AZ72" s="12">
        <v>6</v>
      </c>
      <c r="BA72" s="13">
        <f t="shared" si="60"/>
        <v>43600</v>
      </c>
      <c r="BB72" s="13">
        <f t="shared" si="61"/>
        <v>4806</v>
      </c>
      <c r="BC72" s="14"/>
      <c r="BD72" s="12">
        <v>124908</v>
      </c>
      <c r="BE72" s="12">
        <v>16000</v>
      </c>
      <c r="BF72" s="12">
        <v>10</v>
      </c>
      <c r="BG72" s="13">
        <f t="shared" si="62"/>
        <v>37472.399999999994</v>
      </c>
      <c r="BH72" s="13">
        <f t="shared" si="63"/>
        <v>4800</v>
      </c>
      <c r="BI72" s="14"/>
      <c r="BJ72" s="12">
        <v>80568</v>
      </c>
      <c r="BK72" s="12">
        <v>11200</v>
      </c>
      <c r="BL72" s="12">
        <v>6</v>
      </c>
      <c r="BM72" s="13">
        <f t="shared" si="64"/>
        <v>40284</v>
      </c>
      <c r="BN72" s="13">
        <f t="shared" si="65"/>
        <v>5600</v>
      </c>
      <c r="BO72" s="14"/>
      <c r="BP72" s="12">
        <v>66264</v>
      </c>
      <c r="BQ72" s="12">
        <v>11108</v>
      </c>
      <c r="BR72" s="12">
        <v>6</v>
      </c>
      <c r="BS72" s="13">
        <f t="shared" si="66"/>
        <v>33132</v>
      </c>
      <c r="BT72" s="13">
        <f t="shared" si="67"/>
        <v>5554</v>
      </c>
      <c r="BU72" s="14"/>
      <c r="BV72" s="12">
        <v>409112</v>
      </c>
      <c r="BW72" s="12">
        <v>51013</v>
      </c>
      <c r="BX72" s="12">
        <v>24</v>
      </c>
      <c r="BY72" s="13">
        <f t="shared" si="68"/>
        <v>51139</v>
      </c>
      <c r="BZ72" s="13">
        <f t="shared" si="69"/>
        <v>6376.625</v>
      </c>
      <c r="CA72" s="14"/>
      <c r="CB72" s="12">
        <v>168598</v>
      </c>
      <c r="CC72" s="12">
        <v>20308</v>
      </c>
      <c r="CD72" s="12">
        <v>8</v>
      </c>
      <c r="CE72" s="13">
        <f t="shared" si="70"/>
        <v>63224.25</v>
      </c>
      <c r="CF72" s="13">
        <f t="shared" si="71"/>
        <v>7615.5</v>
      </c>
      <c r="CG72" s="14" t="s">
        <v>51</v>
      </c>
      <c r="CH72" s="9">
        <f t="shared" si="43"/>
        <v>167457.33333333334</v>
      </c>
      <c r="CI72" s="9">
        <f t="shared" si="43"/>
        <v>18810.083333333332</v>
      </c>
      <c r="CJ72" s="9">
        <f t="shared" si="44"/>
        <v>136</v>
      </c>
      <c r="CK72" s="10">
        <f t="shared" si="45"/>
        <v>44326.941176470587</v>
      </c>
      <c r="CL72" s="10">
        <f t="shared" si="46"/>
        <v>4979.1397058823532</v>
      </c>
      <c r="CM72" s="11" t="str">
        <f t="shared" si="47"/>
        <v xml:space="preserve"> </v>
      </c>
      <c r="CN72" s="12"/>
      <c r="CO72" s="12"/>
      <c r="CP72" s="12"/>
    </row>
    <row r="73" spans="1:94" x14ac:dyDescent="0.3">
      <c r="A73" s="22" t="s">
        <v>92</v>
      </c>
      <c r="B73" s="9">
        <v>5782893.75</v>
      </c>
      <c r="C73" s="9">
        <v>310356</v>
      </c>
      <c r="D73" s="9">
        <v>967</v>
      </c>
      <c r="E73" s="10">
        <v>215288.70217166498</v>
      </c>
      <c r="F73" s="10">
        <v>11554.101344364011</v>
      </c>
      <c r="G73" s="11">
        <v>2.9516666666666667</v>
      </c>
      <c r="H73" s="9">
        <v>3561028.8181818184</v>
      </c>
      <c r="I73" s="9">
        <v>185381.45454545456</v>
      </c>
      <c r="J73" s="9">
        <v>660</v>
      </c>
      <c r="K73" s="10">
        <v>178051.44090909092</v>
      </c>
      <c r="L73" s="10">
        <v>9269.0727272727272</v>
      </c>
      <c r="M73" s="11">
        <v>2.9063636363636363</v>
      </c>
      <c r="N73" s="12"/>
      <c r="O73" s="12"/>
      <c r="P73" s="12"/>
      <c r="Q73" s="13" t="str">
        <f t="shared" si="48"/>
        <v/>
      </c>
      <c r="R73" s="13" t="str">
        <f t="shared" si="49"/>
        <v/>
      </c>
      <c r="S73" s="14"/>
      <c r="T73" s="12"/>
      <c r="U73" s="12"/>
      <c r="V73" s="12"/>
      <c r="W73" s="13" t="str">
        <f t="shared" si="50"/>
        <v/>
      </c>
      <c r="X73" s="13" t="str">
        <f t="shared" si="51"/>
        <v/>
      </c>
      <c r="Y73" s="14"/>
      <c r="Z73" s="12"/>
      <c r="AA73" s="12"/>
      <c r="AB73" s="12"/>
      <c r="AC73" s="13" t="str">
        <f t="shared" si="52"/>
        <v xml:space="preserve"> </v>
      </c>
      <c r="AD73" s="13" t="str">
        <f t="shared" si="53"/>
        <v xml:space="preserve"> </v>
      </c>
      <c r="AE73" s="14"/>
      <c r="AF73" s="12"/>
      <c r="AG73" s="12"/>
      <c r="AH73" s="12"/>
      <c r="AI73" s="13" t="str">
        <f t="shared" si="54"/>
        <v xml:space="preserve"> </v>
      </c>
      <c r="AJ73" s="13" t="str">
        <f t="shared" si="55"/>
        <v xml:space="preserve"> </v>
      </c>
      <c r="AK73" s="14"/>
      <c r="AL73" s="12"/>
      <c r="AM73" s="12"/>
      <c r="AN73" s="12"/>
      <c r="AO73" s="13" t="str">
        <f t="shared" si="56"/>
        <v xml:space="preserve"> </v>
      </c>
      <c r="AP73" s="13" t="str">
        <f t="shared" si="57"/>
        <v xml:space="preserve"> </v>
      </c>
      <c r="AQ73" s="14"/>
      <c r="AR73" s="12"/>
      <c r="AS73" s="12"/>
      <c r="AT73" s="12"/>
      <c r="AU73" s="13" t="str">
        <f t="shared" si="58"/>
        <v xml:space="preserve"> </v>
      </c>
      <c r="AV73" s="13" t="str">
        <f t="shared" si="59"/>
        <v xml:space="preserve"> </v>
      </c>
      <c r="AW73" s="14"/>
      <c r="AX73" s="12"/>
      <c r="AY73" s="12"/>
      <c r="AZ73" s="12"/>
      <c r="BA73" s="13" t="str">
        <f t="shared" si="60"/>
        <v xml:space="preserve"> </v>
      </c>
      <c r="BB73" s="13" t="str">
        <f t="shared" si="61"/>
        <v xml:space="preserve"> </v>
      </c>
      <c r="BC73" s="14"/>
      <c r="BD73" s="12"/>
      <c r="BE73" s="12"/>
      <c r="BF73" s="12"/>
      <c r="BG73" s="13" t="str">
        <f t="shared" si="62"/>
        <v xml:space="preserve"> </v>
      </c>
      <c r="BH73" s="13" t="str">
        <f t="shared" si="63"/>
        <v xml:space="preserve"> </v>
      </c>
      <c r="BI73" s="14"/>
      <c r="BJ73" s="12"/>
      <c r="BK73" s="12"/>
      <c r="BL73" s="12"/>
      <c r="BM73" s="13" t="str">
        <f t="shared" si="64"/>
        <v xml:space="preserve"> </v>
      </c>
      <c r="BN73" s="13" t="str">
        <f t="shared" si="65"/>
        <v xml:space="preserve"> </v>
      </c>
      <c r="BO73" s="14"/>
      <c r="BP73" s="12"/>
      <c r="BQ73" s="12"/>
      <c r="BR73" s="12"/>
      <c r="BS73" s="13" t="str">
        <f t="shared" si="66"/>
        <v xml:space="preserve"> </v>
      </c>
      <c r="BT73" s="13" t="str">
        <f t="shared" si="67"/>
        <v xml:space="preserve"> </v>
      </c>
      <c r="BU73" s="14"/>
      <c r="BV73" s="12"/>
      <c r="BW73" s="12"/>
      <c r="BX73" s="12"/>
      <c r="BY73" s="13" t="str">
        <f t="shared" si="68"/>
        <v xml:space="preserve"> </v>
      </c>
      <c r="BZ73" s="13" t="str">
        <f t="shared" si="69"/>
        <v xml:space="preserve"> </v>
      </c>
      <c r="CA73" s="14"/>
      <c r="CD73" s="12"/>
      <c r="CE73" s="13" t="str">
        <f t="shared" si="70"/>
        <v xml:space="preserve"> </v>
      </c>
      <c r="CF73" s="13" t="str">
        <f t="shared" si="71"/>
        <v xml:space="preserve"> </v>
      </c>
      <c r="CG73" s="14" t="s">
        <v>51</v>
      </c>
      <c r="CH73" s="9" t="str">
        <f t="shared" si="43"/>
        <v xml:space="preserve"> </v>
      </c>
      <c r="CI73" s="9" t="str">
        <f t="shared" si="43"/>
        <v xml:space="preserve"> </v>
      </c>
      <c r="CJ73" s="9">
        <f t="shared" si="44"/>
        <v>0</v>
      </c>
      <c r="CK73" s="10" t="str">
        <f t="shared" si="45"/>
        <v xml:space="preserve"> </v>
      </c>
      <c r="CL73" s="10" t="str">
        <f t="shared" si="46"/>
        <v xml:space="preserve"> </v>
      </c>
      <c r="CM73" s="11" t="str">
        <f t="shared" si="47"/>
        <v xml:space="preserve"> </v>
      </c>
      <c r="CN73" s="12"/>
      <c r="CO73" s="12"/>
      <c r="CP73" s="12"/>
    </row>
    <row r="74" spans="1:94" x14ac:dyDescent="0.3">
      <c r="A74" s="22" t="s">
        <v>93</v>
      </c>
      <c r="B74" s="9">
        <v>3804006.5833333335</v>
      </c>
      <c r="C74" s="9">
        <v>262813.75</v>
      </c>
      <c r="D74" s="9">
        <v>969</v>
      </c>
      <c r="E74" s="10">
        <v>141325.32198142415</v>
      </c>
      <c r="F74" s="10">
        <v>9763.9783281733744</v>
      </c>
      <c r="G74" s="11">
        <v>3.3474999999999997</v>
      </c>
      <c r="H74" s="9">
        <v>2401014</v>
      </c>
      <c r="I74" s="9">
        <v>166530.27272727274</v>
      </c>
      <c r="J74" s="9">
        <v>666</v>
      </c>
      <c r="K74" s="10">
        <v>118969.16216216216</v>
      </c>
      <c r="L74" s="10">
        <v>8251.5</v>
      </c>
      <c r="M74" s="11">
        <v>3.3672727272727268</v>
      </c>
      <c r="N74" s="12"/>
      <c r="O74" s="12"/>
      <c r="P74" s="12"/>
      <c r="Q74" s="13" t="str">
        <f t="shared" si="48"/>
        <v/>
      </c>
      <c r="R74" s="13" t="str">
        <f t="shared" si="49"/>
        <v/>
      </c>
      <c r="S74" s="14"/>
      <c r="T74" s="12"/>
      <c r="U74" s="12"/>
      <c r="V74" s="12"/>
      <c r="W74" s="13" t="str">
        <f t="shared" si="50"/>
        <v/>
      </c>
      <c r="X74" s="13" t="str">
        <f t="shared" si="51"/>
        <v/>
      </c>
      <c r="Y74" s="14"/>
      <c r="Z74" s="12"/>
      <c r="AA74" s="12"/>
      <c r="AB74" s="12"/>
      <c r="AC74" s="13" t="str">
        <f t="shared" si="52"/>
        <v xml:space="preserve"> </v>
      </c>
      <c r="AD74" s="13" t="str">
        <f t="shared" si="53"/>
        <v xml:space="preserve"> </v>
      </c>
      <c r="AE74" s="14"/>
      <c r="AF74" s="12"/>
      <c r="AG74" s="12"/>
      <c r="AH74" s="12"/>
      <c r="AI74" s="13" t="str">
        <f t="shared" si="54"/>
        <v xml:space="preserve"> </v>
      </c>
      <c r="AJ74" s="13" t="str">
        <f t="shared" si="55"/>
        <v xml:space="preserve"> </v>
      </c>
      <c r="AK74" s="14"/>
      <c r="AL74" s="12"/>
      <c r="AM74" s="12"/>
      <c r="AN74" s="12"/>
      <c r="AO74" s="13" t="str">
        <f t="shared" si="56"/>
        <v xml:space="preserve"> </v>
      </c>
      <c r="AP74" s="13" t="str">
        <f t="shared" si="57"/>
        <v xml:space="preserve"> </v>
      </c>
      <c r="AQ74" s="14"/>
      <c r="AR74" s="12"/>
      <c r="AS74" s="12"/>
      <c r="AT74" s="12"/>
      <c r="AU74" s="13" t="str">
        <f t="shared" si="58"/>
        <v xml:space="preserve"> </v>
      </c>
      <c r="AV74" s="13" t="str">
        <f t="shared" si="59"/>
        <v xml:space="preserve"> </v>
      </c>
      <c r="AW74" s="14"/>
      <c r="AX74" s="12"/>
      <c r="AY74" s="12"/>
      <c r="AZ74" s="12"/>
      <c r="BA74" s="13" t="str">
        <f t="shared" si="60"/>
        <v xml:space="preserve"> </v>
      </c>
      <c r="BB74" s="13" t="str">
        <f t="shared" si="61"/>
        <v xml:space="preserve"> </v>
      </c>
      <c r="BC74" s="14"/>
      <c r="BD74" s="12"/>
      <c r="BE74" s="12"/>
      <c r="BF74" s="12"/>
      <c r="BG74" s="13" t="str">
        <f t="shared" si="62"/>
        <v xml:space="preserve"> </v>
      </c>
      <c r="BH74" s="13" t="str">
        <f t="shared" si="63"/>
        <v xml:space="preserve"> </v>
      </c>
      <c r="BI74" s="14"/>
      <c r="BJ74" s="12"/>
      <c r="BK74" s="12"/>
      <c r="BL74" s="12"/>
      <c r="BM74" s="13" t="str">
        <f t="shared" si="64"/>
        <v xml:space="preserve"> </v>
      </c>
      <c r="BN74" s="13" t="str">
        <f t="shared" si="65"/>
        <v xml:space="preserve"> </v>
      </c>
      <c r="BO74" s="14"/>
      <c r="BP74" s="12"/>
      <c r="BQ74" s="12"/>
      <c r="BR74" s="12"/>
      <c r="BS74" s="13" t="str">
        <f t="shared" si="66"/>
        <v xml:space="preserve"> </v>
      </c>
      <c r="BT74" s="13" t="str">
        <f t="shared" si="67"/>
        <v xml:space="preserve"> </v>
      </c>
      <c r="BU74" s="14"/>
      <c r="BV74" s="12"/>
      <c r="BW74" s="12"/>
      <c r="BX74" s="12"/>
      <c r="BY74" s="13" t="str">
        <f t="shared" si="68"/>
        <v xml:space="preserve"> </v>
      </c>
      <c r="BZ74" s="13" t="str">
        <f t="shared" si="69"/>
        <v xml:space="preserve"> </v>
      </c>
      <c r="CA74" s="14"/>
      <c r="CD74" s="12"/>
      <c r="CE74" s="13" t="str">
        <f t="shared" si="70"/>
        <v xml:space="preserve"> </v>
      </c>
      <c r="CF74" s="13" t="str">
        <f t="shared" si="71"/>
        <v xml:space="preserve"> </v>
      </c>
      <c r="CG74" s="14" t="s">
        <v>51</v>
      </c>
      <c r="CH74" s="9" t="str">
        <f t="shared" si="43"/>
        <v xml:space="preserve"> </v>
      </c>
      <c r="CI74" s="9" t="str">
        <f t="shared" si="43"/>
        <v xml:space="preserve"> </v>
      </c>
      <c r="CJ74" s="9">
        <f t="shared" si="44"/>
        <v>0</v>
      </c>
      <c r="CK74" s="10" t="str">
        <f t="shared" si="45"/>
        <v xml:space="preserve"> </v>
      </c>
      <c r="CL74" s="10" t="str">
        <f t="shared" si="46"/>
        <v xml:space="preserve"> </v>
      </c>
      <c r="CM74" s="11" t="str">
        <f t="shared" si="47"/>
        <v xml:space="preserve"> </v>
      </c>
      <c r="CN74" s="12"/>
      <c r="CO74" s="12"/>
      <c r="CP74" s="12"/>
    </row>
    <row r="75" spans="1:94" x14ac:dyDescent="0.3">
      <c r="A75" s="22" t="s">
        <v>94</v>
      </c>
      <c r="B75" s="9">
        <v>5753474.5</v>
      </c>
      <c r="C75" s="9">
        <v>66836.666666666672</v>
      </c>
      <c r="D75" s="9">
        <v>1022</v>
      </c>
      <c r="E75" s="10">
        <v>202666.4207436399</v>
      </c>
      <c r="F75" s="10">
        <v>2354.3248532289626</v>
      </c>
      <c r="G75" s="11">
        <v>1.3699999999999999</v>
      </c>
      <c r="H75" s="9">
        <v>4851284.0909090908</v>
      </c>
      <c r="I75" s="9">
        <v>55286</v>
      </c>
      <c r="J75" s="9">
        <v>849</v>
      </c>
      <c r="K75" s="10">
        <v>188565.81272084804</v>
      </c>
      <c r="L75" s="10">
        <v>2148.9257950530036</v>
      </c>
      <c r="M75" s="11">
        <v>1.3590909090909091</v>
      </c>
      <c r="N75" s="12">
        <v>3536274</v>
      </c>
      <c r="O75" s="12">
        <v>40128</v>
      </c>
      <c r="P75" s="12">
        <v>54</v>
      </c>
      <c r="Q75" s="13">
        <f t="shared" si="48"/>
        <v>196459.66666666666</v>
      </c>
      <c r="R75" s="13">
        <f t="shared" si="49"/>
        <v>2229.333333333333</v>
      </c>
      <c r="S75" s="14"/>
      <c r="T75" s="12">
        <v>3671597.5000000009</v>
      </c>
      <c r="U75" s="12">
        <v>40065</v>
      </c>
      <c r="V75" s="12">
        <v>75</v>
      </c>
      <c r="W75" s="13">
        <f t="shared" si="50"/>
        <v>146863.90000000002</v>
      </c>
      <c r="X75" s="13">
        <f t="shared" si="51"/>
        <v>1602.6000000000001</v>
      </c>
      <c r="Y75" s="14"/>
      <c r="Z75" s="12">
        <v>3980008.7499999995</v>
      </c>
      <c r="AA75" s="12">
        <v>46900</v>
      </c>
      <c r="AB75" s="12">
        <v>72</v>
      </c>
      <c r="AC75" s="13">
        <f t="shared" si="52"/>
        <v>165833.69791666663</v>
      </c>
      <c r="AD75" s="13">
        <f t="shared" si="53"/>
        <v>1954.1666666666667</v>
      </c>
      <c r="AE75" s="14"/>
      <c r="AF75" s="12">
        <v>2652462.7999999998</v>
      </c>
      <c r="AG75" s="12">
        <v>30081</v>
      </c>
      <c r="AH75" s="12">
        <v>50</v>
      </c>
      <c r="AI75" s="13">
        <f t="shared" si="54"/>
        <v>159147.76799999998</v>
      </c>
      <c r="AJ75" s="13">
        <f t="shared" si="55"/>
        <v>1804.8600000000001</v>
      </c>
      <c r="AK75" s="14"/>
      <c r="AL75" s="12">
        <v>4299581.75</v>
      </c>
      <c r="AM75" s="12">
        <v>48481</v>
      </c>
      <c r="AN75" s="12">
        <v>72</v>
      </c>
      <c r="AO75" s="13">
        <f t="shared" si="56"/>
        <v>179149.23958333334</v>
      </c>
      <c r="AP75" s="13">
        <f t="shared" si="57"/>
        <v>2020.0416666666665</v>
      </c>
      <c r="AQ75" s="14"/>
      <c r="AR75" s="12">
        <v>3690360</v>
      </c>
      <c r="AS75" s="12">
        <v>42961</v>
      </c>
      <c r="AT75" s="12">
        <v>63</v>
      </c>
      <c r="AU75" s="13">
        <f t="shared" si="58"/>
        <v>175731.42857142858</v>
      </c>
      <c r="AV75" s="13">
        <f t="shared" si="59"/>
        <v>2045.7619047619048</v>
      </c>
      <c r="AW75" s="14"/>
      <c r="AX75" s="12">
        <v>4306218.5</v>
      </c>
      <c r="AY75" s="12">
        <v>47365</v>
      </c>
      <c r="AZ75" s="12">
        <v>77</v>
      </c>
      <c r="BA75" s="13">
        <f t="shared" si="60"/>
        <v>167774.74675324676</v>
      </c>
      <c r="BB75" s="13">
        <f t="shared" si="61"/>
        <v>1845.3896103896104</v>
      </c>
      <c r="BC75" s="14"/>
      <c r="BD75" s="12">
        <v>4370285.5</v>
      </c>
      <c r="BE75" s="12">
        <v>54904</v>
      </c>
      <c r="BF75" s="12">
        <v>77</v>
      </c>
      <c r="BG75" s="13">
        <f t="shared" si="62"/>
        <v>170270.86363636365</v>
      </c>
      <c r="BH75" s="13">
        <f t="shared" si="63"/>
        <v>2139.1168831168829</v>
      </c>
      <c r="BI75" s="14"/>
      <c r="BJ75" s="12">
        <v>5075502.75</v>
      </c>
      <c r="BK75" s="12">
        <v>59493</v>
      </c>
      <c r="BL75" s="12">
        <v>84</v>
      </c>
      <c r="BM75" s="13">
        <f t="shared" si="64"/>
        <v>181267.95535714284</v>
      </c>
      <c r="BN75" s="13">
        <f t="shared" si="65"/>
        <v>2124.75</v>
      </c>
      <c r="BO75" s="14"/>
      <c r="BP75" s="12">
        <v>5918130</v>
      </c>
      <c r="BQ75" s="12">
        <v>75401</v>
      </c>
      <c r="BR75" s="12">
        <v>86</v>
      </c>
      <c r="BS75" s="13">
        <f t="shared" si="66"/>
        <v>206446.39534883719</v>
      </c>
      <c r="BT75" s="13">
        <f t="shared" si="67"/>
        <v>2630.2674418604652</v>
      </c>
      <c r="BU75" s="14"/>
      <c r="BV75" s="12">
        <v>4919861.3</v>
      </c>
      <c r="BW75" s="12">
        <v>65064</v>
      </c>
      <c r="BX75" s="12">
        <v>87</v>
      </c>
      <c r="BY75" s="13">
        <f t="shared" si="68"/>
        <v>169650.38965517242</v>
      </c>
      <c r="BZ75" s="13">
        <f t="shared" si="69"/>
        <v>2243.5862068965516</v>
      </c>
      <c r="CA75" s="14"/>
      <c r="CB75" s="12">
        <v>5204052</v>
      </c>
      <c r="CC75" s="12">
        <v>67489</v>
      </c>
      <c r="CD75" s="12">
        <v>84</v>
      </c>
      <c r="CE75" s="13">
        <f t="shared" si="70"/>
        <v>185859</v>
      </c>
      <c r="CF75" s="13">
        <f t="shared" si="71"/>
        <v>2410.3214285714284</v>
      </c>
      <c r="CG75" s="14" t="s">
        <v>51</v>
      </c>
      <c r="CH75" s="9">
        <f>IFERROR(AVERAGE(N75,T75,Z75,AF75,AL75,AR75,AX75,BD75,BJ75,BP75,BV75,CB75)," ")</f>
        <v>4302027.9041666659</v>
      </c>
      <c r="CI75" s="9">
        <f>IFERROR(AVERAGE(O75,U75,AA75,AG75,AM75,AS75,AY75,BE75,BK75,BQ75,BW75,CC75)," ")</f>
        <v>51527.666666666664</v>
      </c>
      <c r="CJ75" s="9">
        <f>IFERROR(SUM(P75,V75,AB75,AH75,AN75,AT75,AZ75,BF75,BL75,BR75,BX75,CD75)," ")</f>
        <v>881</v>
      </c>
      <c r="CK75" s="10">
        <f>IFERROR(SUM(N75,T75,Z75,AF75,AL75,AR75,AX75,BD75,BJ75,BP75,BV75,CB75)/CJ75*3," ")</f>
        <v>175792.28666288307</v>
      </c>
      <c r="CL75" s="10">
        <f>IFERROR(SUM(O75,U75,AA75,AG75,AM75,AS75,AY75,BE75,BK75,BQ75,BW75,CC75)/CJ75*3," ")</f>
        <v>2105.5573212258796</v>
      </c>
      <c r="CM75" s="11" t="str">
        <f>IFERROR(AVERAGE(S75,Y75,AE75,AK75,AQ75,AW75,BC75,BI75,BO75,BU75,CA75,CG75)," ")</f>
        <v xml:space="preserve"> </v>
      </c>
      <c r="CN75" s="12"/>
      <c r="CO75" s="12"/>
      <c r="CP75" s="12"/>
    </row>
    <row r="76" spans="1:94" x14ac:dyDescent="0.3">
      <c r="A76" s="22" t="s">
        <v>95</v>
      </c>
      <c r="B76" s="9">
        <v>3850104.75</v>
      </c>
      <c r="C76" s="9">
        <v>12790.416666666666</v>
      </c>
      <c r="D76" s="9">
        <v>959</v>
      </c>
      <c r="E76" s="10">
        <v>144529.47966631906</v>
      </c>
      <c r="F76" s="10">
        <v>480.14077163712199</v>
      </c>
      <c r="G76" s="11">
        <v>0.73416666666666675</v>
      </c>
      <c r="H76" s="9">
        <v>2846428.1428571427</v>
      </c>
      <c r="I76" s="9">
        <v>9291.5714285714294</v>
      </c>
      <c r="J76" s="9">
        <v>519</v>
      </c>
      <c r="K76" s="10">
        <v>115173.39306358382</v>
      </c>
      <c r="L76" s="10">
        <v>375.95953757225436</v>
      </c>
      <c r="M76" s="11">
        <v>0.70714285714285718</v>
      </c>
      <c r="N76" s="12"/>
      <c r="O76" s="12"/>
      <c r="P76" s="12"/>
      <c r="Q76" s="13" t="str">
        <f t="shared" si="48"/>
        <v/>
      </c>
      <c r="R76" s="13" t="str">
        <f t="shared" si="49"/>
        <v/>
      </c>
      <c r="S76" s="14"/>
      <c r="T76" s="12"/>
      <c r="U76" s="12"/>
      <c r="V76" s="12"/>
      <c r="W76" s="13" t="str">
        <f t="shared" si="50"/>
        <v/>
      </c>
      <c r="X76" s="13" t="str">
        <f t="shared" si="51"/>
        <v/>
      </c>
      <c r="Y76" s="14"/>
      <c r="Z76" s="12"/>
      <c r="AA76" s="12"/>
      <c r="AB76" s="12"/>
      <c r="AC76" s="13" t="str">
        <f t="shared" si="52"/>
        <v xml:space="preserve"> </v>
      </c>
      <c r="AD76" s="13" t="str">
        <f t="shared" si="53"/>
        <v xml:space="preserve"> </v>
      </c>
      <c r="AE76" s="14"/>
      <c r="AF76" s="12"/>
      <c r="AG76" s="12"/>
      <c r="AH76" s="12"/>
      <c r="AI76" s="13" t="str">
        <f t="shared" si="54"/>
        <v xml:space="preserve"> </v>
      </c>
      <c r="AJ76" s="13" t="str">
        <f t="shared" si="55"/>
        <v xml:space="preserve"> </v>
      </c>
      <c r="AK76" s="14"/>
      <c r="AL76" s="12"/>
      <c r="AM76" s="12"/>
      <c r="AN76" s="12"/>
      <c r="AO76" s="13" t="str">
        <f t="shared" si="56"/>
        <v xml:space="preserve"> </v>
      </c>
      <c r="AP76" s="13" t="str">
        <f t="shared" si="57"/>
        <v xml:space="preserve"> </v>
      </c>
      <c r="AQ76" s="14"/>
      <c r="AR76" s="12"/>
      <c r="AS76" s="12"/>
      <c r="AT76" s="12"/>
      <c r="AU76" s="13" t="str">
        <f t="shared" si="58"/>
        <v xml:space="preserve"> </v>
      </c>
      <c r="AV76" s="13" t="str">
        <f t="shared" si="59"/>
        <v xml:space="preserve"> </v>
      </c>
      <c r="AW76" s="14"/>
      <c r="AX76" s="12"/>
      <c r="AY76" s="12"/>
      <c r="AZ76" s="12"/>
      <c r="BA76" s="13" t="str">
        <f t="shared" si="60"/>
        <v xml:space="preserve"> </v>
      </c>
      <c r="BB76" s="13" t="str">
        <f t="shared" si="61"/>
        <v xml:space="preserve"> </v>
      </c>
      <c r="BC76" s="14"/>
      <c r="BD76" s="12"/>
      <c r="BE76" s="12"/>
      <c r="BF76" s="12"/>
      <c r="BG76" s="13" t="str">
        <f t="shared" si="62"/>
        <v xml:space="preserve"> </v>
      </c>
      <c r="BH76" s="13" t="str">
        <f t="shared" si="63"/>
        <v xml:space="preserve"> </v>
      </c>
      <c r="BI76" s="14"/>
      <c r="BJ76" s="12"/>
      <c r="BK76" s="12"/>
      <c r="BL76" s="12"/>
      <c r="BM76" s="13" t="str">
        <f t="shared" si="64"/>
        <v xml:space="preserve"> </v>
      </c>
      <c r="BN76" s="13" t="str">
        <f t="shared" si="65"/>
        <v xml:space="preserve"> </v>
      </c>
      <c r="BO76" s="14"/>
      <c r="BP76" s="12"/>
      <c r="BQ76" s="12"/>
      <c r="BR76" s="12"/>
      <c r="BS76" s="13" t="str">
        <f t="shared" si="66"/>
        <v xml:space="preserve"> </v>
      </c>
      <c r="BT76" s="13" t="str">
        <f t="shared" si="67"/>
        <v xml:space="preserve"> </v>
      </c>
      <c r="BU76" s="14"/>
      <c r="BV76" s="12"/>
      <c r="BW76" s="12"/>
      <c r="BX76" s="12"/>
      <c r="BY76" s="13" t="str">
        <f t="shared" si="68"/>
        <v xml:space="preserve"> </v>
      </c>
      <c r="BZ76" s="13" t="str">
        <f t="shared" si="69"/>
        <v xml:space="preserve"> </v>
      </c>
      <c r="CA76" s="14"/>
      <c r="CD76" s="12"/>
      <c r="CE76" s="13" t="str">
        <f t="shared" si="70"/>
        <v xml:space="preserve"> </v>
      </c>
      <c r="CF76" s="13" t="str">
        <f t="shared" si="71"/>
        <v xml:space="preserve"> </v>
      </c>
      <c r="CG76" s="14" t="s">
        <v>51</v>
      </c>
      <c r="CH76" s="9" t="str">
        <f t="shared" si="43"/>
        <v xml:space="preserve"> </v>
      </c>
      <c r="CI76" s="9" t="str">
        <f t="shared" si="43"/>
        <v xml:space="preserve"> </v>
      </c>
      <c r="CJ76" s="9">
        <f t="shared" si="44"/>
        <v>0</v>
      </c>
      <c r="CK76" s="10" t="str">
        <f t="shared" si="45"/>
        <v xml:space="preserve"> </v>
      </c>
      <c r="CL76" s="10" t="str">
        <f t="shared" si="46"/>
        <v xml:space="preserve"> </v>
      </c>
      <c r="CM76" s="11" t="str">
        <f t="shared" si="47"/>
        <v xml:space="preserve"> </v>
      </c>
      <c r="CN76" s="12"/>
      <c r="CO76" s="12"/>
      <c r="CP76" s="12"/>
    </row>
    <row r="77" spans="1:94" x14ac:dyDescent="0.3">
      <c r="A77" s="22" t="s">
        <v>96</v>
      </c>
      <c r="B77" s="9">
        <v>7027140</v>
      </c>
      <c r="C77" s="9">
        <v>18771</v>
      </c>
      <c r="D77" s="9">
        <v>978</v>
      </c>
      <c r="E77" s="10">
        <v>258667.73006134969</v>
      </c>
      <c r="F77" s="10">
        <v>690.95705521472394</v>
      </c>
      <c r="G77" s="11">
        <v>0.65833333333333344</v>
      </c>
      <c r="H77" s="9">
        <v>4685641.1428571427</v>
      </c>
      <c r="I77" s="9">
        <v>12520.142857142857</v>
      </c>
      <c r="J77" s="9">
        <v>446</v>
      </c>
      <c r="K77" s="10">
        <v>220624.35874439462</v>
      </c>
      <c r="L77" s="10">
        <v>589.51345291479822</v>
      </c>
      <c r="M77" s="11">
        <v>0.65142857142857147</v>
      </c>
      <c r="N77" s="12"/>
      <c r="O77" s="12"/>
      <c r="P77" s="12"/>
      <c r="Q77" s="13" t="str">
        <f t="shared" si="48"/>
        <v/>
      </c>
      <c r="R77" s="13" t="str">
        <f t="shared" si="49"/>
        <v/>
      </c>
      <c r="S77" s="14"/>
      <c r="T77" s="12"/>
      <c r="U77" s="12"/>
      <c r="V77" s="12"/>
      <c r="W77" s="13" t="str">
        <f t="shared" si="50"/>
        <v/>
      </c>
      <c r="X77" s="13" t="str">
        <f t="shared" si="51"/>
        <v/>
      </c>
      <c r="Y77" s="14"/>
      <c r="Z77" s="12"/>
      <c r="AA77" s="12"/>
      <c r="AB77" s="12"/>
      <c r="AC77" s="13" t="str">
        <f t="shared" si="52"/>
        <v xml:space="preserve"> </v>
      </c>
      <c r="AD77" s="13" t="str">
        <f t="shared" si="53"/>
        <v xml:space="preserve"> </v>
      </c>
      <c r="AE77" s="14"/>
      <c r="AF77" s="12"/>
      <c r="AG77" s="12"/>
      <c r="AH77" s="12"/>
      <c r="AI77" s="13" t="str">
        <f t="shared" si="54"/>
        <v xml:space="preserve"> </v>
      </c>
      <c r="AJ77" s="13" t="str">
        <f t="shared" si="55"/>
        <v xml:space="preserve"> </v>
      </c>
      <c r="AK77" s="14"/>
      <c r="AL77" s="12"/>
      <c r="AM77" s="12"/>
      <c r="AN77" s="12"/>
      <c r="AO77" s="13" t="str">
        <f t="shared" si="56"/>
        <v xml:space="preserve"> </v>
      </c>
      <c r="AP77" s="13" t="str">
        <f t="shared" si="57"/>
        <v xml:space="preserve"> </v>
      </c>
      <c r="AQ77" s="14"/>
      <c r="AR77" s="12">
        <v>1096976</v>
      </c>
      <c r="AS77" s="12">
        <v>2957</v>
      </c>
      <c r="AT77" s="12">
        <v>29</v>
      </c>
      <c r="AU77" s="13">
        <f t="shared" si="58"/>
        <v>113480.27586206896</v>
      </c>
      <c r="AV77" s="13">
        <f t="shared" si="59"/>
        <v>305.89655172413796</v>
      </c>
      <c r="AW77" s="14"/>
      <c r="AX77" s="12"/>
      <c r="AY77" s="12"/>
      <c r="AZ77" s="12"/>
      <c r="BA77" s="13" t="str">
        <f t="shared" si="60"/>
        <v xml:space="preserve"> </v>
      </c>
      <c r="BB77" s="13" t="str">
        <f t="shared" si="61"/>
        <v xml:space="preserve"> </v>
      </c>
      <c r="BC77" s="14"/>
      <c r="BD77" s="12"/>
      <c r="BE77" s="12"/>
      <c r="BF77" s="12"/>
      <c r="BG77" s="13" t="str">
        <f t="shared" si="62"/>
        <v xml:space="preserve"> </v>
      </c>
      <c r="BH77" s="13" t="str">
        <f t="shared" si="63"/>
        <v xml:space="preserve"> </v>
      </c>
      <c r="BI77" s="14"/>
      <c r="BJ77" s="12"/>
      <c r="BK77" s="12"/>
      <c r="BL77" s="12"/>
      <c r="BM77" s="13" t="str">
        <f t="shared" si="64"/>
        <v xml:space="preserve"> </v>
      </c>
      <c r="BN77" s="13" t="str">
        <f t="shared" si="65"/>
        <v xml:space="preserve"> </v>
      </c>
      <c r="BO77" s="14"/>
      <c r="BP77" s="12"/>
      <c r="BQ77" s="12"/>
      <c r="BR77" s="12"/>
      <c r="BS77" s="13" t="str">
        <f t="shared" si="66"/>
        <v xml:space="preserve"> </v>
      </c>
      <c r="BT77" s="13" t="str">
        <f t="shared" si="67"/>
        <v xml:space="preserve"> </v>
      </c>
      <c r="BU77" s="14"/>
      <c r="BV77" s="12"/>
      <c r="BW77" s="12"/>
      <c r="BX77" s="12"/>
      <c r="BY77" s="13" t="str">
        <f t="shared" si="68"/>
        <v xml:space="preserve"> </v>
      </c>
      <c r="BZ77" s="13" t="str">
        <f t="shared" si="69"/>
        <v xml:space="preserve"> </v>
      </c>
      <c r="CA77" s="14"/>
      <c r="CD77" s="12"/>
      <c r="CE77" s="13" t="str">
        <f t="shared" si="70"/>
        <v xml:space="preserve"> </v>
      </c>
      <c r="CF77" s="13" t="str">
        <f t="shared" si="71"/>
        <v xml:space="preserve"> </v>
      </c>
      <c r="CG77" s="14" t="s">
        <v>51</v>
      </c>
      <c r="CH77" s="9">
        <f t="shared" si="43"/>
        <v>1096976</v>
      </c>
      <c r="CI77" s="9">
        <f t="shared" si="43"/>
        <v>2957</v>
      </c>
      <c r="CJ77" s="9">
        <f t="shared" si="44"/>
        <v>29</v>
      </c>
      <c r="CK77" s="10">
        <f t="shared" si="45"/>
        <v>113480.27586206896</v>
      </c>
      <c r="CL77" s="10">
        <f t="shared" si="46"/>
        <v>305.89655172413796</v>
      </c>
      <c r="CM77" s="11" t="str">
        <f t="shared" si="47"/>
        <v xml:space="preserve"> </v>
      </c>
      <c r="CN77" s="12"/>
      <c r="CO77" s="12"/>
      <c r="CP77" s="12"/>
    </row>
    <row r="78" spans="1:94" x14ac:dyDescent="0.3">
      <c r="A78" s="22" t="s">
        <v>97</v>
      </c>
      <c r="B78" s="9">
        <v>6170707.5</v>
      </c>
      <c r="C78" s="9">
        <v>16732.833333333332</v>
      </c>
      <c r="D78" s="9">
        <v>946</v>
      </c>
      <c r="E78" s="10">
        <v>234826.07822410145</v>
      </c>
      <c r="F78" s="10">
        <v>636.76744186046517</v>
      </c>
      <c r="G78" s="11">
        <v>0.66500000000000004</v>
      </c>
      <c r="H78" s="9">
        <v>4302263.375</v>
      </c>
      <c r="I78" s="9">
        <v>11492.625</v>
      </c>
      <c r="J78" s="9">
        <v>469</v>
      </c>
      <c r="K78" s="10">
        <v>220158.46695095947</v>
      </c>
      <c r="L78" s="10">
        <v>588.1087420042644</v>
      </c>
      <c r="M78" s="11">
        <v>0.65750000000000008</v>
      </c>
      <c r="N78" s="12"/>
      <c r="O78" s="12"/>
      <c r="P78" s="12"/>
      <c r="Q78" s="13" t="str">
        <f t="shared" si="48"/>
        <v/>
      </c>
      <c r="R78" s="13" t="str">
        <f t="shared" si="49"/>
        <v/>
      </c>
      <c r="S78" s="14"/>
      <c r="T78" s="12"/>
      <c r="U78" s="12"/>
      <c r="V78" s="12"/>
      <c r="W78" s="13" t="str">
        <f t="shared" si="50"/>
        <v/>
      </c>
      <c r="X78" s="13" t="str">
        <f t="shared" si="51"/>
        <v/>
      </c>
      <c r="Y78" s="14"/>
      <c r="Z78" s="12"/>
      <c r="AA78" s="12"/>
      <c r="AB78" s="12"/>
      <c r="AC78" s="13" t="str">
        <f t="shared" si="52"/>
        <v xml:space="preserve"> </v>
      </c>
      <c r="AD78" s="13" t="str">
        <f t="shared" si="53"/>
        <v xml:space="preserve"> </v>
      </c>
      <c r="AE78" s="14"/>
      <c r="AF78" s="12"/>
      <c r="AG78" s="12"/>
      <c r="AH78" s="12"/>
      <c r="AI78" s="13" t="str">
        <f t="shared" si="54"/>
        <v xml:space="preserve"> </v>
      </c>
      <c r="AJ78" s="13" t="str">
        <f t="shared" si="55"/>
        <v xml:space="preserve"> </v>
      </c>
      <c r="AK78" s="14"/>
      <c r="AL78" s="12"/>
      <c r="AM78" s="12"/>
      <c r="AN78" s="12"/>
      <c r="AO78" s="13" t="str">
        <f t="shared" si="56"/>
        <v xml:space="preserve"> </v>
      </c>
      <c r="AP78" s="13" t="str">
        <f t="shared" si="57"/>
        <v xml:space="preserve"> </v>
      </c>
      <c r="AQ78" s="14"/>
      <c r="AR78" s="12">
        <v>1704878</v>
      </c>
      <c r="AS78" s="12">
        <v>4799</v>
      </c>
      <c r="AT78" s="12">
        <v>37</v>
      </c>
      <c r="AU78" s="13">
        <f t="shared" si="58"/>
        <v>138233.35135135136</v>
      </c>
      <c r="AV78" s="13">
        <f t="shared" si="59"/>
        <v>389.10810810810813</v>
      </c>
      <c r="AW78" s="14"/>
      <c r="AX78" s="12"/>
      <c r="AY78" s="12"/>
      <c r="AZ78" s="12"/>
      <c r="BA78" s="13" t="str">
        <f t="shared" si="60"/>
        <v xml:space="preserve"> </v>
      </c>
      <c r="BB78" s="13" t="str">
        <f t="shared" si="61"/>
        <v xml:space="preserve"> </v>
      </c>
      <c r="BC78" s="14"/>
      <c r="BD78" s="12"/>
      <c r="BE78" s="12"/>
      <c r="BF78" s="12"/>
      <c r="BG78" s="13" t="str">
        <f t="shared" si="62"/>
        <v xml:space="preserve"> </v>
      </c>
      <c r="BH78" s="13" t="str">
        <f t="shared" si="63"/>
        <v xml:space="preserve"> </v>
      </c>
      <c r="BI78" s="14"/>
      <c r="BJ78" s="12"/>
      <c r="BK78" s="12"/>
      <c r="BL78" s="12"/>
      <c r="BM78" s="13" t="str">
        <f t="shared" si="64"/>
        <v xml:space="preserve"> </v>
      </c>
      <c r="BN78" s="13" t="str">
        <f t="shared" si="65"/>
        <v xml:space="preserve"> </v>
      </c>
      <c r="BO78" s="14"/>
      <c r="BP78" s="12"/>
      <c r="BQ78" s="12"/>
      <c r="BR78" s="12"/>
      <c r="BS78" s="13" t="str">
        <f t="shared" si="66"/>
        <v xml:space="preserve"> </v>
      </c>
      <c r="BT78" s="13" t="str">
        <f t="shared" si="67"/>
        <v xml:space="preserve"> </v>
      </c>
      <c r="BU78" s="14"/>
      <c r="BV78" s="12"/>
      <c r="BW78" s="12"/>
      <c r="BX78" s="12"/>
      <c r="BY78" s="13" t="str">
        <f t="shared" si="68"/>
        <v xml:space="preserve"> </v>
      </c>
      <c r="BZ78" s="13" t="str">
        <f t="shared" si="69"/>
        <v xml:space="preserve"> </v>
      </c>
      <c r="CA78" s="14"/>
      <c r="CD78" s="12"/>
      <c r="CE78" s="13" t="str">
        <f t="shared" si="70"/>
        <v xml:space="preserve"> </v>
      </c>
      <c r="CF78" s="13" t="str">
        <f t="shared" si="71"/>
        <v xml:space="preserve"> </v>
      </c>
      <c r="CG78" s="14" t="s">
        <v>51</v>
      </c>
      <c r="CH78" s="9">
        <f t="shared" si="43"/>
        <v>1704878</v>
      </c>
      <c r="CI78" s="9">
        <f t="shared" si="43"/>
        <v>4799</v>
      </c>
      <c r="CJ78" s="9">
        <f t="shared" si="44"/>
        <v>37</v>
      </c>
      <c r="CK78" s="10">
        <f t="shared" si="45"/>
        <v>138233.35135135136</v>
      </c>
      <c r="CL78" s="10">
        <f t="shared" si="46"/>
        <v>389.10810810810813</v>
      </c>
      <c r="CM78" s="11" t="str">
        <f t="shared" si="47"/>
        <v xml:space="preserve"> </v>
      </c>
      <c r="CN78" s="12"/>
      <c r="CO78" s="12"/>
      <c r="CP78" s="12"/>
    </row>
    <row r="79" spans="1:94" x14ac:dyDescent="0.3">
      <c r="A79" s="22" t="s">
        <v>98</v>
      </c>
      <c r="B79" s="9">
        <v>4610859.666666667</v>
      </c>
      <c r="C79" s="9">
        <v>14709</v>
      </c>
      <c r="D79" s="9">
        <v>958</v>
      </c>
      <c r="E79" s="10">
        <v>173268.21294363256</v>
      </c>
      <c r="F79" s="10">
        <v>552.73903966597072</v>
      </c>
      <c r="G79" s="11">
        <v>0.72166666666666668</v>
      </c>
      <c r="H79" s="9">
        <v>2873969.1818181816</v>
      </c>
      <c r="I79" s="9">
        <v>8647.9090909090901</v>
      </c>
      <c r="J79" s="9">
        <v>734</v>
      </c>
      <c r="K79" s="10">
        <v>129211.14850136239</v>
      </c>
      <c r="L79" s="10">
        <v>388.80245231607631</v>
      </c>
      <c r="M79" s="11">
        <v>0.69000000000000006</v>
      </c>
      <c r="N79" s="12">
        <v>2322252</v>
      </c>
      <c r="O79" s="12">
        <v>7337</v>
      </c>
      <c r="P79" s="12">
        <v>45</v>
      </c>
      <c r="Q79" s="13">
        <f t="shared" si="48"/>
        <v>154816.79999999999</v>
      </c>
      <c r="R79" s="13">
        <f t="shared" si="49"/>
        <v>489.13333333333333</v>
      </c>
      <c r="S79" s="14"/>
      <c r="T79" s="12">
        <v>2593025</v>
      </c>
      <c r="U79" s="12">
        <v>8413</v>
      </c>
      <c r="V79" s="12">
        <v>54</v>
      </c>
      <c r="W79" s="13">
        <f t="shared" si="50"/>
        <v>144056.94444444444</v>
      </c>
      <c r="X79" s="13">
        <f t="shared" si="51"/>
        <v>467.38888888888891</v>
      </c>
      <c r="Y79" s="14"/>
      <c r="Z79" s="12">
        <v>2438777</v>
      </c>
      <c r="AA79" s="12">
        <v>8935</v>
      </c>
      <c r="AB79" s="12">
        <v>55</v>
      </c>
      <c r="AC79" s="13">
        <f t="shared" si="52"/>
        <v>133024.20000000001</v>
      </c>
      <c r="AD79" s="13">
        <f t="shared" si="53"/>
        <v>487.36363636363637</v>
      </c>
      <c r="AE79" s="14"/>
      <c r="AF79" s="12">
        <v>681863</v>
      </c>
      <c r="AG79" s="12">
        <v>2409</v>
      </c>
      <c r="AH79" s="12">
        <v>21</v>
      </c>
      <c r="AI79" s="13">
        <f t="shared" si="54"/>
        <v>97409</v>
      </c>
      <c r="AJ79" s="13">
        <f t="shared" si="55"/>
        <v>344.14285714285711</v>
      </c>
      <c r="AK79" s="14"/>
      <c r="AL79" s="12">
        <v>2753733</v>
      </c>
      <c r="AM79" s="12">
        <v>8551</v>
      </c>
      <c r="AN79" s="12">
        <v>58</v>
      </c>
      <c r="AO79" s="13">
        <f t="shared" si="56"/>
        <v>142434.46551724136</v>
      </c>
      <c r="AP79" s="13">
        <f t="shared" si="57"/>
        <v>442.29310344827593</v>
      </c>
      <c r="AQ79" s="14"/>
      <c r="AR79" s="12">
        <v>2642569</v>
      </c>
      <c r="AS79" s="12">
        <v>8167</v>
      </c>
      <c r="AT79" s="12">
        <v>56</v>
      </c>
      <c r="AU79" s="13">
        <f t="shared" si="58"/>
        <v>141566.19642857142</v>
      </c>
      <c r="AV79" s="13">
        <f t="shared" si="59"/>
        <v>437.51785714285717</v>
      </c>
      <c r="AW79" s="14"/>
      <c r="AX79" s="12">
        <v>3127588</v>
      </c>
      <c r="AY79" s="12">
        <v>9934</v>
      </c>
      <c r="AZ79" s="12">
        <v>54</v>
      </c>
      <c r="BA79" s="13">
        <f t="shared" si="60"/>
        <v>173754.88888888891</v>
      </c>
      <c r="BB79" s="13">
        <f t="shared" si="61"/>
        <v>551.88888888888891</v>
      </c>
      <c r="BC79" s="14"/>
      <c r="BD79" s="12">
        <v>2677045</v>
      </c>
      <c r="BE79" s="12">
        <v>8048</v>
      </c>
      <c r="BF79" s="12">
        <v>62</v>
      </c>
      <c r="BG79" s="13">
        <f t="shared" si="62"/>
        <v>129534.43548387097</v>
      </c>
      <c r="BH79" s="13">
        <f t="shared" si="63"/>
        <v>389.41935483870969</v>
      </c>
      <c r="BI79" s="14"/>
      <c r="BJ79" s="12">
        <v>2786423</v>
      </c>
      <c r="BK79" s="12">
        <v>9408</v>
      </c>
      <c r="BL79" s="12">
        <v>73</v>
      </c>
      <c r="BM79" s="13">
        <f t="shared" si="64"/>
        <v>114510.53424657533</v>
      </c>
      <c r="BN79" s="13">
        <f t="shared" si="65"/>
        <v>386.63013698630141</v>
      </c>
      <c r="BO79" s="14"/>
      <c r="BP79" s="12">
        <v>3560509</v>
      </c>
      <c r="BQ79" s="12">
        <v>10209</v>
      </c>
      <c r="BR79" s="12">
        <v>67</v>
      </c>
      <c r="BS79" s="13">
        <f t="shared" si="66"/>
        <v>159425.77611940299</v>
      </c>
      <c r="BT79" s="13">
        <f t="shared" si="67"/>
        <v>457.11940298507466</v>
      </c>
      <c r="BU79" s="14"/>
      <c r="BV79" s="12">
        <v>4097259</v>
      </c>
      <c r="BW79" s="12">
        <v>13966</v>
      </c>
      <c r="BX79" s="12">
        <v>76</v>
      </c>
      <c r="BY79" s="13">
        <f t="shared" si="68"/>
        <v>161733.90789473685</v>
      </c>
      <c r="BZ79" s="13">
        <f t="shared" si="69"/>
        <v>551.28947368421052</v>
      </c>
      <c r="CA79" s="14"/>
      <c r="CB79" s="12">
        <v>3526728</v>
      </c>
      <c r="CC79" s="12">
        <v>10963</v>
      </c>
      <c r="CD79" s="12">
        <v>69</v>
      </c>
      <c r="CE79" s="13">
        <f t="shared" si="70"/>
        <v>153336</v>
      </c>
      <c r="CF79" s="13">
        <f t="shared" si="71"/>
        <v>476.6521739130435</v>
      </c>
      <c r="CG79" s="14" t="s">
        <v>51</v>
      </c>
      <c r="CH79" s="9">
        <f t="shared" si="43"/>
        <v>2767314.25</v>
      </c>
      <c r="CI79" s="9">
        <f t="shared" si="43"/>
        <v>8861.6666666666661</v>
      </c>
      <c r="CJ79" s="9">
        <f t="shared" si="44"/>
        <v>690</v>
      </c>
      <c r="CK79" s="10">
        <f t="shared" si="45"/>
        <v>144381.61304347828</v>
      </c>
      <c r="CL79" s="10">
        <f t="shared" si="46"/>
        <v>462.3478260869565</v>
      </c>
      <c r="CM79" s="11" t="str">
        <f t="shared" si="47"/>
        <v xml:space="preserve"> </v>
      </c>
      <c r="CN79" s="12"/>
      <c r="CO79" s="12"/>
      <c r="CP79" s="12"/>
    </row>
    <row r="80" spans="1:94" x14ac:dyDescent="0.3">
      <c r="A80" s="22" t="s">
        <v>99</v>
      </c>
      <c r="B80" s="9">
        <v>4565829</v>
      </c>
      <c r="C80" s="9">
        <v>8448.8333333333339</v>
      </c>
      <c r="D80" s="9">
        <v>994</v>
      </c>
      <c r="E80" s="10">
        <v>165362.01609657946</v>
      </c>
      <c r="F80" s="10">
        <v>305.99396378269614</v>
      </c>
      <c r="G80" s="11">
        <v>0.54666666666666675</v>
      </c>
      <c r="H80" s="9">
        <v>3429744.5454545454</v>
      </c>
      <c r="I80" s="9">
        <v>4948.272727272727</v>
      </c>
      <c r="J80" s="9">
        <v>760</v>
      </c>
      <c r="K80" s="10">
        <v>148923.11842105264</v>
      </c>
      <c r="L80" s="10">
        <v>214.85921052631579</v>
      </c>
      <c r="M80" s="11">
        <v>0.48181818181818187</v>
      </c>
      <c r="N80" s="12">
        <v>1584044</v>
      </c>
      <c r="O80" s="12">
        <v>1249</v>
      </c>
      <c r="P80" s="12">
        <v>28</v>
      </c>
      <c r="Q80" s="13">
        <f t="shared" si="48"/>
        <v>169719</v>
      </c>
      <c r="R80" s="13">
        <f t="shared" si="49"/>
        <v>133.82142857142856</v>
      </c>
      <c r="S80" s="14"/>
      <c r="T80" s="12">
        <v>3352703</v>
      </c>
      <c r="U80" s="12">
        <v>6143</v>
      </c>
      <c r="V80" s="12">
        <v>51</v>
      </c>
      <c r="W80" s="13">
        <f t="shared" si="50"/>
        <v>197217.82352941175</v>
      </c>
      <c r="X80" s="13">
        <f t="shared" si="51"/>
        <v>361.35294117647061</v>
      </c>
      <c r="Y80" s="14"/>
      <c r="Z80" s="12">
        <v>1861044</v>
      </c>
      <c r="AA80" s="12">
        <v>2092</v>
      </c>
      <c r="AB80" s="12">
        <v>36</v>
      </c>
      <c r="AC80" s="13">
        <f t="shared" si="52"/>
        <v>155087</v>
      </c>
      <c r="AD80" s="13">
        <f t="shared" si="53"/>
        <v>174.33333333333334</v>
      </c>
      <c r="AE80" s="14"/>
      <c r="AF80" s="12">
        <v>1367354</v>
      </c>
      <c r="AG80" s="12">
        <v>1329</v>
      </c>
      <c r="AH80" s="12">
        <v>27</v>
      </c>
      <c r="AI80" s="13">
        <f t="shared" si="54"/>
        <v>151928.22222222222</v>
      </c>
      <c r="AJ80" s="13">
        <f t="shared" si="55"/>
        <v>147.66666666666666</v>
      </c>
      <c r="AK80" s="14"/>
      <c r="AL80" s="12">
        <v>2602371</v>
      </c>
      <c r="AM80" s="12">
        <v>2566</v>
      </c>
      <c r="AN80" s="12">
        <v>48</v>
      </c>
      <c r="AO80" s="13">
        <f t="shared" si="56"/>
        <v>162648.1875</v>
      </c>
      <c r="AP80" s="13">
        <f t="shared" si="57"/>
        <v>160.375</v>
      </c>
      <c r="AQ80" s="14"/>
      <c r="AR80" s="12">
        <v>3200692</v>
      </c>
      <c r="AS80" s="12">
        <v>5810</v>
      </c>
      <c r="AT80" s="12">
        <v>61</v>
      </c>
      <c r="AU80" s="13">
        <f t="shared" si="58"/>
        <v>157411.08196721313</v>
      </c>
      <c r="AV80" s="13">
        <f t="shared" si="59"/>
        <v>285.73770491803282</v>
      </c>
      <c r="AW80" s="14"/>
      <c r="AX80" s="12">
        <v>4468389</v>
      </c>
      <c r="AY80" s="12">
        <v>7208</v>
      </c>
      <c r="AZ80" s="12">
        <v>63</v>
      </c>
      <c r="BA80" s="13">
        <f t="shared" si="60"/>
        <v>212780.42857142858</v>
      </c>
      <c r="BB80" s="13">
        <f t="shared" si="61"/>
        <v>343.23809523809524</v>
      </c>
      <c r="BC80" s="14"/>
      <c r="BD80" s="12">
        <v>3193365</v>
      </c>
      <c r="BE80" s="12">
        <v>6688</v>
      </c>
      <c r="BF80" s="12">
        <v>56</v>
      </c>
      <c r="BG80" s="13">
        <f t="shared" si="62"/>
        <v>171073.125</v>
      </c>
      <c r="BH80" s="13">
        <f t="shared" si="63"/>
        <v>358.28571428571428</v>
      </c>
      <c r="BI80" s="14"/>
      <c r="BJ80" s="12">
        <v>2741498</v>
      </c>
      <c r="BK80" s="12">
        <v>7084</v>
      </c>
      <c r="BL80" s="12">
        <v>67</v>
      </c>
      <c r="BM80" s="13">
        <f t="shared" si="64"/>
        <v>122753.64179104478</v>
      </c>
      <c r="BN80" s="13">
        <f t="shared" si="65"/>
        <v>317.19402985074629</v>
      </c>
      <c r="BO80" s="14"/>
      <c r="BP80" s="12">
        <v>3807782</v>
      </c>
      <c r="BQ80" s="12">
        <v>8476</v>
      </c>
      <c r="BR80" s="12">
        <v>72</v>
      </c>
      <c r="BS80" s="13">
        <f t="shared" si="66"/>
        <v>158657.58333333331</v>
      </c>
      <c r="BT80" s="13">
        <f t="shared" si="67"/>
        <v>353.16666666666669</v>
      </c>
      <c r="BU80" s="14"/>
      <c r="BV80" s="12">
        <v>3213331.48</v>
      </c>
      <c r="BW80" s="12">
        <v>7321</v>
      </c>
      <c r="BX80" s="12">
        <v>67</v>
      </c>
      <c r="BY80" s="13">
        <f t="shared" si="68"/>
        <v>143880.51402985075</v>
      </c>
      <c r="BZ80" s="13">
        <f t="shared" si="69"/>
        <v>327.80597014925371</v>
      </c>
      <c r="CA80" s="14"/>
      <c r="CB80" s="12">
        <v>3001329</v>
      </c>
      <c r="CC80" s="12">
        <v>6141</v>
      </c>
      <c r="CD80" s="12">
        <v>64</v>
      </c>
      <c r="CE80" s="13">
        <f t="shared" si="70"/>
        <v>140687.296875</v>
      </c>
      <c r="CF80" s="13">
        <f t="shared" si="71"/>
        <v>287.859375</v>
      </c>
      <c r="CG80" s="14" t="s">
        <v>51</v>
      </c>
      <c r="CH80" s="9">
        <f t="shared" si="43"/>
        <v>2866158.5400000005</v>
      </c>
      <c r="CI80" s="9">
        <f t="shared" si="43"/>
        <v>5175.583333333333</v>
      </c>
      <c r="CJ80" s="9">
        <f t="shared" si="44"/>
        <v>640</v>
      </c>
      <c r="CK80" s="10">
        <f t="shared" si="45"/>
        <v>161221.41787500004</v>
      </c>
      <c r="CL80" s="10">
        <f t="shared" si="46"/>
        <v>291.12656249999998</v>
      </c>
      <c r="CM80" s="11" t="str">
        <f t="shared" si="47"/>
        <v xml:space="preserve"> </v>
      </c>
      <c r="CN80" s="12"/>
      <c r="CO80" s="12"/>
      <c r="CP80" s="12"/>
    </row>
    <row r="81" spans="1:94" x14ac:dyDescent="0.3">
      <c r="A81" s="22" t="s">
        <v>100</v>
      </c>
      <c r="B81" s="9">
        <v>4205823.5</v>
      </c>
      <c r="C81" s="9">
        <v>8252.4166666666661</v>
      </c>
      <c r="D81" s="9">
        <v>1005</v>
      </c>
      <c r="E81" s="10">
        <v>150656.36417910448</v>
      </c>
      <c r="F81" s="10">
        <v>295.60895522388057</v>
      </c>
      <c r="G81" s="11">
        <v>0.56416666666666659</v>
      </c>
      <c r="H81" s="9">
        <v>3326160.2727272729</v>
      </c>
      <c r="I81" s="9">
        <v>4784.818181818182</v>
      </c>
      <c r="J81" s="9">
        <v>763</v>
      </c>
      <c r="K81" s="10">
        <v>143857.52162516382</v>
      </c>
      <c r="L81" s="10">
        <v>206.94495412844037</v>
      </c>
      <c r="M81" s="11">
        <v>0.48545454545454542</v>
      </c>
      <c r="N81" s="12">
        <v>1385217</v>
      </c>
      <c r="O81" s="12">
        <v>2521</v>
      </c>
      <c r="P81" s="12">
        <v>39</v>
      </c>
      <c r="Q81" s="13">
        <f t="shared" si="48"/>
        <v>106555.15384615384</v>
      </c>
      <c r="R81" s="13">
        <f t="shared" si="49"/>
        <v>193.92307692307691</v>
      </c>
      <c r="S81" s="14"/>
      <c r="T81" s="12">
        <v>1481922</v>
      </c>
      <c r="U81" s="12">
        <v>3245</v>
      </c>
      <c r="V81" s="12">
        <v>47</v>
      </c>
      <c r="W81" s="13">
        <f t="shared" si="50"/>
        <v>94590.765957446798</v>
      </c>
      <c r="X81" s="13">
        <f t="shared" si="51"/>
        <v>207.12765957446808</v>
      </c>
      <c r="Y81" s="14"/>
      <c r="Z81" s="12">
        <v>2661974</v>
      </c>
      <c r="AA81" s="12">
        <v>3944</v>
      </c>
      <c r="AB81" s="12">
        <v>48</v>
      </c>
      <c r="AC81" s="13">
        <f t="shared" si="52"/>
        <v>166373.375</v>
      </c>
      <c r="AD81" s="13">
        <f t="shared" si="53"/>
        <v>246.5</v>
      </c>
      <c r="AE81" s="14"/>
      <c r="AF81" s="12">
        <v>1104051</v>
      </c>
      <c r="AG81" s="12">
        <v>2528</v>
      </c>
      <c r="AH81" s="12">
        <v>28</v>
      </c>
      <c r="AI81" s="13">
        <f t="shared" si="54"/>
        <v>118291.17857142857</v>
      </c>
      <c r="AJ81" s="13">
        <f t="shared" si="55"/>
        <v>270.85714285714289</v>
      </c>
      <c r="AK81" s="14"/>
      <c r="AL81" s="12">
        <v>3223924</v>
      </c>
      <c r="AM81" s="12">
        <v>8714</v>
      </c>
      <c r="AN81" s="12">
        <v>58</v>
      </c>
      <c r="AO81" s="13">
        <f t="shared" si="56"/>
        <v>166754.68965517241</v>
      </c>
      <c r="AP81" s="13">
        <f t="shared" si="57"/>
        <v>450.72413793103448</v>
      </c>
      <c r="AQ81" s="14"/>
      <c r="AR81" s="12">
        <v>3028222</v>
      </c>
      <c r="AS81" s="12">
        <v>4183</v>
      </c>
      <c r="AT81" s="12">
        <v>53</v>
      </c>
      <c r="AU81" s="13">
        <f t="shared" si="58"/>
        <v>171408.79245283018</v>
      </c>
      <c r="AV81" s="13">
        <f t="shared" si="59"/>
        <v>236.77358490566039</v>
      </c>
      <c r="AW81" s="14"/>
      <c r="AX81" s="12">
        <v>4752538.42</v>
      </c>
      <c r="AY81" s="12">
        <v>11677</v>
      </c>
      <c r="AZ81" s="12">
        <v>70</v>
      </c>
      <c r="BA81" s="13">
        <f t="shared" si="60"/>
        <v>203680.21799999999</v>
      </c>
      <c r="BB81" s="13">
        <f t="shared" si="61"/>
        <v>500.44285714285718</v>
      </c>
      <c r="BC81" s="14"/>
      <c r="BD81" s="12">
        <v>2909906.9599999995</v>
      </c>
      <c r="BE81" s="12">
        <v>5760</v>
      </c>
      <c r="BF81" s="12">
        <v>46</v>
      </c>
      <c r="BG81" s="13">
        <f t="shared" si="62"/>
        <v>189776.54086956519</v>
      </c>
      <c r="BH81" s="13">
        <f t="shared" si="63"/>
        <v>375.6521739130435</v>
      </c>
      <c r="BI81" s="14"/>
      <c r="BJ81" s="12">
        <v>3004366</v>
      </c>
      <c r="BK81" s="12">
        <v>5683</v>
      </c>
      <c r="BL81" s="12">
        <v>55</v>
      </c>
      <c r="BM81" s="13">
        <f t="shared" si="64"/>
        <v>163874.50909090909</v>
      </c>
      <c r="BN81" s="13">
        <f t="shared" si="65"/>
        <v>309.9818181818182</v>
      </c>
      <c r="BO81" s="14"/>
      <c r="BP81" s="12">
        <v>3308068</v>
      </c>
      <c r="BQ81" s="12">
        <v>6389</v>
      </c>
      <c r="BR81" s="12">
        <v>69</v>
      </c>
      <c r="BS81" s="13">
        <f t="shared" si="66"/>
        <v>143829.04347826086</v>
      </c>
      <c r="BT81" s="13">
        <f t="shared" si="67"/>
        <v>277.78260869565213</v>
      </c>
      <c r="BU81" s="14"/>
      <c r="BV81" s="12">
        <v>4498321</v>
      </c>
      <c r="BW81" s="12">
        <v>8141</v>
      </c>
      <c r="BX81" s="12">
        <v>70</v>
      </c>
      <c r="BY81" s="13">
        <f t="shared" si="68"/>
        <v>192785.1857142857</v>
      </c>
      <c r="BZ81" s="13">
        <f t="shared" si="69"/>
        <v>348.9</v>
      </c>
      <c r="CA81" s="14"/>
      <c r="CB81" s="12">
        <v>3088140</v>
      </c>
      <c r="CC81" s="12">
        <v>7556</v>
      </c>
      <c r="CD81" s="12">
        <v>51</v>
      </c>
      <c r="CE81" s="13">
        <f t="shared" si="70"/>
        <v>181655.29411764705</v>
      </c>
      <c r="CF81" s="13">
        <f t="shared" si="71"/>
        <v>444.47058823529414</v>
      </c>
      <c r="CG81" s="14" t="s">
        <v>51</v>
      </c>
      <c r="CH81" s="9">
        <f t="shared" si="43"/>
        <v>2870554.1983333337</v>
      </c>
      <c r="CI81" s="9">
        <f t="shared" si="43"/>
        <v>5861.75</v>
      </c>
      <c r="CJ81" s="9">
        <f t="shared" si="44"/>
        <v>634</v>
      </c>
      <c r="CK81" s="10">
        <f t="shared" si="45"/>
        <v>162996.76835962146</v>
      </c>
      <c r="CL81" s="10">
        <f t="shared" si="46"/>
        <v>332.84384858044166</v>
      </c>
      <c r="CM81" s="11" t="str">
        <f t="shared" si="47"/>
        <v xml:space="preserve"> </v>
      </c>
      <c r="CN81" s="12"/>
      <c r="CO81" s="12"/>
      <c r="CP81" s="12"/>
    </row>
    <row r="82" spans="1:94" x14ac:dyDescent="0.3">
      <c r="A82" s="22" t="s">
        <v>101</v>
      </c>
      <c r="B82" s="9">
        <v>2378479.0833333335</v>
      </c>
      <c r="C82" s="9">
        <v>2888.1666666666665</v>
      </c>
      <c r="D82" s="9">
        <v>997</v>
      </c>
      <c r="E82" s="10">
        <v>85882.895687061187</v>
      </c>
      <c r="F82" s="10">
        <v>104.28686058174523</v>
      </c>
      <c r="G82" s="11">
        <v>0.44250000000000006</v>
      </c>
      <c r="H82" s="9">
        <v>1780068.2727272727</v>
      </c>
      <c r="I82" s="9">
        <v>2151.818181818182</v>
      </c>
      <c r="J82" s="9">
        <v>727</v>
      </c>
      <c r="K82" s="10">
        <v>80800.898211829437</v>
      </c>
      <c r="L82" s="10">
        <v>97.675378266850061</v>
      </c>
      <c r="M82" s="11">
        <v>0.42727272727272736</v>
      </c>
      <c r="N82" s="12">
        <v>1404004.1400000001</v>
      </c>
      <c r="O82" s="12">
        <v>1917</v>
      </c>
      <c r="P82" s="12">
        <v>39</v>
      </c>
      <c r="Q82" s="13">
        <f t="shared" si="48"/>
        <v>108000.31846153847</v>
      </c>
      <c r="R82" s="13">
        <f t="shared" si="49"/>
        <v>147.46153846153845</v>
      </c>
      <c r="S82" s="14"/>
      <c r="T82" s="12">
        <v>1956390.4000000011</v>
      </c>
      <c r="U82" s="12">
        <v>2187</v>
      </c>
      <c r="V82" s="12">
        <v>55</v>
      </c>
      <c r="W82" s="13">
        <f t="shared" si="50"/>
        <v>106712.2036363637</v>
      </c>
      <c r="X82" s="13">
        <f t="shared" si="51"/>
        <v>119.2909090909091</v>
      </c>
      <c r="Y82" s="14"/>
      <c r="Z82" s="12">
        <v>1491429.7600000007</v>
      </c>
      <c r="AA82" s="12">
        <v>2313</v>
      </c>
      <c r="AB82" s="12">
        <v>47</v>
      </c>
      <c r="AC82" s="13">
        <f t="shared" si="52"/>
        <v>95197.644255319203</v>
      </c>
      <c r="AD82" s="13">
        <f t="shared" si="53"/>
        <v>147.63829787234042</v>
      </c>
      <c r="AE82" s="14"/>
      <c r="AF82" s="12">
        <v>1121512.82</v>
      </c>
      <c r="AG82" s="12">
        <v>1087</v>
      </c>
      <c r="AH82" s="12">
        <v>18</v>
      </c>
      <c r="AI82" s="13">
        <f t="shared" si="54"/>
        <v>186918.80333333334</v>
      </c>
      <c r="AJ82" s="13">
        <f t="shared" si="55"/>
        <v>181.16666666666666</v>
      </c>
      <c r="AK82" s="14"/>
      <c r="AL82" s="12">
        <v>1365712.8200000003</v>
      </c>
      <c r="AM82" s="12">
        <v>2250</v>
      </c>
      <c r="AN82" s="12">
        <v>30</v>
      </c>
      <c r="AO82" s="13">
        <f t="shared" si="56"/>
        <v>136571.28200000004</v>
      </c>
      <c r="AP82" s="13">
        <f t="shared" si="57"/>
        <v>225</v>
      </c>
      <c r="AQ82" s="14"/>
      <c r="AR82" s="12">
        <v>1912304.5800000005</v>
      </c>
      <c r="AS82" s="12">
        <v>3880</v>
      </c>
      <c r="AT82" s="12">
        <v>46</v>
      </c>
      <c r="AU82" s="13">
        <f t="shared" si="58"/>
        <v>124715.51608695656</v>
      </c>
      <c r="AV82" s="13">
        <f t="shared" si="59"/>
        <v>253.04347826086956</v>
      </c>
      <c r="AW82" s="14"/>
      <c r="AX82" s="12">
        <v>1517307.6900000006</v>
      </c>
      <c r="AY82" s="12">
        <v>2373</v>
      </c>
      <c r="AZ82" s="12">
        <v>41</v>
      </c>
      <c r="BA82" s="13">
        <f t="shared" si="60"/>
        <v>111022.51390243908</v>
      </c>
      <c r="BB82" s="13">
        <f t="shared" si="61"/>
        <v>173.63414634146341</v>
      </c>
      <c r="BC82" s="14"/>
      <c r="BD82" s="12">
        <v>277303.20000000007</v>
      </c>
      <c r="BE82" s="12">
        <v>443</v>
      </c>
      <c r="BF82" s="12">
        <v>10</v>
      </c>
      <c r="BG82" s="13">
        <f t="shared" si="62"/>
        <v>83190.960000000021</v>
      </c>
      <c r="BH82" s="13">
        <f t="shared" si="63"/>
        <v>132.89999999999998</v>
      </c>
      <c r="BI82" s="14"/>
      <c r="BJ82" s="12"/>
      <c r="BK82" s="12"/>
      <c r="BL82" s="12"/>
      <c r="BM82" s="13" t="str">
        <f t="shared" si="64"/>
        <v xml:space="preserve"> </v>
      </c>
      <c r="BN82" s="13" t="str">
        <f t="shared" si="65"/>
        <v xml:space="preserve"> </v>
      </c>
      <c r="BO82" s="14"/>
      <c r="BP82" s="12">
        <v>683972</v>
      </c>
      <c r="BQ82" s="12">
        <v>1256</v>
      </c>
      <c r="BR82" s="12">
        <v>11</v>
      </c>
      <c r="BS82" s="13">
        <f t="shared" si="66"/>
        <v>186537.81818181818</v>
      </c>
      <c r="BT82" s="13">
        <f t="shared" si="67"/>
        <v>342.54545454545456</v>
      </c>
      <c r="BU82" s="14"/>
      <c r="BV82" s="12">
        <v>3275170</v>
      </c>
      <c r="BW82" s="12">
        <v>6190</v>
      </c>
      <c r="BX82" s="12">
        <v>54</v>
      </c>
      <c r="BY82" s="13">
        <f t="shared" si="68"/>
        <v>181953.88888888891</v>
      </c>
      <c r="BZ82" s="13">
        <f t="shared" si="69"/>
        <v>343.88888888888891</v>
      </c>
      <c r="CA82" s="14"/>
      <c r="CB82" s="12">
        <v>3380574</v>
      </c>
      <c r="CC82" s="12">
        <v>6425</v>
      </c>
      <c r="CD82" s="12">
        <v>50</v>
      </c>
      <c r="CE82" s="13">
        <f t="shared" si="70"/>
        <v>202834.44</v>
      </c>
      <c r="CF82" s="13">
        <f t="shared" si="71"/>
        <v>385.5</v>
      </c>
      <c r="CG82" s="14" t="s">
        <v>51</v>
      </c>
      <c r="CH82" s="9">
        <f t="shared" si="43"/>
        <v>1671425.582727273</v>
      </c>
      <c r="CI82" s="9">
        <f t="shared" si="43"/>
        <v>2756.4545454545455</v>
      </c>
      <c r="CJ82" s="9">
        <f t="shared" si="44"/>
        <v>401</v>
      </c>
      <c r="CK82" s="10">
        <f t="shared" si="45"/>
        <v>137548.7387281796</v>
      </c>
      <c r="CL82" s="10">
        <f t="shared" si="46"/>
        <v>226.84039900249377</v>
      </c>
      <c r="CM82" s="11" t="str">
        <f t="shared" si="47"/>
        <v xml:space="preserve"> </v>
      </c>
      <c r="CN82" s="12"/>
      <c r="CO82" s="12"/>
      <c r="CP82" s="12"/>
    </row>
    <row r="83" spans="1:94" x14ac:dyDescent="0.3">
      <c r="A83" s="22" t="s">
        <v>102</v>
      </c>
      <c r="B83" s="9">
        <v>2661370.5</v>
      </c>
      <c r="C83" s="9">
        <v>3198.6666666666665</v>
      </c>
      <c r="D83" s="9">
        <v>999</v>
      </c>
      <c r="E83" s="10">
        <v>95905.243243243254</v>
      </c>
      <c r="F83" s="10">
        <v>115.26726726726727</v>
      </c>
      <c r="G83" s="11">
        <v>0.44166666666666671</v>
      </c>
      <c r="H83" s="9">
        <v>2099780.6363636362</v>
      </c>
      <c r="I83" s="9">
        <v>2663.6363636363635</v>
      </c>
      <c r="J83" s="9">
        <v>735</v>
      </c>
      <c r="K83" s="10">
        <v>94275.865306122447</v>
      </c>
      <c r="L83" s="10">
        <v>119.59183673469389</v>
      </c>
      <c r="M83" s="11">
        <v>0.4554545454545455</v>
      </c>
      <c r="N83" s="12">
        <v>446523.78000000038</v>
      </c>
      <c r="O83" s="12">
        <v>649</v>
      </c>
      <c r="P83" s="12">
        <v>26</v>
      </c>
      <c r="Q83" s="13">
        <f t="shared" si="48"/>
        <v>51521.974615384657</v>
      </c>
      <c r="R83" s="13">
        <f t="shared" si="49"/>
        <v>74.884615384615387</v>
      </c>
      <c r="S83" s="14"/>
      <c r="T83" s="12">
        <v>1427973.0600000005</v>
      </c>
      <c r="U83" s="12">
        <v>2022</v>
      </c>
      <c r="V83" s="12">
        <v>47</v>
      </c>
      <c r="W83" s="13">
        <f t="shared" si="50"/>
        <v>91147.216595744714</v>
      </c>
      <c r="X83" s="13">
        <f t="shared" si="51"/>
        <v>129.06382978723406</v>
      </c>
      <c r="Y83" s="14"/>
      <c r="Z83" s="12">
        <v>1641828.600000001</v>
      </c>
      <c r="AA83" s="12">
        <v>2772</v>
      </c>
      <c r="AB83" s="12">
        <v>50</v>
      </c>
      <c r="AC83" s="13">
        <f t="shared" si="52"/>
        <v>98509.716000000073</v>
      </c>
      <c r="AD83" s="13">
        <f t="shared" si="53"/>
        <v>166.32</v>
      </c>
      <c r="AE83" s="14"/>
      <c r="AF83" s="12">
        <v>1242821</v>
      </c>
      <c r="AG83" s="12">
        <v>1417</v>
      </c>
      <c r="AH83" s="12">
        <v>27</v>
      </c>
      <c r="AI83" s="13">
        <f t="shared" si="54"/>
        <v>138091.22222222222</v>
      </c>
      <c r="AJ83" s="13">
        <f t="shared" si="55"/>
        <v>157.44444444444446</v>
      </c>
      <c r="AK83" s="14"/>
      <c r="AL83" s="12">
        <v>2158656.7200000007</v>
      </c>
      <c r="AM83" s="12">
        <v>2199</v>
      </c>
      <c r="AN83" s="12">
        <v>46</v>
      </c>
      <c r="AO83" s="13">
        <f t="shared" si="56"/>
        <v>140781.96000000005</v>
      </c>
      <c r="AP83" s="13">
        <f t="shared" si="57"/>
        <v>143.41304347826087</v>
      </c>
      <c r="AQ83" s="14"/>
      <c r="AR83" s="12">
        <v>1914407.1400000008</v>
      </c>
      <c r="AS83" s="12">
        <v>2512</v>
      </c>
      <c r="AT83" s="12">
        <v>47</v>
      </c>
      <c r="AU83" s="13">
        <f t="shared" si="58"/>
        <v>122196.20042553198</v>
      </c>
      <c r="AV83" s="13">
        <f t="shared" si="59"/>
        <v>160.34042553191489</v>
      </c>
      <c r="AW83" s="14"/>
      <c r="AX83" s="12">
        <v>4008096</v>
      </c>
      <c r="AY83" s="12">
        <v>3978</v>
      </c>
      <c r="AZ83" s="12">
        <v>51</v>
      </c>
      <c r="BA83" s="13">
        <f t="shared" si="60"/>
        <v>235770.35294117648</v>
      </c>
      <c r="BB83" s="13">
        <f t="shared" si="61"/>
        <v>234</v>
      </c>
      <c r="BC83" s="14"/>
      <c r="BD83" s="12">
        <v>1570555.6799999997</v>
      </c>
      <c r="BE83" s="12">
        <v>4314</v>
      </c>
      <c r="BF83" s="12">
        <v>20</v>
      </c>
      <c r="BG83" s="13">
        <f t="shared" si="62"/>
        <v>235583.35199999996</v>
      </c>
      <c r="BH83" s="13">
        <f t="shared" si="63"/>
        <v>647.09999999999991</v>
      </c>
      <c r="BI83" s="14"/>
      <c r="BJ83" s="12"/>
      <c r="BK83" s="12"/>
      <c r="BL83" s="12"/>
      <c r="BM83" s="13" t="str">
        <f t="shared" si="64"/>
        <v xml:space="preserve"> </v>
      </c>
      <c r="BN83" s="13" t="str">
        <f t="shared" si="65"/>
        <v xml:space="preserve"> </v>
      </c>
      <c r="BO83" s="14"/>
      <c r="BP83" s="12">
        <v>297954.96999999997</v>
      </c>
      <c r="BQ83" s="12">
        <v>495</v>
      </c>
      <c r="BR83" s="12">
        <v>4</v>
      </c>
      <c r="BS83" s="13">
        <f t="shared" si="66"/>
        <v>223466.22749999998</v>
      </c>
      <c r="BT83" s="13">
        <f t="shared" si="67"/>
        <v>371.25</v>
      </c>
      <c r="BU83" s="14"/>
      <c r="BV83" s="12">
        <v>1646637.1600000001</v>
      </c>
      <c r="BW83" s="12">
        <v>2318</v>
      </c>
      <c r="BX83" s="12">
        <v>25</v>
      </c>
      <c r="BY83" s="13">
        <f t="shared" si="68"/>
        <v>197596.45920000004</v>
      </c>
      <c r="BZ83" s="13">
        <f t="shared" si="69"/>
        <v>278.15999999999997</v>
      </c>
      <c r="CA83" s="14"/>
      <c r="CB83" s="12">
        <v>2014540.1600000001</v>
      </c>
      <c r="CC83" s="12">
        <v>2672</v>
      </c>
      <c r="CD83" s="12">
        <v>37</v>
      </c>
      <c r="CE83" s="13">
        <f t="shared" si="70"/>
        <v>163341.09405405406</v>
      </c>
      <c r="CF83" s="13">
        <f t="shared" si="71"/>
        <v>216.64864864864865</v>
      </c>
      <c r="CG83" s="14" t="s">
        <v>51</v>
      </c>
      <c r="CH83" s="9">
        <f t="shared" ref="CH83:CI124" si="72">IFERROR(AVERAGE(N83,T83,Z83,AF83,AL83,AR83,AX83,BD83,BJ83,BP83,BV83,CB83)," ")</f>
        <v>1669999.4790909095</v>
      </c>
      <c r="CI83" s="9">
        <f t="shared" si="72"/>
        <v>2304.3636363636365</v>
      </c>
      <c r="CJ83" s="9">
        <f t="shared" si="44"/>
        <v>380</v>
      </c>
      <c r="CK83" s="10">
        <f t="shared" si="45"/>
        <v>145026.27055263161</v>
      </c>
      <c r="CL83" s="10">
        <f t="shared" si="46"/>
        <v>200.1157894736842</v>
      </c>
      <c r="CM83" s="11" t="str">
        <f t="shared" si="47"/>
        <v xml:space="preserve"> </v>
      </c>
      <c r="CN83" s="12"/>
      <c r="CO83" s="12"/>
      <c r="CP83" s="12"/>
    </row>
    <row r="84" spans="1:94" x14ac:dyDescent="0.3">
      <c r="A84" s="22" t="s">
        <v>103</v>
      </c>
      <c r="B84" s="9">
        <v>2575510.5833333335</v>
      </c>
      <c r="C84" s="9">
        <v>2307.6666666666665</v>
      </c>
      <c r="D84" s="9">
        <v>1015</v>
      </c>
      <c r="E84" s="10">
        <v>91348.158620689646</v>
      </c>
      <c r="F84" s="10">
        <v>81.848275862068959</v>
      </c>
      <c r="G84" s="11">
        <v>0.38250000000000006</v>
      </c>
      <c r="H84" s="9">
        <v>1823598.9090909092</v>
      </c>
      <c r="I84" s="9">
        <v>1995.6363636363637</v>
      </c>
      <c r="J84" s="9">
        <v>721</v>
      </c>
      <c r="K84" s="10">
        <v>83465.692094313446</v>
      </c>
      <c r="L84" s="10">
        <v>91.339805825242721</v>
      </c>
      <c r="M84" s="11">
        <v>0.42</v>
      </c>
      <c r="N84" s="12">
        <v>1785453.9400000011</v>
      </c>
      <c r="O84" s="12">
        <v>2641</v>
      </c>
      <c r="P84" s="12">
        <v>41</v>
      </c>
      <c r="Q84" s="13">
        <f t="shared" si="48"/>
        <v>130642.97121951228</v>
      </c>
      <c r="R84" s="13">
        <f t="shared" si="49"/>
        <v>193.2439024390244</v>
      </c>
      <c r="S84" s="14"/>
      <c r="T84" s="12">
        <v>1441718.8399999999</v>
      </c>
      <c r="U84" s="12">
        <v>1774</v>
      </c>
      <c r="V84" s="12">
        <v>34</v>
      </c>
      <c r="W84" s="13">
        <f t="shared" si="50"/>
        <v>127210.48588235294</v>
      </c>
      <c r="X84" s="13">
        <f t="shared" si="51"/>
        <v>156.52941176470588</v>
      </c>
      <c r="Y84" s="14"/>
      <c r="Z84" s="12">
        <v>1507004.1</v>
      </c>
      <c r="AA84" s="12">
        <v>1682</v>
      </c>
      <c r="AB84" s="12">
        <v>39</v>
      </c>
      <c r="AC84" s="13">
        <f t="shared" si="52"/>
        <v>115923.39230769232</v>
      </c>
      <c r="AD84" s="13">
        <f t="shared" si="53"/>
        <v>129.38461538461539</v>
      </c>
      <c r="AE84" s="14"/>
      <c r="AF84" s="12">
        <v>1749857.04</v>
      </c>
      <c r="AG84" s="12">
        <v>2244</v>
      </c>
      <c r="AH84" s="12">
        <v>28</v>
      </c>
      <c r="AI84" s="13">
        <f t="shared" si="54"/>
        <v>187484.68285714288</v>
      </c>
      <c r="AJ84" s="13">
        <f t="shared" si="55"/>
        <v>240.42857142857142</v>
      </c>
      <c r="AK84" s="14"/>
      <c r="AL84" s="12">
        <v>1065697.28</v>
      </c>
      <c r="AM84" s="12">
        <v>1778</v>
      </c>
      <c r="AN84" s="12">
        <v>23</v>
      </c>
      <c r="AO84" s="13">
        <f t="shared" si="56"/>
        <v>139003.99304347826</v>
      </c>
      <c r="AP84" s="13">
        <f t="shared" si="57"/>
        <v>231.91304347826087</v>
      </c>
      <c r="AQ84" s="14"/>
      <c r="AR84" s="12">
        <v>120147.12</v>
      </c>
      <c r="AS84" s="12">
        <v>155</v>
      </c>
      <c r="AT84" s="12">
        <v>4</v>
      </c>
      <c r="AU84" s="13">
        <f t="shared" si="58"/>
        <v>90110.34</v>
      </c>
      <c r="AV84" s="13">
        <f t="shared" si="59"/>
        <v>116.25</v>
      </c>
      <c r="AW84" s="14"/>
      <c r="AX84" s="12"/>
      <c r="AY84" s="12"/>
      <c r="AZ84" s="12"/>
      <c r="BA84" s="13" t="str">
        <f t="shared" si="60"/>
        <v xml:space="preserve"> </v>
      </c>
      <c r="BB84" s="13" t="str">
        <f t="shared" si="61"/>
        <v xml:space="preserve"> </v>
      </c>
      <c r="BC84" s="14"/>
      <c r="BD84" s="12"/>
      <c r="BE84" s="12"/>
      <c r="BF84" s="12"/>
      <c r="BG84" s="13" t="str">
        <f t="shared" si="62"/>
        <v xml:space="preserve"> </v>
      </c>
      <c r="BH84" s="13" t="str">
        <f t="shared" si="63"/>
        <v xml:space="preserve"> </v>
      </c>
      <c r="BI84" s="14"/>
      <c r="BJ84" s="12">
        <v>1460810</v>
      </c>
      <c r="BK84" s="12">
        <v>2017</v>
      </c>
      <c r="BL84" s="12">
        <v>16</v>
      </c>
      <c r="BM84" s="13">
        <f t="shared" si="64"/>
        <v>273901.875</v>
      </c>
      <c r="BN84" s="13">
        <f t="shared" si="65"/>
        <v>378.1875</v>
      </c>
      <c r="BO84" s="14"/>
      <c r="BP84" s="12">
        <v>1721169.1199999996</v>
      </c>
      <c r="BQ84" s="12">
        <v>1870</v>
      </c>
      <c r="BR84" s="12">
        <v>27</v>
      </c>
      <c r="BS84" s="13">
        <f t="shared" si="66"/>
        <v>191241.01333333328</v>
      </c>
      <c r="BT84" s="13">
        <f t="shared" si="67"/>
        <v>207.77777777777777</v>
      </c>
      <c r="BU84" s="14"/>
      <c r="BV84" s="12">
        <v>3074435</v>
      </c>
      <c r="BW84" s="12">
        <v>5157</v>
      </c>
      <c r="BX84" s="12">
        <v>52</v>
      </c>
      <c r="BY84" s="13">
        <f t="shared" si="68"/>
        <v>177371.25</v>
      </c>
      <c r="BZ84" s="13">
        <f t="shared" si="69"/>
        <v>297.51923076923077</v>
      </c>
      <c r="CA84" s="14"/>
      <c r="CB84" s="12">
        <v>3210428</v>
      </c>
      <c r="CC84" s="12">
        <v>4019</v>
      </c>
      <c r="CD84" s="12">
        <v>40</v>
      </c>
      <c r="CE84" s="13">
        <f t="shared" si="70"/>
        <v>240782.09999999998</v>
      </c>
      <c r="CF84" s="13">
        <f t="shared" si="71"/>
        <v>301.42499999999995</v>
      </c>
      <c r="CG84" s="14" t="s">
        <v>51</v>
      </c>
      <c r="CH84" s="9">
        <f t="shared" si="72"/>
        <v>1713672.0439999998</v>
      </c>
      <c r="CI84" s="9">
        <f t="shared" si="72"/>
        <v>2333.6999999999998</v>
      </c>
      <c r="CJ84" s="9">
        <f t="shared" si="44"/>
        <v>304</v>
      </c>
      <c r="CK84" s="10">
        <f t="shared" si="45"/>
        <v>169112.37276315788</v>
      </c>
      <c r="CL84" s="10">
        <f t="shared" si="46"/>
        <v>230.29934210526318</v>
      </c>
      <c r="CM84" s="11" t="str">
        <f t="shared" si="47"/>
        <v xml:space="preserve"> </v>
      </c>
      <c r="CN84" s="12"/>
      <c r="CO84" s="12"/>
      <c r="CP84" s="12"/>
    </row>
    <row r="85" spans="1:94" x14ac:dyDescent="0.3">
      <c r="A85" s="22" t="s">
        <v>104</v>
      </c>
      <c r="B85" s="9">
        <v>2719278.6666666665</v>
      </c>
      <c r="C85" s="9">
        <v>3449.4166666666665</v>
      </c>
      <c r="D85" s="9">
        <v>1014</v>
      </c>
      <c r="E85" s="10">
        <v>96542.43786982249</v>
      </c>
      <c r="F85" s="10">
        <v>122.46449704142012</v>
      </c>
      <c r="G85" s="11">
        <v>0.44999999999999996</v>
      </c>
      <c r="H85" s="9">
        <v>2163976</v>
      </c>
      <c r="I85" s="9">
        <v>1974.2727272727273</v>
      </c>
      <c r="J85" s="9">
        <v>800</v>
      </c>
      <c r="K85" s="10">
        <v>89264.01</v>
      </c>
      <c r="L85" s="10">
        <v>81.438749999999999</v>
      </c>
      <c r="M85" s="11">
        <v>0.3890909090909091</v>
      </c>
      <c r="N85" s="12">
        <v>1866835.0000000012</v>
      </c>
      <c r="O85" s="12">
        <v>2590</v>
      </c>
      <c r="P85" s="12">
        <v>41</v>
      </c>
      <c r="Q85" s="13">
        <f t="shared" si="48"/>
        <v>136597.68292682935</v>
      </c>
      <c r="R85" s="13">
        <f t="shared" si="49"/>
        <v>189.51219512195121</v>
      </c>
      <c r="S85" s="14"/>
      <c r="T85" s="12">
        <v>1569898.6999999997</v>
      </c>
      <c r="U85" s="12">
        <v>1853</v>
      </c>
      <c r="V85" s="12">
        <v>40</v>
      </c>
      <c r="W85" s="13">
        <f t="shared" si="50"/>
        <v>117742.40249999997</v>
      </c>
      <c r="X85" s="13">
        <f t="shared" si="51"/>
        <v>138.97500000000002</v>
      </c>
      <c r="Y85" s="14"/>
      <c r="Z85" s="12">
        <v>1959442</v>
      </c>
      <c r="AA85" s="12">
        <v>1643</v>
      </c>
      <c r="AB85" s="12">
        <v>40</v>
      </c>
      <c r="AC85" s="13">
        <f t="shared" si="52"/>
        <v>146958.15000000002</v>
      </c>
      <c r="AD85" s="13">
        <f t="shared" si="53"/>
        <v>123.22500000000001</v>
      </c>
      <c r="AE85" s="14"/>
      <c r="AF85" s="12">
        <v>2047262.2800000003</v>
      </c>
      <c r="AG85" s="12">
        <v>2688</v>
      </c>
      <c r="AH85" s="12">
        <v>40</v>
      </c>
      <c r="AI85" s="13">
        <f t="shared" si="54"/>
        <v>153544.67100000003</v>
      </c>
      <c r="AJ85" s="13">
        <f t="shared" si="55"/>
        <v>201.60000000000002</v>
      </c>
      <c r="AK85" s="14"/>
      <c r="AL85" s="12">
        <v>2284045.9600000004</v>
      </c>
      <c r="AM85" s="12">
        <v>3711</v>
      </c>
      <c r="AN85" s="12">
        <v>50</v>
      </c>
      <c r="AO85" s="13">
        <f t="shared" si="56"/>
        <v>137042.75760000004</v>
      </c>
      <c r="AP85" s="13">
        <f t="shared" si="57"/>
        <v>222.66</v>
      </c>
      <c r="AQ85" s="14"/>
      <c r="AR85" s="12">
        <v>4454166.28</v>
      </c>
      <c r="AS85" s="12">
        <v>4148</v>
      </c>
      <c r="AT85" s="12">
        <v>53</v>
      </c>
      <c r="AU85" s="13">
        <f t="shared" si="58"/>
        <v>252122.61962264153</v>
      </c>
      <c r="AV85" s="13">
        <f t="shared" si="59"/>
        <v>234.79245283018869</v>
      </c>
      <c r="AW85" s="14"/>
      <c r="AX85" s="12">
        <v>3495343.3999999934</v>
      </c>
      <c r="AY85" s="12">
        <v>3527</v>
      </c>
      <c r="AZ85" s="12">
        <v>69</v>
      </c>
      <c r="BA85" s="13">
        <f t="shared" si="60"/>
        <v>151971.45217391275</v>
      </c>
      <c r="BB85" s="13">
        <f t="shared" si="61"/>
        <v>153.34782608695653</v>
      </c>
      <c r="BC85" s="14"/>
      <c r="BD85" s="12">
        <v>558161.14000000013</v>
      </c>
      <c r="BE85" s="12">
        <v>554</v>
      </c>
      <c r="BF85" s="12">
        <v>18</v>
      </c>
      <c r="BG85" s="13">
        <f t="shared" si="62"/>
        <v>93026.856666666688</v>
      </c>
      <c r="BH85" s="13">
        <f t="shared" si="63"/>
        <v>92.333333333333343</v>
      </c>
      <c r="BI85" s="14"/>
      <c r="BJ85" s="12"/>
      <c r="BK85" s="12"/>
      <c r="BL85" s="12"/>
      <c r="BM85" s="13" t="str">
        <f t="shared" si="64"/>
        <v xml:space="preserve"> </v>
      </c>
      <c r="BN85" s="13" t="str">
        <f t="shared" si="65"/>
        <v xml:space="preserve"> </v>
      </c>
      <c r="BO85" s="14"/>
      <c r="BP85" s="12">
        <v>3790015</v>
      </c>
      <c r="BQ85" s="12">
        <v>3887</v>
      </c>
      <c r="BR85" s="12">
        <v>38</v>
      </c>
      <c r="BS85" s="13">
        <f t="shared" si="66"/>
        <v>299211.71052631579</v>
      </c>
      <c r="BT85" s="13">
        <f t="shared" si="67"/>
        <v>306.86842105263156</v>
      </c>
      <c r="BU85" s="14"/>
      <c r="BV85" s="12">
        <v>4231638</v>
      </c>
      <c r="BW85" s="12">
        <v>5000</v>
      </c>
      <c r="BX85" s="12">
        <v>48</v>
      </c>
      <c r="BY85" s="13">
        <f t="shared" si="68"/>
        <v>264477.375</v>
      </c>
      <c r="BZ85" s="13">
        <f t="shared" si="69"/>
        <v>312.5</v>
      </c>
      <c r="CA85" s="14"/>
      <c r="CB85" s="12">
        <v>5084913.5999999996</v>
      </c>
      <c r="CC85" s="12">
        <v>6330</v>
      </c>
      <c r="CD85" s="12">
        <v>52</v>
      </c>
      <c r="CE85" s="13">
        <f t="shared" si="70"/>
        <v>293360.39999999997</v>
      </c>
      <c r="CF85" s="13">
        <f t="shared" si="71"/>
        <v>365.19230769230768</v>
      </c>
      <c r="CG85" s="14" t="s">
        <v>51</v>
      </c>
      <c r="CH85" s="9">
        <f t="shared" si="72"/>
        <v>2849247.3963636365</v>
      </c>
      <c r="CI85" s="9">
        <f t="shared" si="72"/>
        <v>3266.4545454545455</v>
      </c>
      <c r="CJ85" s="9">
        <f t="shared" si="44"/>
        <v>489</v>
      </c>
      <c r="CK85" s="10">
        <f t="shared" si="45"/>
        <v>192280.49914110429</v>
      </c>
      <c r="CL85" s="10">
        <f t="shared" si="46"/>
        <v>220.43558282208591</v>
      </c>
      <c r="CM85" s="11" t="str">
        <f t="shared" si="47"/>
        <v xml:space="preserve"> </v>
      </c>
      <c r="CN85" s="12"/>
      <c r="CO85" s="12"/>
      <c r="CP85" s="12"/>
    </row>
    <row r="86" spans="1:94" x14ac:dyDescent="0.3">
      <c r="A86" s="22" t="s">
        <v>105</v>
      </c>
      <c r="B86" s="9">
        <v>4524097.166666667</v>
      </c>
      <c r="C86" s="9">
        <v>11730.333333333334</v>
      </c>
      <c r="D86" s="9">
        <v>916</v>
      </c>
      <c r="E86" s="10">
        <v>177802.94541484717</v>
      </c>
      <c r="F86" s="10">
        <v>461.0174672489083</v>
      </c>
      <c r="G86" s="11">
        <v>0.64666666666666661</v>
      </c>
      <c r="H86" s="9">
        <v>3844017.6363636362</v>
      </c>
      <c r="I86" s="9">
        <v>8775.181818181818</v>
      </c>
      <c r="J86" s="9">
        <v>792</v>
      </c>
      <c r="K86" s="10">
        <v>160167.40151515152</v>
      </c>
      <c r="L86" s="10">
        <v>365.63257575757575</v>
      </c>
      <c r="M86" s="11">
        <v>0.60181818181818192</v>
      </c>
      <c r="N86" s="12">
        <v>2305834</v>
      </c>
      <c r="O86" s="12">
        <v>6486</v>
      </c>
      <c r="P86" s="12">
        <v>44</v>
      </c>
      <c r="Q86" s="13">
        <f t="shared" si="48"/>
        <v>157215.95454545456</v>
      </c>
      <c r="R86" s="13">
        <f t="shared" si="49"/>
        <v>442.22727272727275</v>
      </c>
      <c r="S86" s="14"/>
      <c r="T86" s="12">
        <v>3721308</v>
      </c>
      <c r="U86" s="12">
        <v>8516</v>
      </c>
      <c r="V86" s="12">
        <v>64</v>
      </c>
      <c r="W86" s="13">
        <f t="shared" si="50"/>
        <v>174436.3125</v>
      </c>
      <c r="X86" s="13">
        <f t="shared" si="51"/>
        <v>399.1875</v>
      </c>
      <c r="Y86" s="14"/>
      <c r="Z86" s="12">
        <v>3388756</v>
      </c>
      <c r="AA86" s="12">
        <v>7446</v>
      </c>
      <c r="AB86" s="12">
        <v>63</v>
      </c>
      <c r="AC86" s="13">
        <f t="shared" si="52"/>
        <v>161369.33333333334</v>
      </c>
      <c r="AD86" s="13">
        <f t="shared" si="53"/>
        <v>354.57142857142856</v>
      </c>
      <c r="AE86" s="14"/>
      <c r="AF86" s="12">
        <v>1904985</v>
      </c>
      <c r="AG86" s="12">
        <v>5750</v>
      </c>
      <c r="AH86" s="12">
        <v>35</v>
      </c>
      <c r="AI86" s="13">
        <f t="shared" si="54"/>
        <v>163284.42857142858</v>
      </c>
      <c r="AJ86" s="13">
        <f t="shared" si="55"/>
        <v>492.85714285714283</v>
      </c>
      <c r="AK86" s="14"/>
      <c r="AL86" s="12">
        <v>4615416</v>
      </c>
      <c r="AM86" s="12">
        <v>12152</v>
      </c>
      <c r="AN86" s="12">
        <v>72</v>
      </c>
      <c r="AO86" s="13">
        <f t="shared" si="56"/>
        <v>192309</v>
      </c>
      <c r="AP86" s="13">
        <f t="shared" si="57"/>
        <v>506.33333333333331</v>
      </c>
      <c r="AQ86" s="14"/>
      <c r="AR86" s="12">
        <v>2578838</v>
      </c>
      <c r="AS86" s="12">
        <v>7178</v>
      </c>
      <c r="AT86" s="12">
        <v>50</v>
      </c>
      <c r="AU86" s="13">
        <f t="shared" si="58"/>
        <v>154730.28</v>
      </c>
      <c r="AV86" s="13">
        <f t="shared" si="59"/>
        <v>430.68</v>
      </c>
      <c r="AW86" s="14"/>
      <c r="AX86" s="12">
        <v>3884405</v>
      </c>
      <c r="AY86" s="12">
        <v>6842</v>
      </c>
      <c r="AZ86" s="12">
        <v>63</v>
      </c>
      <c r="BA86" s="13">
        <f t="shared" si="60"/>
        <v>184971.66666666666</v>
      </c>
      <c r="BB86" s="13">
        <f t="shared" si="61"/>
        <v>325.80952380952385</v>
      </c>
      <c r="BC86" s="14"/>
      <c r="BD86" s="12">
        <v>3389867</v>
      </c>
      <c r="BE86" s="12">
        <v>10047</v>
      </c>
      <c r="BF86" s="12">
        <v>66</v>
      </c>
      <c r="BG86" s="13">
        <f t="shared" si="62"/>
        <v>154084.86363636365</v>
      </c>
      <c r="BH86" s="13">
        <f t="shared" si="63"/>
        <v>456.68181818181813</v>
      </c>
      <c r="BI86" s="14"/>
      <c r="BJ86" s="12">
        <v>3611776</v>
      </c>
      <c r="BK86" s="12">
        <v>11386</v>
      </c>
      <c r="BL86" s="12">
        <v>73</v>
      </c>
      <c r="BM86" s="13">
        <f t="shared" si="64"/>
        <v>148429.15068493152</v>
      </c>
      <c r="BN86" s="13">
        <f t="shared" si="65"/>
        <v>467.91780821917808</v>
      </c>
      <c r="BO86" s="14"/>
      <c r="BP86" s="12">
        <v>3778958</v>
      </c>
      <c r="BQ86" s="12">
        <v>11097</v>
      </c>
      <c r="BR86" s="12">
        <v>73</v>
      </c>
      <c r="BS86" s="13">
        <f t="shared" si="66"/>
        <v>155299.64383561644</v>
      </c>
      <c r="BT86" s="13">
        <f t="shared" si="67"/>
        <v>456.04109589041093</v>
      </c>
      <c r="BU86" s="14"/>
      <c r="BV86" s="12">
        <v>4149047</v>
      </c>
      <c r="BW86" s="12">
        <v>12002</v>
      </c>
      <c r="BX86" s="12">
        <v>74</v>
      </c>
      <c r="BY86" s="13">
        <f t="shared" si="68"/>
        <v>168204.60810810811</v>
      </c>
      <c r="BZ86" s="13">
        <f t="shared" si="69"/>
        <v>486.56756756756761</v>
      </c>
      <c r="CA86" s="14"/>
      <c r="CB86" s="12">
        <v>2609076</v>
      </c>
      <c r="CC86" s="12">
        <v>7449</v>
      </c>
      <c r="CD86" s="12">
        <v>56</v>
      </c>
      <c r="CE86" s="13">
        <f t="shared" si="70"/>
        <v>139771.92857142858</v>
      </c>
      <c r="CF86" s="13">
        <f t="shared" si="71"/>
        <v>399.05357142857144</v>
      </c>
      <c r="CG86" s="14" t="s">
        <v>51</v>
      </c>
      <c r="CH86" s="9">
        <f t="shared" si="72"/>
        <v>3328188.8333333335</v>
      </c>
      <c r="CI86" s="9">
        <f t="shared" si="72"/>
        <v>8862.5833333333339</v>
      </c>
      <c r="CJ86" s="9">
        <f t="shared" si="44"/>
        <v>733</v>
      </c>
      <c r="CK86" s="10">
        <f t="shared" si="45"/>
        <v>163458.11459754434</v>
      </c>
      <c r="CL86" s="10">
        <f t="shared" si="46"/>
        <v>435.27012278308325</v>
      </c>
      <c r="CM86" s="11" t="str">
        <f t="shared" si="47"/>
        <v xml:space="preserve"> </v>
      </c>
      <c r="CN86" s="12"/>
      <c r="CO86" s="12"/>
      <c r="CP86" s="12"/>
    </row>
    <row r="87" spans="1:94" x14ac:dyDescent="0.3">
      <c r="A87" s="23" t="s">
        <v>106</v>
      </c>
      <c r="B87" s="9">
        <v>4934824.666666667</v>
      </c>
      <c r="C87" s="9">
        <v>9993.1666666666661</v>
      </c>
      <c r="D87" s="9">
        <v>914</v>
      </c>
      <c r="E87" s="10">
        <v>194369.46170678336</v>
      </c>
      <c r="F87" s="10">
        <v>393.60393873085337</v>
      </c>
      <c r="G87" s="11">
        <v>0.57666666666666666</v>
      </c>
      <c r="H87" s="9">
        <v>4352482.2727272725</v>
      </c>
      <c r="I87" s="9">
        <v>9462.636363636364</v>
      </c>
      <c r="J87" s="9">
        <v>811</v>
      </c>
      <c r="K87" s="10">
        <v>177104.70406905055</v>
      </c>
      <c r="L87" s="10">
        <v>385.03945745992598</v>
      </c>
      <c r="M87" s="11">
        <v>0.59090909090909094</v>
      </c>
      <c r="N87" s="12">
        <v>2903914</v>
      </c>
      <c r="O87" s="12">
        <v>7279</v>
      </c>
      <c r="P87" s="12">
        <v>45</v>
      </c>
      <c r="Q87" s="13">
        <f t="shared" si="48"/>
        <v>193594.26666666666</v>
      </c>
      <c r="R87" s="13">
        <f t="shared" si="49"/>
        <v>485.26666666666665</v>
      </c>
      <c r="S87" s="14"/>
      <c r="T87" s="12">
        <v>3699799</v>
      </c>
      <c r="U87" s="12">
        <v>10089</v>
      </c>
      <c r="V87" s="12">
        <v>60</v>
      </c>
      <c r="W87" s="13">
        <f t="shared" si="50"/>
        <v>184989.95</v>
      </c>
      <c r="X87" s="13">
        <f t="shared" si="51"/>
        <v>504.45000000000005</v>
      </c>
      <c r="Y87" s="14"/>
      <c r="Z87" s="12">
        <v>3462578</v>
      </c>
      <c r="AA87" s="12">
        <v>8466</v>
      </c>
      <c r="AB87" s="12">
        <v>53</v>
      </c>
      <c r="AC87" s="13">
        <f t="shared" si="52"/>
        <v>195994.98113207548</v>
      </c>
      <c r="AD87" s="13">
        <f t="shared" si="53"/>
        <v>479.20754716981128</v>
      </c>
      <c r="AE87" s="14"/>
      <c r="AF87" s="12">
        <v>1937143</v>
      </c>
      <c r="AG87" s="12">
        <v>5874</v>
      </c>
      <c r="AH87" s="12">
        <v>36</v>
      </c>
      <c r="AI87" s="13">
        <f t="shared" si="54"/>
        <v>161428.58333333334</v>
      </c>
      <c r="AJ87" s="13">
        <f t="shared" si="55"/>
        <v>489.5</v>
      </c>
      <c r="AK87" s="14"/>
      <c r="AL87" s="12">
        <v>5202666</v>
      </c>
      <c r="AM87" s="12">
        <v>14553</v>
      </c>
      <c r="AN87" s="12">
        <v>73</v>
      </c>
      <c r="AO87" s="13">
        <f t="shared" si="56"/>
        <v>213808.19178082189</v>
      </c>
      <c r="AP87" s="13">
        <f t="shared" si="57"/>
        <v>598.06849315068484</v>
      </c>
      <c r="AQ87" s="14"/>
      <c r="AR87" s="12">
        <v>3906136</v>
      </c>
      <c r="AS87" s="12">
        <v>10809</v>
      </c>
      <c r="AT87" s="12">
        <v>62</v>
      </c>
      <c r="AU87" s="13">
        <f t="shared" si="58"/>
        <v>189006.5806451613</v>
      </c>
      <c r="AV87" s="13">
        <f t="shared" si="59"/>
        <v>523.01612903225805</v>
      </c>
      <c r="AW87" s="14"/>
      <c r="AX87" s="12">
        <v>5125003</v>
      </c>
      <c r="AY87" s="12">
        <v>12762</v>
      </c>
      <c r="AZ87" s="12">
        <v>76</v>
      </c>
      <c r="BA87" s="13">
        <f t="shared" si="60"/>
        <v>202302.75</v>
      </c>
      <c r="BB87" s="13">
        <f t="shared" si="61"/>
        <v>503.76315789473688</v>
      </c>
      <c r="BC87" s="14"/>
      <c r="BD87" s="12">
        <v>4042537</v>
      </c>
      <c r="BE87" s="12">
        <v>10232</v>
      </c>
      <c r="BF87" s="12">
        <v>67</v>
      </c>
      <c r="BG87" s="13">
        <f t="shared" si="62"/>
        <v>181009.11940298509</v>
      </c>
      <c r="BH87" s="13">
        <f t="shared" si="63"/>
        <v>458.14925373134332</v>
      </c>
      <c r="BI87" s="14"/>
      <c r="BJ87" s="12">
        <v>3451704</v>
      </c>
      <c r="BK87" s="12">
        <v>10807</v>
      </c>
      <c r="BL87" s="12">
        <v>66</v>
      </c>
      <c r="BM87" s="13">
        <f t="shared" si="64"/>
        <v>156895.63636363635</v>
      </c>
      <c r="BN87" s="13">
        <f t="shared" si="65"/>
        <v>491.22727272727275</v>
      </c>
      <c r="BO87" s="14"/>
      <c r="BP87" s="12">
        <v>4591119</v>
      </c>
      <c r="BQ87" s="12">
        <v>13476</v>
      </c>
      <c r="BR87" s="12">
        <v>66</v>
      </c>
      <c r="BS87" s="13">
        <f t="shared" si="66"/>
        <v>208687.22727272726</v>
      </c>
      <c r="BT87" s="13">
        <f t="shared" si="67"/>
        <v>612.5454545454545</v>
      </c>
      <c r="BU87" s="14"/>
      <c r="BV87" s="12">
        <v>4219811</v>
      </c>
      <c r="BW87" s="12">
        <v>12458</v>
      </c>
      <c r="BX87" s="12">
        <v>78</v>
      </c>
      <c r="BY87" s="13">
        <f t="shared" si="68"/>
        <v>162300.42307692306</v>
      </c>
      <c r="BZ87" s="13">
        <f t="shared" si="69"/>
        <v>479.15384615384619</v>
      </c>
      <c r="CA87" s="14"/>
      <c r="CB87" s="12">
        <v>3355544</v>
      </c>
      <c r="CC87" s="12">
        <v>8951</v>
      </c>
      <c r="CD87" s="12">
        <v>65</v>
      </c>
      <c r="CE87" s="13">
        <f t="shared" si="70"/>
        <v>154871.26153846155</v>
      </c>
      <c r="CF87" s="13">
        <f t="shared" si="71"/>
        <v>413.12307692307689</v>
      </c>
      <c r="CG87" s="14" t="s">
        <v>51</v>
      </c>
      <c r="CH87" s="9">
        <f t="shared" si="72"/>
        <v>3824829.5</v>
      </c>
      <c r="CI87" s="9">
        <f t="shared" si="72"/>
        <v>10479.666666666666</v>
      </c>
      <c r="CJ87" s="9">
        <f t="shared" si="44"/>
        <v>747</v>
      </c>
      <c r="CK87" s="10">
        <f t="shared" si="45"/>
        <v>184329.13253012049</v>
      </c>
      <c r="CL87" s="10">
        <f t="shared" si="46"/>
        <v>505.04417670682733</v>
      </c>
      <c r="CM87" s="11" t="str">
        <f t="shared" si="47"/>
        <v xml:space="preserve"> </v>
      </c>
      <c r="CN87" s="12"/>
      <c r="CO87" s="12"/>
      <c r="CP87" s="12"/>
    </row>
    <row r="88" spans="1:94" x14ac:dyDescent="0.3">
      <c r="A88" s="23" t="s">
        <v>107</v>
      </c>
      <c r="B88" s="9">
        <v>4346621.25</v>
      </c>
      <c r="C88" s="9">
        <v>12546.166666666666</v>
      </c>
      <c r="D88" s="9">
        <v>916</v>
      </c>
      <c r="E88" s="10">
        <v>170827.90938864628</v>
      </c>
      <c r="F88" s="10">
        <v>493.08078602620088</v>
      </c>
      <c r="G88" s="11">
        <v>0.68583333333333318</v>
      </c>
      <c r="H88" s="9">
        <v>3837255.9090909092</v>
      </c>
      <c r="I88" s="9">
        <v>9134.2727272727279</v>
      </c>
      <c r="J88" s="9">
        <v>820</v>
      </c>
      <c r="K88" s="10">
        <v>154426.15243902439</v>
      </c>
      <c r="L88" s="10">
        <v>367.5987804878049</v>
      </c>
      <c r="M88" s="11">
        <v>0.61363636363636365</v>
      </c>
      <c r="N88" s="12">
        <v>2936751</v>
      </c>
      <c r="O88" s="12">
        <v>6867</v>
      </c>
      <c r="P88" s="12">
        <v>45</v>
      </c>
      <c r="Q88" s="13">
        <f t="shared" si="48"/>
        <v>195783.4</v>
      </c>
      <c r="R88" s="13">
        <f t="shared" si="49"/>
        <v>457.79999999999995</v>
      </c>
      <c r="S88" s="14"/>
      <c r="T88" s="12">
        <v>3015913</v>
      </c>
      <c r="U88" s="12">
        <v>8884</v>
      </c>
      <c r="V88" s="12">
        <v>57</v>
      </c>
      <c r="W88" s="13">
        <f t="shared" si="50"/>
        <v>158732.26315789475</v>
      </c>
      <c r="X88" s="13">
        <f t="shared" si="51"/>
        <v>467.57894736842104</v>
      </c>
      <c r="Y88" s="14"/>
      <c r="Z88" s="12">
        <v>3852411</v>
      </c>
      <c r="AA88" s="12">
        <v>11507</v>
      </c>
      <c r="AB88" s="12">
        <v>69</v>
      </c>
      <c r="AC88" s="13">
        <f t="shared" si="52"/>
        <v>167496.13043478262</v>
      </c>
      <c r="AD88" s="13">
        <f t="shared" si="53"/>
        <v>500.304347826087</v>
      </c>
      <c r="AE88" s="14"/>
      <c r="AF88" s="12">
        <v>2251316</v>
      </c>
      <c r="AG88" s="12">
        <v>6805</v>
      </c>
      <c r="AH88" s="12">
        <v>39</v>
      </c>
      <c r="AI88" s="13">
        <f t="shared" si="54"/>
        <v>173178.15384615384</v>
      </c>
      <c r="AJ88" s="13">
        <f t="shared" si="55"/>
        <v>523.46153846153845</v>
      </c>
      <c r="AK88" s="14"/>
      <c r="AL88" s="12">
        <v>5035631</v>
      </c>
      <c r="AM88" s="12">
        <v>14562</v>
      </c>
      <c r="AN88" s="12">
        <v>78</v>
      </c>
      <c r="AO88" s="13">
        <f t="shared" si="56"/>
        <v>193678.11538461538</v>
      </c>
      <c r="AP88" s="13">
        <f t="shared" si="57"/>
        <v>560.07692307692309</v>
      </c>
      <c r="AQ88" s="14"/>
      <c r="AR88" s="12">
        <v>3314323</v>
      </c>
      <c r="AS88" s="12">
        <v>8694</v>
      </c>
      <c r="AT88" s="12">
        <v>55</v>
      </c>
      <c r="AU88" s="13">
        <f t="shared" si="58"/>
        <v>180781.25454545455</v>
      </c>
      <c r="AV88" s="13">
        <f t="shared" si="59"/>
        <v>474.21818181818179</v>
      </c>
      <c r="AW88" s="14"/>
      <c r="AX88" s="12">
        <v>4655670</v>
      </c>
      <c r="AY88" s="12">
        <v>8463</v>
      </c>
      <c r="AZ88" s="12">
        <v>70</v>
      </c>
      <c r="BA88" s="13">
        <f t="shared" si="60"/>
        <v>199528.71428571432</v>
      </c>
      <c r="BB88" s="13">
        <f t="shared" si="61"/>
        <v>362.70000000000005</v>
      </c>
      <c r="BC88" s="14"/>
      <c r="BD88" s="12">
        <v>2775031</v>
      </c>
      <c r="BE88" s="12">
        <v>7391</v>
      </c>
      <c r="BF88" s="12">
        <v>63</v>
      </c>
      <c r="BG88" s="13">
        <f t="shared" si="62"/>
        <v>132144.33333333331</v>
      </c>
      <c r="BH88" s="13">
        <f t="shared" si="63"/>
        <v>351.95238095238096</v>
      </c>
      <c r="BI88" s="14"/>
      <c r="BJ88" s="12">
        <v>3174472</v>
      </c>
      <c r="BK88" s="12">
        <v>9179</v>
      </c>
      <c r="BL88" s="12">
        <v>73</v>
      </c>
      <c r="BM88" s="13">
        <f t="shared" si="64"/>
        <v>130457.75342465754</v>
      </c>
      <c r="BN88" s="13">
        <f t="shared" si="65"/>
        <v>377.21917808219177</v>
      </c>
      <c r="BO88" s="14"/>
      <c r="BP88" s="12">
        <v>5369802</v>
      </c>
      <c r="BQ88" s="12">
        <v>12679</v>
      </c>
      <c r="BR88" s="12">
        <v>77</v>
      </c>
      <c r="BS88" s="13">
        <f t="shared" si="66"/>
        <v>209213.06493506493</v>
      </c>
      <c r="BT88" s="13">
        <f t="shared" si="67"/>
        <v>493.98701298701292</v>
      </c>
      <c r="BU88" s="14"/>
      <c r="BV88" s="12">
        <v>3572818</v>
      </c>
      <c r="BW88" s="12">
        <v>10640</v>
      </c>
      <c r="BX88" s="12">
        <v>70</v>
      </c>
      <c r="BY88" s="13">
        <f t="shared" si="68"/>
        <v>153120.77142857143</v>
      </c>
      <c r="BZ88" s="13">
        <f t="shared" si="69"/>
        <v>456</v>
      </c>
      <c r="CA88" s="14"/>
      <c r="CB88" s="12">
        <v>3407933</v>
      </c>
      <c r="CC88" s="12">
        <v>10436</v>
      </c>
      <c r="CD88" s="12">
        <v>71</v>
      </c>
      <c r="CE88" s="13">
        <f t="shared" si="70"/>
        <v>143997.1690140845</v>
      </c>
      <c r="CF88" s="13">
        <f t="shared" si="71"/>
        <v>440.95774647887328</v>
      </c>
      <c r="CG88" s="14" t="s">
        <v>51</v>
      </c>
      <c r="CH88" s="9">
        <f t="shared" si="72"/>
        <v>3613505.9166666665</v>
      </c>
      <c r="CI88" s="9">
        <f t="shared" si="72"/>
        <v>9675.5833333333339</v>
      </c>
      <c r="CJ88" s="9">
        <f t="shared" si="44"/>
        <v>767</v>
      </c>
      <c r="CK88" s="10">
        <f t="shared" si="45"/>
        <v>169603.92829204694</v>
      </c>
      <c r="CL88" s="10">
        <f t="shared" si="46"/>
        <v>454.13428943937419</v>
      </c>
      <c r="CM88" s="11" t="str">
        <f t="shared" si="47"/>
        <v xml:space="preserve"> </v>
      </c>
      <c r="CN88" s="12"/>
      <c r="CO88" s="12"/>
      <c r="CP88" s="12"/>
    </row>
    <row r="89" spans="1:94" x14ac:dyDescent="0.3">
      <c r="A89" s="23" t="s">
        <v>108</v>
      </c>
      <c r="B89" s="9">
        <v>4530257.5</v>
      </c>
      <c r="C89" s="9">
        <v>8241.8333333333339</v>
      </c>
      <c r="D89" s="9">
        <v>990</v>
      </c>
      <c r="E89" s="10">
        <v>164736.63636363635</v>
      </c>
      <c r="F89" s="10">
        <v>299.70303030303029</v>
      </c>
      <c r="G89" s="11">
        <v>0.54166666666666663</v>
      </c>
      <c r="H89" s="9">
        <v>3063851.3636363638</v>
      </c>
      <c r="I89" s="9">
        <v>5438.545454545455</v>
      </c>
      <c r="J89" s="9">
        <v>768</v>
      </c>
      <c r="K89" s="10">
        <v>131649.86328125</v>
      </c>
      <c r="L89" s="10">
        <v>233.6875</v>
      </c>
      <c r="M89" s="11">
        <v>0.53545454545454552</v>
      </c>
      <c r="N89" s="12">
        <v>1909680</v>
      </c>
      <c r="O89" s="12">
        <v>4306</v>
      </c>
      <c r="P89" s="12">
        <v>40</v>
      </c>
      <c r="Q89" s="13">
        <f t="shared" si="48"/>
        <v>143226</v>
      </c>
      <c r="R89" s="13">
        <f t="shared" si="49"/>
        <v>322.95000000000005</v>
      </c>
      <c r="S89" s="14"/>
      <c r="T89" s="12">
        <v>2339038</v>
      </c>
      <c r="U89" s="12">
        <v>4816</v>
      </c>
      <c r="V89" s="12">
        <v>49</v>
      </c>
      <c r="W89" s="13">
        <f t="shared" si="50"/>
        <v>143206.40816326533</v>
      </c>
      <c r="X89" s="13">
        <f t="shared" si="51"/>
        <v>294.85714285714289</v>
      </c>
      <c r="Y89" s="14"/>
      <c r="Z89" s="12">
        <v>1827080</v>
      </c>
      <c r="AA89" s="12">
        <v>4137</v>
      </c>
      <c r="AB89" s="12">
        <v>51</v>
      </c>
      <c r="AC89" s="13">
        <f t="shared" si="52"/>
        <v>107475.29411764705</v>
      </c>
      <c r="AD89" s="13">
        <f t="shared" si="53"/>
        <v>243.35294117647061</v>
      </c>
      <c r="AE89" s="14"/>
      <c r="AF89" s="12">
        <v>1397694</v>
      </c>
      <c r="AG89" s="12">
        <v>3509</v>
      </c>
      <c r="AH89" s="12">
        <v>33</v>
      </c>
      <c r="AI89" s="13">
        <f t="shared" si="54"/>
        <v>127063.09090909091</v>
      </c>
      <c r="AJ89" s="13">
        <f t="shared" si="55"/>
        <v>319</v>
      </c>
      <c r="AK89" s="14"/>
      <c r="AL89" s="12">
        <v>2618580</v>
      </c>
      <c r="AM89" s="12">
        <v>6987</v>
      </c>
      <c r="AN89" s="12">
        <v>55</v>
      </c>
      <c r="AO89" s="13">
        <f t="shared" si="56"/>
        <v>142831.63636363635</v>
      </c>
      <c r="AP89" s="13">
        <f t="shared" si="57"/>
        <v>381.10909090909092</v>
      </c>
      <c r="AQ89" s="14"/>
      <c r="AR89" s="12">
        <v>3575202</v>
      </c>
      <c r="AS89" s="12">
        <v>9403</v>
      </c>
      <c r="AT89" s="12">
        <v>60</v>
      </c>
      <c r="AU89" s="13">
        <f t="shared" si="58"/>
        <v>178760.09999999998</v>
      </c>
      <c r="AV89" s="13">
        <f t="shared" si="59"/>
        <v>470.15</v>
      </c>
      <c r="AW89" s="14"/>
      <c r="AX89" s="12">
        <v>3538538</v>
      </c>
      <c r="AY89" s="12">
        <v>9100</v>
      </c>
      <c r="AZ89" s="12">
        <v>65</v>
      </c>
      <c r="BA89" s="13">
        <f t="shared" si="60"/>
        <v>163317.13846153847</v>
      </c>
      <c r="BB89" s="13">
        <f t="shared" si="61"/>
        <v>420</v>
      </c>
      <c r="BC89" s="14"/>
      <c r="BD89" s="12">
        <v>4419716</v>
      </c>
      <c r="BE89" s="12">
        <v>10932</v>
      </c>
      <c r="BF89" s="12">
        <v>65</v>
      </c>
      <c r="BG89" s="13">
        <f t="shared" si="62"/>
        <v>203986.89230769232</v>
      </c>
      <c r="BH89" s="13">
        <f t="shared" si="63"/>
        <v>504.55384615384617</v>
      </c>
      <c r="BI89" s="14"/>
      <c r="BJ89" s="12">
        <v>2373325</v>
      </c>
      <c r="BK89" s="12">
        <v>5476</v>
      </c>
      <c r="BL89" s="12">
        <v>68</v>
      </c>
      <c r="BM89" s="13">
        <f t="shared" si="64"/>
        <v>104705.51470588235</v>
      </c>
      <c r="BN89" s="13">
        <f t="shared" si="65"/>
        <v>241.58823529411765</v>
      </c>
      <c r="BO89" s="14"/>
      <c r="BP89" s="12">
        <v>4720465</v>
      </c>
      <c r="BQ89" s="12">
        <v>11911</v>
      </c>
      <c r="BR89" s="12">
        <v>76</v>
      </c>
      <c r="BS89" s="13">
        <f t="shared" si="66"/>
        <v>186334.14473684211</v>
      </c>
      <c r="BT89" s="13">
        <f t="shared" si="67"/>
        <v>470.17105263157896</v>
      </c>
      <c r="BU89" s="14"/>
      <c r="BV89" s="12">
        <v>3896514</v>
      </c>
      <c r="BW89" s="12">
        <v>10109</v>
      </c>
      <c r="BX89" s="12">
        <v>59</v>
      </c>
      <c r="BY89" s="13">
        <f t="shared" si="68"/>
        <v>198127.83050847458</v>
      </c>
      <c r="BZ89" s="13">
        <f t="shared" si="69"/>
        <v>514.01694915254234</v>
      </c>
      <c r="CA89" s="14"/>
      <c r="CB89" s="12">
        <v>3250730</v>
      </c>
      <c r="CC89" s="12">
        <v>6658</v>
      </c>
      <c r="CD89" s="12">
        <v>65</v>
      </c>
      <c r="CE89" s="13">
        <f t="shared" si="70"/>
        <v>150033.69230769231</v>
      </c>
      <c r="CF89" s="13">
        <f t="shared" si="71"/>
        <v>307.2923076923077</v>
      </c>
      <c r="CG89" s="14" t="s">
        <v>51</v>
      </c>
      <c r="CH89" s="9">
        <f t="shared" si="72"/>
        <v>2988880.1666666665</v>
      </c>
      <c r="CI89" s="9">
        <f t="shared" si="72"/>
        <v>7278.666666666667</v>
      </c>
      <c r="CJ89" s="9">
        <f t="shared" si="44"/>
        <v>686</v>
      </c>
      <c r="CK89" s="10">
        <f t="shared" si="45"/>
        <v>156850.85422740525</v>
      </c>
      <c r="CL89" s="10">
        <f t="shared" si="46"/>
        <v>381.97084548104959</v>
      </c>
      <c r="CM89" s="11" t="str">
        <f t="shared" si="47"/>
        <v xml:space="preserve"> </v>
      </c>
      <c r="CN89" s="12"/>
      <c r="CO89" s="12"/>
      <c r="CP89" s="12"/>
    </row>
    <row r="90" spans="1:94" x14ac:dyDescent="0.3">
      <c r="A90" s="23" t="s">
        <v>109</v>
      </c>
      <c r="B90" s="9">
        <v>5182545.583333333</v>
      </c>
      <c r="C90" s="9">
        <v>5451.416666666667</v>
      </c>
      <c r="D90" s="9">
        <v>1001</v>
      </c>
      <c r="E90" s="10">
        <v>186385.25574425576</v>
      </c>
      <c r="F90" s="10">
        <v>196.05494505494505</v>
      </c>
      <c r="G90" s="11">
        <v>0.41250000000000003</v>
      </c>
      <c r="H90" s="9">
        <v>4417116</v>
      </c>
      <c r="I90" s="9">
        <v>3854.818181818182</v>
      </c>
      <c r="J90" s="9">
        <v>767</v>
      </c>
      <c r="K90" s="10">
        <v>190045.40808344199</v>
      </c>
      <c r="L90" s="10">
        <v>165.85267275097783</v>
      </c>
      <c r="M90" s="11">
        <v>0.37727272727272732</v>
      </c>
      <c r="N90" s="12">
        <v>1769226</v>
      </c>
      <c r="O90" s="12">
        <v>1889</v>
      </c>
      <c r="P90" s="12">
        <v>38</v>
      </c>
      <c r="Q90" s="13">
        <f t="shared" si="48"/>
        <v>139675.73684210525</v>
      </c>
      <c r="R90" s="13">
        <f t="shared" si="49"/>
        <v>149.13157894736841</v>
      </c>
      <c r="S90" s="14"/>
      <c r="T90" s="12">
        <v>1665254</v>
      </c>
      <c r="U90" s="12">
        <v>1626</v>
      </c>
      <c r="V90" s="12">
        <v>41</v>
      </c>
      <c r="W90" s="13">
        <f t="shared" si="50"/>
        <v>121847.85365853658</v>
      </c>
      <c r="X90" s="13">
        <f t="shared" si="51"/>
        <v>118.97560975609755</v>
      </c>
      <c r="Y90" s="14"/>
      <c r="Z90" s="12">
        <v>2393085</v>
      </c>
      <c r="AA90" s="12">
        <v>1714</v>
      </c>
      <c r="AB90" s="12">
        <v>38</v>
      </c>
      <c r="AC90" s="13">
        <f t="shared" si="52"/>
        <v>188927.76315789475</v>
      </c>
      <c r="AD90" s="13">
        <f t="shared" si="53"/>
        <v>135.31578947368422</v>
      </c>
      <c r="AE90" s="14"/>
      <c r="AF90" s="12">
        <v>1940138</v>
      </c>
      <c r="AG90" s="12">
        <v>1831</v>
      </c>
      <c r="AH90" s="12">
        <v>31</v>
      </c>
      <c r="AI90" s="13">
        <f t="shared" si="54"/>
        <v>187755.29032258064</v>
      </c>
      <c r="AJ90" s="13">
        <f t="shared" si="55"/>
        <v>177.19354838709677</v>
      </c>
      <c r="AK90" s="14"/>
      <c r="AL90" s="12">
        <v>4081957.62</v>
      </c>
      <c r="AM90" s="12">
        <v>3236</v>
      </c>
      <c r="AN90" s="12">
        <v>59</v>
      </c>
      <c r="AO90" s="13">
        <f t="shared" si="56"/>
        <v>207557.16711864405</v>
      </c>
      <c r="AP90" s="13">
        <f t="shared" si="57"/>
        <v>164.54237288135593</v>
      </c>
      <c r="AQ90" s="14"/>
      <c r="AR90" s="12">
        <v>5122506</v>
      </c>
      <c r="AS90" s="12">
        <v>4504</v>
      </c>
      <c r="AT90" s="12">
        <v>60</v>
      </c>
      <c r="AU90" s="13">
        <f t="shared" si="58"/>
        <v>256125.30000000002</v>
      </c>
      <c r="AV90" s="13">
        <f t="shared" si="59"/>
        <v>225.2</v>
      </c>
      <c r="AW90" s="14"/>
      <c r="AX90" s="12">
        <v>5279031</v>
      </c>
      <c r="AY90" s="12">
        <v>5320</v>
      </c>
      <c r="AZ90" s="12">
        <v>60</v>
      </c>
      <c r="BA90" s="13">
        <f t="shared" si="60"/>
        <v>263951.55000000005</v>
      </c>
      <c r="BB90" s="13">
        <f t="shared" si="61"/>
        <v>266</v>
      </c>
      <c r="BC90" s="14"/>
      <c r="BD90" s="12">
        <v>5683919.9399999976</v>
      </c>
      <c r="BE90" s="12">
        <v>5398</v>
      </c>
      <c r="BF90" s="12">
        <v>59</v>
      </c>
      <c r="BG90" s="13">
        <f t="shared" si="62"/>
        <v>289012.8783050846</v>
      </c>
      <c r="BH90" s="13">
        <f t="shared" si="63"/>
        <v>274.47457627118644</v>
      </c>
      <c r="BI90" s="14"/>
      <c r="BJ90" s="12">
        <v>2343528</v>
      </c>
      <c r="BK90" s="12">
        <v>3818</v>
      </c>
      <c r="BL90" s="12">
        <v>45</v>
      </c>
      <c r="BM90" s="13">
        <f t="shared" si="64"/>
        <v>156235.20000000001</v>
      </c>
      <c r="BN90" s="13">
        <f t="shared" si="65"/>
        <v>254.53333333333336</v>
      </c>
      <c r="BO90" s="14"/>
      <c r="BP90" s="12">
        <v>5842557</v>
      </c>
      <c r="BQ90" s="12">
        <v>6610</v>
      </c>
      <c r="BR90" s="12">
        <v>74</v>
      </c>
      <c r="BS90" s="13">
        <f t="shared" si="66"/>
        <v>236860.41891891893</v>
      </c>
      <c r="BT90" s="13">
        <f t="shared" si="67"/>
        <v>267.97297297297297</v>
      </c>
      <c r="BU90" s="14"/>
      <c r="BV90" s="12">
        <v>5115824</v>
      </c>
      <c r="BW90" s="12">
        <v>5173</v>
      </c>
      <c r="BX90" s="12">
        <v>62</v>
      </c>
      <c r="BY90" s="13">
        <f t="shared" si="68"/>
        <v>247539.87096774194</v>
      </c>
      <c r="BZ90" s="13">
        <f t="shared" si="69"/>
        <v>250.30645161290323</v>
      </c>
      <c r="CA90" s="14"/>
      <c r="CB90" s="12">
        <v>2553649.8800000004</v>
      </c>
      <c r="CC90" s="12">
        <v>3303</v>
      </c>
      <c r="CD90" s="12">
        <v>42</v>
      </c>
      <c r="CE90" s="13">
        <f t="shared" si="70"/>
        <v>182403.56285714288</v>
      </c>
      <c r="CF90" s="13">
        <f t="shared" si="71"/>
        <v>235.92857142857142</v>
      </c>
      <c r="CG90" s="14" t="s">
        <v>51</v>
      </c>
      <c r="CH90" s="9">
        <f t="shared" si="72"/>
        <v>3649223.0366666671</v>
      </c>
      <c r="CI90" s="9">
        <f t="shared" si="72"/>
        <v>3701.8333333333335</v>
      </c>
      <c r="CJ90" s="9">
        <f t="shared" si="44"/>
        <v>609</v>
      </c>
      <c r="CK90" s="10">
        <f t="shared" si="45"/>
        <v>215717.61793103453</v>
      </c>
      <c r="CL90" s="10">
        <f t="shared" si="46"/>
        <v>218.82758620689654</v>
      </c>
      <c r="CM90" s="11" t="str">
        <f t="shared" si="47"/>
        <v xml:space="preserve"> </v>
      </c>
      <c r="CN90" s="12"/>
      <c r="CO90" s="12"/>
      <c r="CP90" s="12"/>
    </row>
    <row r="91" spans="1:94" x14ac:dyDescent="0.3">
      <c r="A91" s="23" t="s">
        <v>110</v>
      </c>
      <c r="B91" s="9">
        <v>4584767.5</v>
      </c>
      <c r="C91" s="9">
        <v>11688.166666666666</v>
      </c>
      <c r="D91" s="9">
        <v>885</v>
      </c>
      <c r="E91" s="10">
        <v>186499.01694915254</v>
      </c>
      <c r="F91" s="10">
        <v>475.45084745762711</v>
      </c>
      <c r="G91" s="11">
        <v>0.64416666666666678</v>
      </c>
      <c r="H91" s="9">
        <v>3300186.1818181816</v>
      </c>
      <c r="I91" s="9">
        <v>8298.363636363636</v>
      </c>
      <c r="J91" s="9">
        <v>642</v>
      </c>
      <c r="K91" s="10">
        <v>169635.738317757</v>
      </c>
      <c r="L91" s="10">
        <v>426.55140186915884</v>
      </c>
      <c r="M91" s="11">
        <v>0.63818181818181818</v>
      </c>
      <c r="N91" s="12">
        <v>1737754</v>
      </c>
      <c r="O91" s="12">
        <v>3900</v>
      </c>
      <c r="P91" s="12">
        <v>36</v>
      </c>
      <c r="Q91" s="13">
        <f t="shared" si="48"/>
        <v>144812.83333333334</v>
      </c>
      <c r="R91" s="13">
        <f t="shared" si="49"/>
        <v>325</v>
      </c>
      <c r="S91" s="14"/>
      <c r="T91" s="12">
        <v>1874273</v>
      </c>
      <c r="U91" s="12">
        <v>4682</v>
      </c>
      <c r="V91" s="12">
        <v>43</v>
      </c>
      <c r="W91" s="13">
        <f t="shared" si="50"/>
        <v>130763.23255813954</v>
      </c>
      <c r="X91" s="13">
        <f t="shared" si="51"/>
        <v>326.65116279069764</v>
      </c>
      <c r="Y91" s="14"/>
      <c r="Z91" s="12">
        <v>3069401</v>
      </c>
      <c r="AA91" s="12">
        <v>13025</v>
      </c>
      <c r="AB91" s="12">
        <v>48</v>
      </c>
      <c r="AC91" s="13">
        <f t="shared" si="52"/>
        <v>191837.5625</v>
      </c>
      <c r="AD91" s="13">
        <f t="shared" si="53"/>
        <v>814.0625</v>
      </c>
      <c r="AE91" s="14"/>
      <c r="AF91" s="12">
        <v>1423026</v>
      </c>
      <c r="AG91" s="12">
        <v>3971</v>
      </c>
      <c r="AH91" s="12">
        <v>28</v>
      </c>
      <c r="AI91" s="13">
        <f t="shared" si="54"/>
        <v>152467.07142857142</v>
      </c>
      <c r="AJ91" s="13">
        <f t="shared" si="55"/>
        <v>425.46428571428578</v>
      </c>
      <c r="AK91" s="14"/>
      <c r="AL91" s="12">
        <v>3346507</v>
      </c>
      <c r="AM91" s="12">
        <v>9637</v>
      </c>
      <c r="AN91" s="12">
        <v>56</v>
      </c>
      <c r="AO91" s="13">
        <f t="shared" si="56"/>
        <v>179277.16071428571</v>
      </c>
      <c r="AP91" s="13">
        <f t="shared" si="57"/>
        <v>516.26785714285711</v>
      </c>
      <c r="AQ91" s="14"/>
      <c r="AR91" s="12">
        <v>4225834.9799999995</v>
      </c>
      <c r="AS91" s="12">
        <v>14106</v>
      </c>
      <c r="AT91" s="12">
        <v>63</v>
      </c>
      <c r="AU91" s="13">
        <f t="shared" si="58"/>
        <v>201230.23714285711</v>
      </c>
      <c r="AV91" s="13">
        <f t="shared" si="59"/>
        <v>671.71428571428567</v>
      </c>
      <c r="AW91" s="14"/>
      <c r="AX91" s="12">
        <v>4497985</v>
      </c>
      <c r="AY91" s="12">
        <v>11707</v>
      </c>
      <c r="AZ91" s="12">
        <v>65</v>
      </c>
      <c r="BA91" s="13">
        <f t="shared" si="60"/>
        <v>207599.30769230769</v>
      </c>
      <c r="BB91" s="13">
        <f t="shared" si="61"/>
        <v>540.32307692307688</v>
      </c>
      <c r="BC91" s="14"/>
      <c r="BD91" s="12">
        <v>4608730.9799999995</v>
      </c>
      <c r="BE91" s="12">
        <v>14584</v>
      </c>
      <c r="BF91" s="12">
        <v>61</v>
      </c>
      <c r="BG91" s="13">
        <f t="shared" si="62"/>
        <v>226658.9006557377</v>
      </c>
      <c r="BH91" s="13">
        <f t="shared" si="63"/>
        <v>717.24590163934431</v>
      </c>
      <c r="BI91" s="14"/>
      <c r="BJ91" s="12">
        <v>2467019</v>
      </c>
      <c r="BK91" s="12">
        <v>6582</v>
      </c>
      <c r="BL91" s="12">
        <v>40</v>
      </c>
      <c r="BM91" s="13">
        <f t="shared" si="64"/>
        <v>185026.42499999999</v>
      </c>
      <c r="BN91" s="13">
        <f t="shared" si="65"/>
        <v>493.65000000000003</v>
      </c>
      <c r="BO91" s="14"/>
      <c r="BP91" s="12">
        <v>5062029.8</v>
      </c>
      <c r="BQ91" s="12">
        <v>18733</v>
      </c>
      <c r="BR91" s="12">
        <v>66</v>
      </c>
      <c r="BS91" s="13">
        <f t="shared" si="66"/>
        <v>230092.26363636361</v>
      </c>
      <c r="BT91" s="13">
        <f t="shared" si="67"/>
        <v>851.5</v>
      </c>
      <c r="BU91" s="14"/>
      <c r="BV91" s="12">
        <v>3769273.7600000002</v>
      </c>
      <c r="BW91" s="12">
        <v>12402</v>
      </c>
      <c r="BX91" s="12">
        <v>63</v>
      </c>
      <c r="BY91" s="13">
        <f t="shared" si="68"/>
        <v>179489.22666666668</v>
      </c>
      <c r="BZ91" s="13">
        <f t="shared" si="69"/>
        <v>590.57142857142856</v>
      </c>
      <c r="CA91" s="14"/>
      <c r="CB91" s="12">
        <v>2241236.58</v>
      </c>
      <c r="CC91" s="12">
        <v>7409</v>
      </c>
      <c r="CD91" s="12">
        <v>51</v>
      </c>
      <c r="CE91" s="13">
        <f t="shared" si="70"/>
        <v>131837.44588235294</v>
      </c>
      <c r="CF91" s="13">
        <f t="shared" si="71"/>
        <v>435.82352941176475</v>
      </c>
      <c r="CG91" s="14" t="s">
        <v>51</v>
      </c>
      <c r="CH91" s="9">
        <f t="shared" si="72"/>
        <v>3193589.2583333333</v>
      </c>
      <c r="CI91" s="9">
        <f t="shared" si="72"/>
        <v>10061.5</v>
      </c>
      <c r="CJ91" s="9">
        <f t="shared" si="44"/>
        <v>620</v>
      </c>
      <c r="CK91" s="10">
        <f t="shared" si="45"/>
        <v>185434.215</v>
      </c>
      <c r="CL91" s="10">
        <f t="shared" si="46"/>
        <v>584.2161290322581</v>
      </c>
      <c r="CM91" s="11" t="str">
        <f t="shared" si="47"/>
        <v xml:space="preserve"> </v>
      </c>
      <c r="CN91" s="12"/>
      <c r="CO91" s="12"/>
      <c r="CP91" s="12"/>
    </row>
    <row r="92" spans="1:94" x14ac:dyDescent="0.3">
      <c r="A92" s="23" t="s">
        <v>111</v>
      </c>
      <c r="B92" s="9">
        <v>8000159.916666667</v>
      </c>
      <c r="C92" s="9">
        <v>7845.083333333333</v>
      </c>
      <c r="D92" s="9">
        <v>1006</v>
      </c>
      <c r="E92" s="10">
        <v>286288.02882703778</v>
      </c>
      <c r="F92" s="10">
        <v>280.73856858846915</v>
      </c>
      <c r="G92" s="11">
        <v>0.40083333333333332</v>
      </c>
      <c r="H92" s="9">
        <v>5125001.1818181816</v>
      </c>
      <c r="I92" s="9">
        <v>5588.636363636364</v>
      </c>
      <c r="J92" s="9">
        <v>778</v>
      </c>
      <c r="K92" s="10">
        <v>217384.36889460153</v>
      </c>
      <c r="L92" s="10">
        <v>237.05012853470436</v>
      </c>
      <c r="M92" s="11">
        <v>0.43636363636363634</v>
      </c>
      <c r="N92" s="12">
        <v>2338352</v>
      </c>
      <c r="O92" s="12">
        <v>5560</v>
      </c>
      <c r="P92" s="12">
        <v>33</v>
      </c>
      <c r="Q92" s="13">
        <f t="shared" si="48"/>
        <v>212577.45454545456</v>
      </c>
      <c r="R92" s="13">
        <f t="shared" si="49"/>
        <v>505.4545454545455</v>
      </c>
      <c r="S92" s="14"/>
      <c r="T92" s="12">
        <v>4060608.7999999993</v>
      </c>
      <c r="U92" s="12">
        <v>10009</v>
      </c>
      <c r="V92" s="12">
        <v>68</v>
      </c>
      <c r="W92" s="13">
        <f t="shared" si="50"/>
        <v>179144.50588235291</v>
      </c>
      <c r="X92" s="13">
        <f t="shared" si="51"/>
        <v>441.5735294117647</v>
      </c>
      <c r="Y92" s="14"/>
      <c r="Z92" s="12">
        <v>4340565.5599999987</v>
      </c>
      <c r="AA92" s="12">
        <v>7244</v>
      </c>
      <c r="AB92" s="12">
        <v>55</v>
      </c>
      <c r="AC92" s="13">
        <f t="shared" si="52"/>
        <v>236758.12145454535</v>
      </c>
      <c r="AD92" s="13">
        <f t="shared" si="53"/>
        <v>395.12727272727273</v>
      </c>
      <c r="AE92" s="14"/>
      <c r="AF92" s="12">
        <v>2038617.08</v>
      </c>
      <c r="AG92" s="12">
        <v>3886</v>
      </c>
      <c r="AH92" s="12">
        <v>33</v>
      </c>
      <c r="AI92" s="13">
        <f t="shared" si="54"/>
        <v>185328.82545454547</v>
      </c>
      <c r="AJ92" s="13">
        <f t="shared" si="55"/>
        <v>353.27272727272725</v>
      </c>
      <c r="AK92" s="14"/>
      <c r="AL92" s="12">
        <v>7626200</v>
      </c>
      <c r="AM92" s="12">
        <v>7284</v>
      </c>
      <c r="AN92" s="12">
        <v>71</v>
      </c>
      <c r="AO92" s="13">
        <f t="shared" si="56"/>
        <v>322233.80281690141</v>
      </c>
      <c r="AP92" s="13">
        <f t="shared" si="57"/>
        <v>307.77464788732391</v>
      </c>
      <c r="AQ92" s="14"/>
      <c r="AR92" s="12">
        <v>215208</v>
      </c>
      <c r="AS92" s="12">
        <v>237</v>
      </c>
      <c r="AT92" s="12">
        <v>3</v>
      </c>
      <c r="AU92" s="13">
        <f t="shared" si="58"/>
        <v>215208</v>
      </c>
      <c r="AV92" s="13">
        <f t="shared" si="59"/>
        <v>237</v>
      </c>
      <c r="AW92" s="14"/>
      <c r="AX92" s="12"/>
      <c r="AY92" s="12"/>
      <c r="AZ92" s="12"/>
      <c r="BA92" s="13" t="str">
        <f t="shared" si="60"/>
        <v xml:space="preserve"> </v>
      </c>
      <c r="BB92" s="13" t="str">
        <f t="shared" si="61"/>
        <v xml:space="preserve"> </v>
      </c>
      <c r="BC92" s="14"/>
      <c r="BD92" s="12">
        <v>4640519</v>
      </c>
      <c r="BE92" s="12">
        <v>10091</v>
      </c>
      <c r="BF92" s="12">
        <v>47</v>
      </c>
      <c r="BG92" s="13">
        <f t="shared" si="62"/>
        <v>296203.3404255319</v>
      </c>
      <c r="BH92" s="13">
        <f t="shared" si="63"/>
        <v>644.10638297872345</v>
      </c>
      <c r="BI92" s="14"/>
      <c r="BJ92" s="12">
        <v>4536255</v>
      </c>
      <c r="BK92" s="12">
        <v>4781</v>
      </c>
      <c r="BL92" s="12">
        <v>49</v>
      </c>
      <c r="BM92" s="13">
        <f t="shared" si="64"/>
        <v>277729.89795918367</v>
      </c>
      <c r="BN92" s="13">
        <f t="shared" si="65"/>
        <v>292.71428571428572</v>
      </c>
      <c r="BO92" s="14"/>
      <c r="BP92" s="12">
        <v>6168201</v>
      </c>
      <c r="BQ92" s="12">
        <v>5763</v>
      </c>
      <c r="BR92" s="12">
        <v>60</v>
      </c>
      <c r="BS92" s="13">
        <f t="shared" si="66"/>
        <v>308410.05000000005</v>
      </c>
      <c r="BT92" s="13">
        <f t="shared" si="67"/>
        <v>288.14999999999998</v>
      </c>
      <c r="BU92" s="14"/>
      <c r="BV92" s="12">
        <v>2027943</v>
      </c>
      <c r="BW92" s="12">
        <v>5062</v>
      </c>
      <c r="BX92" s="12">
        <v>31</v>
      </c>
      <c r="BY92" s="13">
        <f t="shared" si="68"/>
        <v>196252.54838709679</v>
      </c>
      <c r="BZ92" s="13">
        <f t="shared" si="69"/>
        <v>489.87096774193549</v>
      </c>
      <c r="CA92" s="14"/>
      <c r="CB92" s="12">
        <v>3850419</v>
      </c>
      <c r="CC92" s="12">
        <v>8726</v>
      </c>
      <c r="CD92" s="12">
        <v>59</v>
      </c>
      <c r="CE92" s="13">
        <f t="shared" si="70"/>
        <v>195784.01694915254</v>
      </c>
      <c r="CF92" s="13">
        <f t="shared" si="71"/>
        <v>443.69491525423734</v>
      </c>
      <c r="CG92" s="14" t="s">
        <v>51</v>
      </c>
      <c r="CH92" s="9">
        <f t="shared" si="72"/>
        <v>3803898.9490909087</v>
      </c>
      <c r="CI92" s="9">
        <f t="shared" si="72"/>
        <v>6240.272727272727</v>
      </c>
      <c r="CJ92" s="9">
        <f t="shared" si="44"/>
        <v>509</v>
      </c>
      <c r="CK92" s="10">
        <f t="shared" si="45"/>
        <v>246618.20298624755</v>
      </c>
      <c r="CL92" s="10">
        <f t="shared" si="46"/>
        <v>404.57563850687626</v>
      </c>
      <c r="CM92" s="11" t="str">
        <f t="shared" si="47"/>
        <v xml:space="preserve"> </v>
      </c>
      <c r="CN92" s="12"/>
      <c r="CO92" s="12"/>
      <c r="CP92" s="12"/>
    </row>
    <row r="93" spans="1:94" x14ac:dyDescent="0.3">
      <c r="A93" s="23" t="s">
        <v>112</v>
      </c>
      <c r="B93" s="9">
        <v>8135013.583333333</v>
      </c>
      <c r="C93" s="9">
        <v>7911.583333333333</v>
      </c>
      <c r="D93" s="9">
        <v>984</v>
      </c>
      <c r="E93" s="10">
        <v>297622.44817073172</v>
      </c>
      <c r="F93" s="10">
        <v>289.44817073170731</v>
      </c>
      <c r="G93" s="11">
        <v>0.40333333333333332</v>
      </c>
      <c r="H93" s="9">
        <v>2474632.1818181816</v>
      </c>
      <c r="I93" s="9">
        <v>3008.4545454545455</v>
      </c>
      <c r="J93" s="9">
        <v>771</v>
      </c>
      <c r="K93" s="10">
        <v>105918.10894941635</v>
      </c>
      <c r="L93" s="10">
        <v>128.76653696498056</v>
      </c>
      <c r="M93" s="11">
        <v>0.44545454545454549</v>
      </c>
      <c r="N93" s="12">
        <v>3819299</v>
      </c>
      <c r="O93" s="12">
        <v>3862</v>
      </c>
      <c r="P93" s="12">
        <v>52</v>
      </c>
      <c r="Q93" s="13">
        <f t="shared" si="48"/>
        <v>220344.17307692306</v>
      </c>
      <c r="R93" s="13">
        <f t="shared" si="49"/>
        <v>222.80769230769232</v>
      </c>
      <c r="S93" s="14"/>
      <c r="T93" s="12">
        <v>4706920.68</v>
      </c>
      <c r="U93" s="12">
        <v>5172</v>
      </c>
      <c r="V93" s="12">
        <v>56</v>
      </c>
      <c r="W93" s="13">
        <f t="shared" si="50"/>
        <v>252156.465</v>
      </c>
      <c r="X93" s="13">
        <f t="shared" si="51"/>
        <v>277.07142857142856</v>
      </c>
      <c r="Y93" s="14"/>
      <c r="Z93" s="12">
        <v>4900118.2999999989</v>
      </c>
      <c r="AA93" s="12">
        <v>5915</v>
      </c>
      <c r="AB93" s="12">
        <v>57</v>
      </c>
      <c r="AC93" s="13">
        <f t="shared" si="52"/>
        <v>257900.96315789467</v>
      </c>
      <c r="AD93" s="13">
        <f t="shared" si="53"/>
        <v>311.31578947368416</v>
      </c>
      <c r="AE93" s="14"/>
      <c r="AF93" s="12">
        <v>2149193.12</v>
      </c>
      <c r="AG93" s="12">
        <v>3501</v>
      </c>
      <c r="AH93" s="12">
        <v>35</v>
      </c>
      <c r="AI93" s="13">
        <f t="shared" si="54"/>
        <v>184216.55314285716</v>
      </c>
      <c r="AJ93" s="13">
        <f t="shared" si="55"/>
        <v>300.08571428571429</v>
      </c>
      <c r="AK93" s="14"/>
      <c r="AL93" s="12">
        <v>7367185</v>
      </c>
      <c r="AM93" s="12">
        <v>7051</v>
      </c>
      <c r="AN93" s="12">
        <v>66</v>
      </c>
      <c r="AO93" s="13">
        <f t="shared" si="56"/>
        <v>334872.04545454547</v>
      </c>
      <c r="AP93" s="13">
        <f t="shared" si="57"/>
        <v>320.5</v>
      </c>
      <c r="AQ93" s="14"/>
      <c r="AR93" s="12">
        <v>359280</v>
      </c>
      <c r="AS93" s="12">
        <v>386</v>
      </c>
      <c r="AT93" s="12">
        <v>4</v>
      </c>
      <c r="AU93" s="13">
        <f t="shared" si="58"/>
        <v>269460</v>
      </c>
      <c r="AV93" s="13">
        <f t="shared" si="59"/>
        <v>289.5</v>
      </c>
      <c r="AW93" s="14"/>
      <c r="AX93" s="12"/>
      <c r="AY93" s="12"/>
      <c r="AZ93" s="12"/>
      <c r="BA93" s="13" t="str">
        <f t="shared" si="60"/>
        <v xml:space="preserve"> </v>
      </c>
      <c r="BB93" s="13" t="str">
        <f t="shared" si="61"/>
        <v xml:space="preserve"> </v>
      </c>
      <c r="BC93" s="14"/>
      <c r="BD93" s="12">
        <v>5256883</v>
      </c>
      <c r="BE93" s="12">
        <v>6277</v>
      </c>
      <c r="BF93" s="12">
        <v>49</v>
      </c>
      <c r="BG93" s="13">
        <f t="shared" si="62"/>
        <v>321849.97959183675</v>
      </c>
      <c r="BH93" s="13">
        <f t="shared" si="63"/>
        <v>384.30612244897964</v>
      </c>
      <c r="BI93" s="14"/>
      <c r="BJ93" s="12">
        <v>4802085</v>
      </c>
      <c r="BK93" s="12">
        <v>5267</v>
      </c>
      <c r="BL93" s="12">
        <v>47</v>
      </c>
      <c r="BM93" s="13">
        <f t="shared" si="64"/>
        <v>306516.06382978719</v>
      </c>
      <c r="BN93" s="13">
        <f t="shared" si="65"/>
        <v>336.19148936170211</v>
      </c>
      <c r="BO93" s="14"/>
      <c r="BP93" s="12">
        <v>4757497</v>
      </c>
      <c r="BQ93" s="12">
        <v>5770</v>
      </c>
      <c r="BR93" s="12">
        <v>59</v>
      </c>
      <c r="BS93" s="13">
        <f t="shared" si="66"/>
        <v>241906.62711864407</v>
      </c>
      <c r="BT93" s="13">
        <f t="shared" si="67"/>
        <v>293.38983050847457</v>
      </c>
      <c r="BU93" s="14"/>
      <c r="BV93" s="12">
        <v>996573</v>
      </c>
      <c r="BW93" s="12">
        <v>887</v>
      </c>
      <c r="BX93" s="12">
        <v>15</v>
      </c>
      <c r="BY93" s="13">
        <f t="shared" si="68"/>
        <v>199314.59999999998</v>
      </c>
      <c r="BZ93" s="13">
        <f t="shared" si="69"/>
        <v>177.4</v>
      </c>
      <c r="CA93" s="14"/>
      <c r="CB93" s="12">
        <v>2692880.4799999995</v>
      </c>
      <c r="CC93" s="12">
        <v>2267</v>
      </c>
      <c r="CD93" s="12">
        <v>37</v>
      </c>
      <c r="CE93" s="13">
        <f t="shared" si="70"/>
        <v>218341.6605405405</v>
      </c>
      <c r="CF93" s="13">
        <f t="shared" si="71"/>
        <v>183.81081081081084</v>
      </c>
      <c r="CG93" s="14" t="s">
        <v>51</v>
      </c>
      <c r="CH93" s="9">
        <f t="shared" si="72"/>
        <v>3800719.5072727264</v>
      </c>
      <c r="CI93" s="9">
        <f t="shared" si="72"/>
        <v>4214.090909090909</v>
      </c>
      <c r="CJ93" s="9">
        <f t="shared" si="44"/>
        <v>477</v>
      </c>
      <c r="CK93" s="10">
        <f t="shared" si="45"/>
        <v>262942.85899371066</v>
      </c>
      <c r="CL93" s="10">
        <f t="shared" si="46"/>
        <v>291.54088050314465</v>
      </c>
      <c r="CM93" s="11" t="str">
        <f t="shared" si="47"/>
        <v xml:space="preserve"> </v>
      </c>
      <c r="CN93" s="12"/>
      <c r="CO93" s="12"/>
      <c r="CP93" s="12"/>
    </row>
    <row r="94" spans="1:94" x14ac:dyDescent="0.3">
      <c r="A94" s="23" t="s">
        <v>113</v>
      </c>
      <c r="B94" s="9">
        <v>402431.66666666669</v>
      </c>
      <c r="C94" s="9">
        <v>2673.6666666666665</v>
      </c>
      <c r="D94" s="9">
        <v>48</v>
      </c>
      <c r="E94" s="10">
        <v>75455.9375</v>
      </c>
      <c r="F94" s="10">
        <v>501.3125</v>
      </c>
      <c r="G94" s="11">
        <v>0.98333333333333328</v>
      </c>
      <c r="H94" s="9" t="s">
        <v>51</v>
      </c>
      <c r="I94" s="9" t="s">
        <v>51</v>
      </c>
      <c r="J94" s="9">
        <v>0</v>
      </c>
      <c r="K94" s="10" t="s">
        <v>51</v>
      </c>
      <c r="L94" s="10" t="s">
        <v>51</v>
      </c>
      <c r="M94" s="11" t="s">
        <v>51</v>
      </c>
      <c r="N94" s="12"/>
      <c r="O94" s="12"/>
      <c r="P94" s="12"/>
      <c r="Q94" s="13" t="str">
        <f t="shared" si="48"/>
        <v/>
      </c>
      <c r="R94" s="13" t="str">
        <f t="shared" si="49"/>
        <v/>
      </c>
      <c r="S94" s="14"/>
      <c r="T94" s="12"/>
      <c r="U94" s="12"/>
      <c r="V94" s="12"/>
      <c r="W94" s="13" t="str">
        <f t="shared" si="50"/>
        <v/>
      </c>
      <c r="X94" s="13" t="str">
        <f t="shared" si="51"/>
        <v/>
      </c>
      <c r="Y94" s="14"/>
      <c r="Z94" s="12"/>
      <c r="AA94" s="12"/>
      <c r="AB94" s="12"/>
      <c r="AC94" s="13" t="str">
        <f t="shared" si="52"/>
        <v xml:space="preserve"> </v>
      </c>
      <c r="AD94" s="13" t="str">
        <f t="shared" si="53"/>
        <v xml:space="preserve"> </v>
      </c>
      <c r="AE94" s="14"/>
      <c r="AF94" s="12"/>
      <c r="AG94" s="12"/>
      <c r="AH94" s="12"/>
      <c r="AI94" s="13" t="str">
        <f t="shared" si="54"/>
        <v xml:space="preserve"> </v>
      </c>
      <c r="AJ94" s="13" t="str">
        <f t="shared" si="55"/>
        <v xml:space="preserve"> </v>
      </c>
      <c r="AK94" s="14"/>
      <c r="AL94" s="12"/>
      <c r="AM94" s="12"/>
      <c r="AN94" s="12"/>
      <c r="AO94" s="13" t="str">
        <f t="shared" si="56"/>
        <v xml:space="preserve"> </v>
      </c>
      <c r="AP94" s="13" t="str">
        <f t="shared" si="57"/>
        <v xml:space="preserve"> </v>
      </c>
      <c r="AQ94" s="14"/>
      <c r="AR94" s="12"/>
      <c r="AS94" s="12"/>
      <c r="AT94" s="12"/>
      <c r="AU94" s="13" t="str">
        <f t="shared" si="58"/>
        <v xml:space="preserve"> </v>
      </c>
      <c r="AV94" s="13" t="str">
        <f t="shared" si="59"/>
        <v xml:space="preserve"> </v>
      </c>
      <c r="AW94" s="14"/>
      <c r="AX94" s="12"/>
      <c r="AY94" s="12"/>
      <c r="AZ94" s="12"/>
      <c r="BA94" s="13" t="str">
        <f t="shared" si="60"/>
        <v xml:space="preserve"> </v>
      </c>
      <c r="BB94" s="13" t="str">
        <f t="shared" si="61"/>
        <v xml:space="preserve"> </v>
      </c>
      <c r="BC94" s="14"/>
      <c r="BD94" s="12"/>
      <c r="BE94" s="12"/>
      <c r="BF94" s="12"/>
      <c r="BG94" s="13" t="str">
        <f t="shared" si="62"/>
        <v xml:space="preserve"> </v>
      </c>
      <c r="BH94" s="13" t="str">
        <f t="shared" si="63"/>
        <v xml:space="preserve"> </v>
      </c>
      <c r="BI94" s="14"/>
      <c r="BJ94" s="12"/>
      <c r="BK94" s="12"/>
      <c r="BL94" s="12"/>
      <c r="BM94" s="13" t="str">
        <f t="shared" si="64"/>
        <v xml:space="preserve"> </v>
      </c>
      <c r="BN94" s="13" t="str">
        <f t="shared" si="65"/>
        <v xml:space="preserve"> </v>
      </c>
      <c r="BO94" s="14"/>
      <c r="BP94" s="12"/>
      <c r="BQ94" s="12"/>
      <c r="BR94" s="12"/>
      <c r="BS94" s="13" t="str">
        <f t="shared" si="66"/>
        <v xml:space="preserve"> </v>
      </c>
      <c r="BT94" s="13" t="str">
        <f t="shared" si="67"/>
        <v xml:space="preserve"> </v>
      </c>
      <c r="BU94" s="14"/>
      <c r="BV94" s="12"/>
      <c r="BW94" s="12"/>
      <c r="BX94" s="12"/>
      <c r="BY94" s="13" t="str">
        <f t="shared" si="68"/>
        <v xml:space="preserve"> </v>
      </c>
      <c r="BZ94" s="13" t="str">
        <f t="shared" si="69"/>
        <v xml:space="preserve"> </v>
      </c>
      <c r="CA94" s="14"/>
      <c r="CD94" s="12"/>
      <c r="CE94" s="13" t="str">
        <f t="shared" si="70"/>
        <v xml:space="preserve"> </v>
      </c>
      <c r="CF94" s="13" t="str">
        <f t="shared" si="71"/>
        <v xml:space="preserve"> </v>
      </c>
      <c r="CG94" s="14" t="s">
        <v>51</v>
      </c>
      <c r="CH94" s="9" t="str">
        <f t="shared" si="72"/>
        <v xml:space="preserve"> </v>
      </c>
      <c r="CI94" s="9" t="str">
        <f t="shared" si="72"/>
        <v xml:space="preserve"> </v>
      </c>
      <c r="CJ94" s="9">
        <f t="shared" si="44"/>
        <v>0</v>
      </c>
      <c r="CK94" s="10" t="str">
        <f t="shared" si="45"/>
        <v xml:space="preserve"> </v>
      </c>
      <c r="CL94" s="10" t="str">
        <f t="shared" si="46"/>
        <v xml:space="preserve"> </v>
      </c>
      <c r="CM94" s="11" t="str">
        <f t="shared" si="47"/>
        <v xml:space="preserve"> </v>
      </c>
      <c r="CN94" s="12"/>
      <c r="CO94" s="12"/>
      <c r="CP94" s="12"/>
    </row>
    <row r="95" spans="1:94" x14ac:dyDescent="0.3">
      <c r="A95" s="23" t="s">
        <v>114</v>
      </c>
      <c r="B95" s="9">
        <v>848303.25</v>
      </c>
      <c r="C95" s="9">
        <v>135960.625</v>
      </c>
      <c r="D95" s="9">
        <v>477</v>
      </c>
      <c r="E95" s="10">
        <v>42681.924528301883</v>
      </c>
      <c r="F95" s="10">
        <v>6840.7861635220124</v>
      </c>
      <c r="G95" s="11">
        <v>5.4612500000000006</v>
      </c>
      <c r="H95" s="9">
        <v>1008433.4545454546</v>
      </c>
      <c r="I95" s="9">
        <v>130521.18181818182</v>
      </c>
      <c r="J95" s="9">
        <v>638</v>
      </c>
      <c r="K95" s="10">
        <v>52160.351097178682</v>
      </c>
      <c r="L95" s="10">
        <v>6751.0956112852655</v>
      </c>
      <c r="M95" s="11">
        <v>5.6036363636363644</v>
      </c>
      <c r="N95" s="12">
        <v>859345.19999999832</v>
      </c>
      <c r="O95" s="12">
        <v>175893</v>
      </c>
      <c r="P95" s="12">
        <v>50</v>
      </c>
      <c r="Q95" s="13">
        <f t="shared" si="48"/>
        <v>51560.711999999898</v>
      </c>
      <c r="R95" s="13">
        <f t="shared" si="49"/>
        <v>10553.58</v>
      </c>
      <c r="S95" s="14"/>
      <c r="T95" s="12">
        <v>564961.1599999998</v>
      </c>
      <c r="U95" s="12">
        <v>113265</v>
      </c>
      <c r="V95" s="12">
        <v>61</v>
      </c>
      <c r="W95" s="13">
        <f t="shared" si="50"/>
        <v>27784.975081967204</v>
      </c>
      <c r="X95" s="13">
        <f t="shared" si="51"/>
        <v>5570.4098360655735</v>
      </c>
      <c r="Y95" s="14"/>
      <c r="Z95" s="12">
        <v>1770518.2450000015</v>
      </c>
      <c r="AA95" s="12">
        <v>172719</v>
      </c>
      <c r="AB95" s="12">
        <v>75</v>
      </c>
      <c r="AC95" s="13">
        <f t="shared" si="52"/>
        <v>70820.729800000059</v>
      </c>
      <c r="AD95" s="13">
        <f t="shared" si="53"/>
        <v>6908.76</v>
      </c>
      <c r="AE95" s="14"/>
      <c r="AF95" s="12">
        <v>653357.64999999932</v>
      </c>
      <c r="AG95" s="12">
        <v>105365</v>
      </c>
      <c r="AH95" s="12">
        <v>49</v>
      </c>
      <c r="AI95" s="13">
        <f t="shared" si="54"/>
        <v>40001.488775510159</v>
      </c>
      <c r="AJ95" s="13">
        <f t="shared" si="55"/>
        <v>6450.9183673469397</v>
      </c>
      <c r="AK95" s="14"/>
      <c r="AL95" s="12">
        <v>620010.99999999965</v>
      </c>
      <c r="AM95" s="12">
        <v>158324</v>
      </c>
      <c r="AN95" s="12">
        <v>75</v>
      </c>
      <c r="AO95" s="13">
        <f t="shared" si="56"/>
        <v>24800.439999999984</v>
      </c>
      <c r="AP95" s="13">
        <f t="shared" si="57"/>
        <v>6332.96</v>
      </c>
      <c r="AQ95" s="14"/>
      <c r="AR95" s="12">
        <v>1183420.625</v>
      </c>
      <c r="AS95" s="12">
        <v>152063</v>
      </c>
      <c r="AT95" s="12">
        <v>58</v>
      </c>
      <c r="AU95" s="13">
        <f t="shared" si="58"/>
        <v>61211.411637931029</v>
      </c>
      <c r="AV95" s="13">
        <f t="shared" si="59"/>
        <v>7865.3275862068967</v>
      </c>
      <c r="AW95" s="14"/>
      <c r="AX95" s="12">
        <v>1046573.5500000004</v>
      </c>
      <c r="AY95" s="12">
        <v>94345</v>
      </c>
      <c r="AZ95" s="12">
        <v>50</v>
      </c>
      <c r="BA95" s="13">
        <f t="shared" si="60"/>
        <v>62794.41300000003</v>
      </c>
      <c r="BB95" s="13">
        <f t="shared" si="61"/>
        <v>5660.7000000000007</v>
      </c>
      <c r="BC95" s="14"/>
      <c r="BD95" s="12">
        <v>1153595.4499999981</v>
      </c>
      <c r="BE95" s="12">
        <v>157938</v>
      </c>
      <c r="BF95" s="12">
        <v>70</v>
      </c>
      <c r="BG95" s="13">
        <f t="shared" si="62"/>
        <v>49439.80499999992</v>
      </c>
      <c r="BH95" s="13">
        <f t="shared" si="63"/>
        <v>6768.7714285714283</v>
      </c>
      <c r="BI95" s="14"/>
      <c r="BJ95" s="12">
        <v>1160902.1999999979</v>
      </c>
      <c r="BK95" s="12">
        <v>188944</v>
      </c>
      <c r="BL95" s="12">
        <v>68</v>
      </c>
      <c r="BM95" s="13">
        <f t="shared" si="64"/>
        <v>51216.273529411672</v>
      </c>
      <c r="BN95" s="13">
        <f t="shared" si="65"/>
        <v>8335.7647058823532</v>
      </c>
      <c r="BO95" s="14"/>
      <c r="BP95" s="12">
        <v>1482491.3399999994</v>
      </c>
      <c r="BQ95" s="12">
        <v>192163</v>
      </c>
      <c r="BR95" s="12">
        <v>78</v>
      </c>
      <c r="BS95" s="13">
        <f t="shared" si="66"/>
        <v>57018.89769230767</v>
      </c>
      <c r="BT95" s="13">
        <f t="shared" si="67"/>
        <v>7390.8846153846152</v>
      </c>
      <c r="BU95" s="14"/>
      <c r="BV95" s="12">
        <v>593869.85000000137</v>
      </c>
      <c r="BW95" s="12">
        <v>171919</v>
      </c>
      <c r="BX95" s="12">
        <v>73</v>
      </c>
      <c r="BY95" s="13">
        <f t="shared" si="68"/>
        <v>24405.610273972659</v>
      </c>
      <c r="BZ95" s="13">
        <f t="shared" si="69"/>
        <v>7065.1643835616442</v>
      </c>
      <c r="CA95" s="14"/>
      <c r="CB95" s="12">
        <v>1618209.424999997</v>
      </c>
      <c r="CC95" s="12">
        <v>195484</v>
      </c>
      <c r="CD95" s="12">
        <v>80</v>
      </c>
      <c r="CE95" s="13">
        <f t="shared" si="70"/>
        <v>60682.853437499893</v>
      </c>
      <c r="CF95" s="13">
        <f t="shared" si="71"/>
        <v>7330.6500000000005</v>
      </c>
      <c r="CG95" s="14" t="s">
        <v>51</v>
      </c>
      <c r="CH95" s="9">
        <f>IFERROR(AVERAGE(N95,T95,Z95,AF95,AL95,AR95,AX95,BD95,BJ95,BP95,BV95,CB95)," ")</f>
        <v>1058937.9745833329</v>
      </c>
      <c r="CI95" s="9">
        <f>IFERROR(AVERAGE(O95,U95,AA95,AG95,AM95,AS95,AY95,BE95,BK95,BQ95,BW95,CC95)," ")</f>
        <v>156535.16666666666</v>
      </c>
      <c r="CJ95" s="9">
        <f>IFERROR(SUM(P95,V95,AB95,AH95,AN95,AT95,AZ95,BF95,BL95,BR95,BX95,CD95)," ")</f>
        <v>787</v>
      </c>
      <c r="CK95" s="10">
        <f>IFERROR(SUM(N95,T95,Z95,AF95,AL95,AR95,AX95,BD95,BJ95,BP95,BV95,CB95)/CJ95*3," ")</f>
        <v>48439.348265565415</v>
      </c>
      <c r="CL95" s="10">
        <f>IFERROR(SUM(O95,U95,AA95,AG95,AM95,AS95,AY95,BE95,BK95,BQ95,BW95,CC95)/CJ95*3," ")</f>
        <v>7160.4396442185516</v>
      </c>
      <c r="CM95" s="11" t="str">
        <f>IFERROR(AVERAGE(S95,Y95,AE95,AK95,AQ95,AW95,BC95,BI95,BO95,BU95,CA95,CG95)," ")</f>
        <v xml:space="preserve"> </v>
      </c>
      <c r="CN95" s="12"/>
      <c r="CO95" s="12"/>
      <c r="CP95" s="12"/>
    </row>
    <row r="96" spans="1:94" x14ac:dyDescent="0.3">
      <c r="A96" s="23" t="s">
        <v>115</v>
      </c>
      <c r="B96" s="9">
        <v>4197075.75</v>
      </c>
      <c r="C96" s="9">
        <v>66845.25</v>
      </c>
      <c r="D96" s="9">
        <v>1014</v>
      </c>
      <c r="E96" s="10">
        <v>149008.60650887573</v>
      </c>
      <c r="F96" s="10">
        <v>2373.2041420118344</v>
      </c>
      <c r="G96" s="11">
        <v>1.6074999999999999</v>
      </c>
      <c r="H96" s="9">
        <v>3430787.6363636362</v>
      </c>
      <c r="I96" s="9">
        <v>56173.36363636364</v>
      </c>
      <c r="J96" s="9">
        <v>849</v>
      </c>
      <c r="K96" s="10">
        <v>133352.16961130744</v>
      </c>
      <c r="L96" s="10">
        <v>2183.416961130742</v>
      </c>
      <c r="M96" s="11">
        <v>1.6409090909090909</v>
      </c>
      <c r="N96" s="12">
        <v>2787454.7000000067</v>
      </c>
      <c r="O96" s="12">
        <v>46622</v>
      </c>
      <c r="P96" s="12">
        <v>50</v>
      </c>
      <c r="Q96" s="13">
        <f t="shared" si="48"/>
        <v>167247.28200000041</v>
      </c>
      <c r="R96" s="13">
        <f t="shared" si="49"/>
        <v>2797.32</v>
      </c>
      <c r="S96" s="14"/>
      <c r="T96" s="12">
        <v>2915468.3500000038</v>
      </c>
      <c r="U96" s="12">
        <v>47377</v>
      </c>
      <c r="V96" s="12">
        <v>72</v>
      </c>
      <c r="W96" s="13">
        <f t="shared" si="50"/>
        <v>121477.84791666683</v>
      </c>
      <c r="X96" s="13">
        <f t="shared" si="51"/>
        <v>1974.0416666666667</v>
      </c>
      <c r="Y96" s="14"/>
      <c r="Z96" s="12">
        <v>2932370.5</v>
      </c>
      <c r="AA96" s="12">
        <v>44339</v>
      </c>
      <c r="AB96" s="12">
        <v>77</v>
      </c>
      <c r="AC96" s="13">
        <f t="shared" si="52"/>
        <v>114248.2012987013</v>
      </c>
      <c r="AD96" s="13">
        <f t="shared" si="53"/>
        <v>1727.4935064935066</v>
      </c>
      <c r="AE96" s="14"/>
      <c r="AF96" s="12">
        <v>1867341.5000000009</v>
      </c>
      <c r="AG96" s="12">
        <v>28644</v>
      </c>
      <c r="AH96" s="12">
        <v>49</v>
      </c>
      <c r="AI96" s="13">
        <f t="shared" si="54"/>
        <v>114327.03061224494</v>
      </c>
      <c r="AJ96" s="13">
        <f t="shared" si="55"/>
        <v>1753.7142857142858</v>
      </c>
      <c r="AK96" s="14"/>
      <c r="AL96" s="12">
        <v>2854505.7999999961</v>
      </c>
      <c r="AM96" s="12">
        <v>45957</v>
      </c>
      <c r="AN96" s="12">
        <v>72</v>
      </c>
      <c r="AO96" s="13">
        <f t="shared" si="56"/>
        <v>118937.74166666649</v>
      </c>
      <c r="AP96" s="13">
        <f t="shared" si="57"/>
        <v>1914.875</v>
      </c>
      <c r="AQ96" s="14"/>
      <c r="AR96" s="12">
        <v>1997802.1500000032</v>
      </c>
      <c r="AS96" s="12">
        <v>32809</v>
      </c>
      <c r="AT96" s="12">
        <v>56</v>
      </c>
      <c r="AU96" s="13">
        <f t="shared" si="58"/>
        <v>107025.11517857159</v>
      </c>
      <c r="AV96" s="13">
        <f t="shared" si="59"/>
        <v>1757.625</v>
      </c>
      <c r="AW96" s="14"/>
      <c r="AX96" s="12">
        <v>2556874.5500000017</v>
      </c>
      <c r="AY96" s="12">
        <v>48396</v>
      </c>
      <c r="AZ96" s="12">
        <v>73</v>
      </c>
      <c r="BA96" s="13">
        <f t="shared" si="60"/>
        <v>105077.03630136992</v>
      </c>
      <c r="BB96" s="13">
        <f t="shared" si="61"/>
        <v>1988.8767123287671</v>
      </c>
      <c r="BC96" s="14"/>
      <c r="BD96" s="12">
        <v>3204392.0000000028</v>
      </c>
      <c r="BE96" s="12">
        <v>58830</v>
      </c>
      <c r="BF96" s="12">
        <v>77</v>
      </c>
      <c r="BG96" s="13">
        <f t="shared" si="62"/>
        <v>124846.44155844166</v>
      </c>
      <c r="BH96" s="13">
        <f t="shared" si="63"/>
        <v>2292.0779220779223</v>
      </c>
      <c r="BI96" s="14"/>
      <c r="BJ96" s="12">
        <v>3098174.9900000067</v>
      </c>
      <c r="BK96" s="12">
        <v>64138</v>
      </c>
      <c r="BL96" s="12">
        <v>80</v>
      </c>
      <c r="BM96" s="13">
        <f t="shared" si="64"/>
        <v>116181.56212500024</v>
      </c>
      <c r="BN96" s="13">
        <f t="shared" si="65"/>
        <v>2405.1750000000002</v>
      </c>
      <c r="BO96" s="14"/>
      <c r="BP96" s="12">
        <v>3664175.4999999939</v>
      </c>
      <c r="BQ96" s="12">
        <v>58158</v>
      </c>
      <c r="BR96" s="12">
        <v>82</v>
      </c>
      <c r="BS96" s="13">
        <f t="shared" si="66"/>
        <v>134055.20121951198</v>
      </c>
      <c r="BT96" s="13">
        <f t="shared" si="67"/>
        <v>2127.7317073170734</v>
      </c>
      <c r="BU96" s="14"/>
      <c r="BV96" s="12">
        <v>4173142.3999999897</v>
      </c>
      <c r="BW96" s="12">
        <v>75386</v>
      </c>
      <c r="BX96" s="12">
        <v>86</v>
      </c>
      <c r="BY96" s="13">
        <f t="shared" si="68"/>
        <v>145574.73488372058</v>
      </c>
      <c r="BZ96" s="13">
        <f t="shared" si="69"/>
        <v>2629.7441860465115</v>
      </c>
      <c r="CA96" s="14"/>
      <c r="CB96" s="12">
        <v>3130053.2499999953</v>
      </c>
      <c r="CC96" s="12">
        <v>44736</v>
      </c>
      <c r="CD96" s="12">
        <v>76</v>
      </c>
      <c r="CE96" s="13">
        <f t="shared" si="70"/>
        <v>123554.7335526314</v>
      </c>
      <c r="CF96" s="13">
        <f t="shared" si="71"/>
        <v>1765.8947368421054</v>
      </c>
      <c r="CG96" s="14" t="s">
        <v>51</v>
      </c>
      <c r="CH96" s="9">
        <f t="shared" si="72"/>
        <v>2931812.9741666666</v>
      </c>
      <c r="CI96" s="9">
        <f t="shared" si="72"/>
        <v>49616</v>
      </c>
      <c r="CJ96" s="9">
        <f t="shared" si="44"/>
        <v>850</v>
      </c>
      <c r="CK96" s="10">
        <f t="shared" si="45"/>
        <v>124170.90243529412</v>
      </c>
      <c r="CL96" s="10">
        <f t="shared" si="46"/>
        <v>2101.3835294117648</v>
      </c>
      <c r="CM96" s="11" t="str">
        <f t="shared" si="47"/>
        <v xml:space="preserve"> </v>
      </c>
      <c r="CN96" s="12"/>
      <c r="CO96" s="12"/>
      <c r="CP96" s="12"/>
    </row>
    <row r="97" spans="1:94" x14ac:dyDescent="0.3">
      <c r="A97" s="23" t="s">
        <v>116</v>
      </c>
      <c r="B97" s="9">
        <v>6017600.666666667</v>
      </c>
      <c r="C97" s="9">
        <v>32823.666666666664</v>
      </c>
      <c r="D97" s="9">
        <v>1026</v>
      </c>
      <c r="E97" s="10">
        <v>211143.88304093567</v>
      </c>
      <c r="F97" s="10">
        <v>1151.7076023391812</v>
      </c>
      <c r="G97" s="11">
        <v>0.93833333333333335</v>
      </c>
      <c r="H97" s="9">
        <v>4559038.1818181816</v>
      </c>
      <c r="I97" s="9">
        <v>24393.81818181818</v>
      </c>
      <c r="J97" s="9">
        <v>801</v>
      </c>
      <c r="K97" s="10">
        <v>187825.54307116105</v>
      </c>
      <c r="L97" s="10">
        <v>1004.9887640449438</v>
      </c>
      <c r="M97" s="11">
        <v>0.92454545454545434</v>
      </c>
      <c r="N97" s="12">
        <v>3862713</v>
      </c>
      <c r="O97" s="12">
        <v>24165</v>
      </c>
      <c r="P97" s="12">
        <v>55</v>
      </c>
      <c r="Q97" s="13">
        <f t="shared" si="48"/>
        <v>210693.4363636364</v>
      </c>
      <c r="R97" s="13">
        <f t="shared" si="49"/>
        <v>1318.090909090909</v>
      </c>
      <c r="S97" s="14"/>
      <c r="T97" s="12">
        <v>4008129</v>
      </c>
      <c r="U97" s="12">
        <v>26137</v>
      </c>
      <c r="V97" s="12">
        <v>72</v>
      </c>
      <c r="W97" s="13">
        <f t="shared" si="50"/>
        <v>167005.375</v>
      </c>
      <c r="X97" s="13">
        <f t="shared" si="51"/>
        <v>1089.0416666666667</v>
      </c>
      <c r="Y97" s="14"/>
      <c r="Z97" s="12">
        <v>4017026</v>
      </c>
      <c r="AA97" s="12">
        <v>21338</v>
      </c>
      <c r="AB97" s="12">
        <v>76</v>
      </c>
      <c r="AC97" s="13">
        <f t="shared" si="52"/>
        <v>158566.81578947368</v>
      </c>
      <c r="AD97" s="13">
        <f t="shared" si="53"/>
        <v>842.28947368421041</v>
      </c>
      <c r="AE97" s="14"/>
      <c r="AF97" s="12">
        <v>1972155</v>
      </c>
      <c r="AG97" s="12">
        <v>10076</v>
      </c>
      <c r="AH97" s="12">
        <v>43</v>
      </c>
      <c r="AI97" s="13">
        <f t="shared" si="54"/>
        <v>137592.20930232559</v>
      </c>
      <c r="AJ97" s="13">
        <f t="shared" si="55"/>
        <v>702.97674418604652</v>
      </c>
      <c r="AK97" s="14"/>
      <c r="AL97" s="12">
        <v>3010149</v>
      </c>
      <c r="AM97" s="12">
        <v>17449</v>
      </c>
      <c r="AN97" s="12">
        <v>51</v>
      </c>
      <c r="AO97" s="13">
        <f t="shared" si="56"/>
        <v>177067.58823529413</v>
      </c>
      <c r="AP97" s="13">
        <f t="shared" si="57"/>
        <v>1026.4117647058824</v>
      </c>
      <c r="AQ97" s="14"/>
      <c r="AR97" s="12">
        <v>2315415</v>
      </c>
      <c r="AS97" s="12">
        <v>12355</v>
      </c>
      <c r="AT97" s="12">
        <v>53</v>
      </c>
      <c r="AU97" s="13">
        <f t="shared" si="58"/>
        <v>131061.22641509434</v>
      </c>
      <c r="AV97" s="13">
        <f t="shared" si="59"/>
        <v>699.33962264150944</v>
      </c>
      <c r="AW97" s="14"/>
      <c r="AX97" s="12">
        <v>3962347</v>
      </c>
      <c r="AY97" s="12">
        <v>23486</v>
      </c>
      <c r="AZ97" s="12">
        <v>76</v>
      </c>
      <c r="BA97" s="13">
        <f t="shared" si="60"/>
        <v>156408.43421052632</v>
      </c>
      <c r="BB97" s="13">
        <f t="shared" si="61"/>
        <v>927.07894736842104</v>
      </c>
      <c r="BC97" s="14"/>
      <c r="BD97" s="12">
        <v>3416681</v>
      </c>
      <c r="BE97" s="12">
        <v>23159</v>
      </c>
      <c r="BF97" s="12">
        <v>48</v>
      </c>
      <c r="BG97" s="13">
        <f t="shared" si="62"/>
        <v>213542.5625</v>
      </c>
      <c r="BH97" s="13">
        <f t="shared" si="63"/>
        <v>1447.4375</v>
      </c>
      <c r="BI97" s="14"/>
      <c r="BJ97" s="12">
        <v>2383136</v>
      </c>
      <c r="BK97" s="12">
        <v>18019</v>
      </c>
      <c r="BL97" s="12">
        <v>48</v>
      </c>
      <c r="BM97" s="13">
        <f t="shared" si="64"/>
        <v>148946</v>
      </c>
      <c r="BN97" s="13">
        <f t="shared" si="65"/>
        <v>1126.1875</v>
      </c>
      <c r="BO97" s="14"/>
      <c r="BP97" s="12">
        <v>3712180</v>
      </c>
      <c r="BQ97" s="12">
        <v>20822</v>
      </c>
      <c r="BR97" s="12">
        <v>80</v>
      </c>
      <c r="BS97" s="13">
        <f t="shared" si="66"/>
        <v>139206.75</v>
      </c>
      <c r="BT97" s="13">
        <f t="shared" si="67"/>
        <v>780.82499999999993</v>
      </c>
      <c r="BU97" s="14"/>
      <c r="BV97" s="12">
        <v>4344448</v>
      </c>
      <c r="BW97" s="12">
        <v>22220</v>
      </c>
      <c r="BX97" s="12">
        <v>74</v>
      </c>
      <c r="BY97" s="13">
        <f t="shared" si="68"/>
        <v>176126.2702702703</v>
      </c>
      <c r="BZ97" s="13">
        <f t="shared" si="69"/>
        <v>900.81081081081084</v>
      </c>
      <c r="CA97" s="14"/>
      <c r="CB97" s="12">
        <v>4178209</v>
      </c>
      <c r="CC97" s="12">
        <v>20230</v>
      </c>
      <c r="CD97" s="12">
        <v>75</v>
      </c>
      <c r="CE97" s="13">
        <f t="shared" si="70"/>
        <v>167128.35999999999</v>
      </c>
      <c r="CF97" s="13">
        <f t="shared" si="71"/>
        <v>809.2</v>
      </c>
      <c r="CG97" s="14" t="s">
        <v>51</v>
      </c>
      <c r="CH97" s="9">
        <f t="shared" si="72"/>
        <v>3431882.3333333335</v>
      </c>
      <c r="CI97" s="9">
        <f t="shared" si="72"/>
        <v>19954.666666666668</v>
      </c>
      <c r="CJ97" s="9">
        <f t="shared" si="44"/>
        <v>751</v>
      </c>
      <c r="CK97" s="10">
        <f t="shared" si="45"/>
        <v>164511.00399467375</v>
      </c>
      <c r="CL97" s="10">
        <f t="shared" si="46"/>
        <v>956.54860186418102</v>
      </c>
      <c r="CM97" s="11" t="str">
        <f t="shared" si="47"/>
        <v xml:space="preserve"> </v>
      </c>
      <c r="CN97" s="12"/>
      <c r="CO97" s="12"/>
      <c r="CP97" s="12"/>
    </row>
    <row r="98" spans="1:94" x14ac:dyDescent="0.3">
      <c r="A98" s="23" t="s">
        <v>117</v>
      </c>
      <c r="B98" s="9">
        <v>6647345.833333333</v>
      </c>
      <c r="C98" s="9">
        <v>44796.333333333336</v>
      </c>
      <c r="D98" s="9">
        <v>1029</v>
      </c>
      <c r="E98" s="10">
        <v>232560.20408163266</v>
      </c>
      <c r="F98" s="10">
        <v>1567.2186588921281</v>
      </c>
      <c r="G98" s="11">
        <v>1.0441666666666667</v>
      </c>
      <c r="H98" s="9">
        <v>5037910.8181818184</v>
      </c>
      <c r="I98" s="9">
        <v>32095.636363636364</v>
      </c>
      <c r="J98" s="9">
        <v>798</v>
      </c>
      <c r="K98" s="10">
        <v>208334.65789473683</v>
      </c>
      <c r="L98" s="10">
        <v>1327.2631578947369</v>
      </c>
      <c r="M98" s="11">
        <v>1.009090909090909</v>
      </c>
      <c r="N98" s="12">
        <v>3696370</v>
      </c>
      <c r="O98" s="12">
        <v>26251</v>
      </c>
      <c r="P98" s="12">
        <v>54</v>
      </c>
      <c r="Q98" s="13">
        <f t="shared" si="48"/>
        <v>205353.88888888888</v>
      </c>
      <c r="R98" s="13">
        <f t="shared" si="49"/>
        <v>1458.3888888888889</v>
      </c>
      <c r="S98" s="14"/>
      <c r="T98" s="12">
        <v>5096396.4500000048</v>
      </c>
      <c r="U98" s="12">
        <v>35739</v>
      </c>
      <c r="V98" s="12">
        <v>76</v>
      </c>
      <c r="W98" s="13">
        <f t="shared" si="50"/>
        <v>201173.54407894757</v>
      </c>
      <c r="X98" s="13">
        <f t="shared" si="51"/>
        <v>1410.75</v>
      </c>
      <c r="Y98" s="14"/>
      <c r="Z98" s="12">
        <v>4262320.9000000004</v>
      </c>
      <c r="AA98" s="12">
        <v>30382</v>
      </c>
      <c r="AB98" s="12">
        <v>76</v>
      </c>
      <c r="AC98" s="13">
        <f t="shared" si="52"/>
        <v>168249.50921052633</v>
      </c>
      <c r="AD98" s="13">
        <f t="shared" si="53"/>
        <v>1199.2894736842104</v>
      </c>
      <c r="AE98" s="14"/>
      <c r="AF98" s="12">
        <v>2591366.5999999992</v>
      </c>
      <c r="AG98" s="12">
        <v>21221</v>
      </c>
      <c r="AH98" s="12">
        <v>46</v>
      </c>
      <c r="AI98" s="13">
        <f t="shared" si="54"/>
        <v>169002.16956521734</v>
      </c>
      <c r="AJ98" s="13">
        <f t="shared" si="55"/>
        <v>1383.9782608695652</v>
      </c>
      <c r="AK98" s="14"/>
      <c r="AL98" s="12">
        <v>4219943</v>
      </c>
      <c r="AM98" s="12">
        <v>37544</v>
      </c>
      <c r="AN98" s="12">
        <v>69</v>
      </c>
      <c r="AO98" s="13">
        <f t="shared" si="56"/>
        <v>183475.78260869565</v>
      </c>
      <c r="AP98" s="13">
        <f t="shared" si="57"/>
        <v>1632.3478260869565</v>
      </c>
      <c r="AQ98" s="14"/>
      <c r="AR98" s="12">
        <v>3589310</v>
      </c>
      <c r="AS98" s="12">
        <v>27077</v>
      </c>
      <c r="AT98" s="12">
        <v>63</v>
      </c>
      <c r="AU98" s="13">
        <f t="shared" si="58"/>
        <v>170919.52380952379</v>
      </c>
      <c r="AV98" s="13">
        <f t="shared" si="59"/>
        <v>1289.3809523809523</v>
      </c>
      <c r="AW98" s="14"/>
      <c r="AX98" s="12">
        <v>4410157</v>
      </c>
      <c r="AY98" s="12">
        <v>35701</v>
      </c>
      <c r="AZ98" s="12">
        <v>78</v>
      </c>
      <c r="BA98" s="13">
        <f t="shared" si="60"/>
        <v>169621.42307692306</v>
      </c>
      <c r="BB98" s="13">
        <f t="shared" si="61"/>
        <v>1373.1153846153848</v>
      </c>
      <c r="BC98" s="14"/>
      <c r="BD98" s="12">
        <v>4408231</v>
      </c>
      <c r="BE98" s="12">
        <v>31423</v>
      </c>
      <c r="BF98" s="12">
        <v>72</v>
      </c>
      <c r="BG98" s="13">
        <f t="shared" si="62"/>
        <v>183676.29166666666</v>
      </c>
      <c r="BH98" s="13">
        <f t="shared" si="63"/>
        <v>1309.2916666666665</v>
      </c>
      <c r="BI98" s="14"/>
      <c r="BJ98" s="12">
        <v>5753288</v>
      </c>
      <c r="BK98" s="12">
        <v>39100</v>
      </c>
      <c r="BL98" s="12">
        <v>81</v>
      </c>
      <c r="BM98" s="13">
        <f t="shared" si="64"/>
        <v>213084.74074074076</v>
      </c>
      <c r="BN98" s="13">
        <f t="shared" si="65"/>
        <v>1448.1481481481483</v>
      </c>
      <c r="BO98" s="14"/>
      <c r="BP98" s="12">
        <v>5922275</v>
      </c>
      <c r="BQ98" s="12">
        <v>50297</v>
      </c>
      <c r="BR98" s="12">
        <v>86</v>
      </c>
      <c r="BS98" s="13">
        <f t="shared" si="66"/>
        <v>206590.98837209304</v>
      </c>
      <c r="BT98" s="13">
        <f t="shared" si="67"/>
        <v>1754.546511627907</v>
      </c>
      <c r="BU98" s="14"/>
      <c r="BV98" s="12">
        <v>5118014</v>
      </c>
      <c r="BW98" s="12">
        <v>41650</v>
      </c>
      <c r="BX98" s="12">
        <v>81</v>
      </c>
      <c r="BY98" s="13">
        <f t="shared" si="68"/>
        <v>189556.07407407407</v>
      </c>
      <c r="BZ98" s="13">
        <f t="shared" si="69"/>
        <v>1542.5925925925926</v>
      </c>
      <c r="CA98" s="14"/>
      <c r="CB98" s="12">
        <v>5246735</v>
      </c>
      <c r="CC98" s="12">
        <v>31772</v>
      </c>
      <c r="CD98" s="12">
        <v>79</v>
      </c>
      <c r="CE98" s="13">
        <f t="shared" si="70"/>
        <v>199243.1012658228</v>
      </c>
      <c r="CF98" s="13">
        <f t="shared" si="71"/>
        <v>1206.5316455696202</v>
      </c>
      <c r="CG98" s="14" t="s">
        <v>51</v>
      </c>
      <c r="CH98" s="9">
        <f t="shared" si="72"/>
        <v>4526200.5791666666</v>
      </c>
      <c r="CI98" s="9">
        <f t="shared" si="72"/>
        <v>34013.083333333336</v>
      </c>
      <c r="CJ98" s="9">
        <f t="shared" si="44"/>
        <v>861</v>
      </c>
      <c r="CK98" s="10">
        <f t="shared" si="45"/>
        <v>189248.80470383275</v>
      </c>
      <c r="CL98" s="10">
        <f t="shared" si="46"/>
        <v>1422.1498257839721</v>
      </c>
      <c r="CM98" s="11" t="str">
        <f t="shared" si="47"/>
        <v xml:space="preserve"> </v>
      </c>
      <c r="CN98" s="12"/>
      <c r="CO98" s="12"/>
      <c r="CP98" s="12"/>
    </row>
    <row r="99" spans="1:94" x14ac:dyDescent="0.3">
      <c r="A99" s="23" t="s">
        <v>118</v>
      </c>
      <c r="B99" s="9">
        <v>6534778.416666667</v>
      </c>
      <c r="C99" s="9">
        <v>43008.083333333336</v>
      </c>
      <c r="D99" s="9">
        <v>1028</v>
      </c>
      <c r="E99" s="10">
        <v>228844.38035019452</v>
      </c>
      <c r="F99" s="10">
        <v>1506.1196498054474</v>
      </c>
      <c r="G99" s="11">
        <v>1.03</v>
      </c>
      <c r="H99" s="9">
        <v>5268054.1818181816</v>
      </c>
      <c r="I99" s="9">
        <v>35689.63636363636</v>
      </c>
      <c r="J99" s="9">
        <v>846</v>
      </c>
      <c r="K99" s="10">
        <v>205491.47517730494</v>
      </c>
      <c r="L99" s="10">
        <v>1392.1489361702127</v>
      </c>
      <c r="M99" s="11">
        <v>1.041818181818182</v>
      </c>
      <c r="N99" s="12">
        <v>3995897</v>
      </c>
      <c r="O99" s="12">
        <v>24346</v>
      </c>
      <c r="P99" s="12">
        <v>54</v>
      </c>
      <c r="Q99" s="13">
        <f t="shared" si="48"/>
        <v>221994.27777777781</v>
      </c>
      <c r="R99" s="13">
        <f t="shared" si="49"/>
        <v>1352.5555555555557</v>
      </c>
      <c r="S99" s="14"/>
      <c r="T99" s="12">
        <v>4278268.0999999978</v>
      </c>
      <c r="U99" s="12">
        <v>32254</v>
      </c>
      <c r="V99" s="12">
        <v>71</v>
      </c>
      <c r="W99" s="13">
        <f t="shared" si="50"/>
        <v>180771.89154929569</v>
      </c>
      <c r="X99" s="13">
        <f t="shared" si="51"/>
        <v>1362.8450704225352</v>
      </c>
      <c r="Y99" s="14"/>
      <c r="Z99" s="12">
        <v>3528915.5</v>
      </c>
      <c r="AA99" s="12">
        <v>27704</v>
      </c>
      <c r="AB99" s="12">
        <v>66</v>
      </c>
      <c r="AC99" s="13">
        <f t="shared" si="52"/>
        <v>160405.25</v>
      </c>
      <c r="AD99" s="13">
        <f t="shared" si="53"/>
        <v>1259.2727272727273</v>
      </c>
      <c r="AE99" s="14"/>
      <c r="AF99" s="12">
        <v>2478177</v>
      </c>
      <c r="AG99" s="12">
        <v>21220</v>
      </c>
      <c r="AH99" s="12">
        <v>47</v>
      </c>
      <c r="AI99" s="13">
        <f t="shared" si="54"/>
        <v>158181.51063829788</v>
      </c>
      <c r="AJ99" s="13">
        <f t="shared" si="55"/>
        <v>1354.4680851063831</v>
      </c>
      <c r="AK99" s="14"/>
      <c r="AL99" s="12">
        <v>4760936</v>
      </c>
      <c r="AM99" s="12">
        <v>40515</v>
      </c>
      <c r="AN99" s="12">
        <v>70</v>
      </c>
      <c r="AO99" s="13">
        <f t="shared" si="56"/>
        <v>204040.11428571428</v>
      </c>
      <c r="AP99" s="13">
        <f t="shared" si="57"/>
        <v>1736.3571428571431</v>
      </c>
      <c r="AQ99" s="14"/>
      <c r="AR99" s="12">
        <v>4068055</v>
      </c>
      <c r="AS99" s="12">
        <v>32041</v>
      </c>
      <c r="AT99" s="12">
        <v>60</v>
      </c>
      <c r="AU99" s="13">
        <f t="shared" si="58"/>
        <v>203402.75</v>
      </c>
      <c r="AV99" s="13">
        <f t="shared" si="59"/>
        <v>1602.05</v>
      </c>
      <c r="AW99" s="14"/>
      <c r="AX99" s="12">
        <v>4789853.5999999996</v>
      </c>
      <c r="AY99" s="12">
        <v>35667</v>
      </c>
      <c r="AZ99" s="12">
        <v>78</v>
      </c>
      <c r="BA99" s="13">
        <f t="shared" si="60"/>
        <v>184225.13846153844</v>
      </c>
      <c r="BB99" s="13">
        <f t="shared" si="61"/>
        <v>1371.8076923076924</v>
      </c>
      <c r="BC99" s="14"/>
      <c r="BD99" s="12">
        <v>4629565</v>
      </c>
      <c r="BE99" s="12">
        <v>28674</v>
      </c>
      <c r="BF99" s="12">
        <v>73</v>
      </c>
      <c r="BG99" s="13">
        <f t="shared" si="62"/>
        <v>190256.09589041094</v>
      </c>
      <c r="BH99" s="13">
        <f t="shared" si="63"/>
        <v>1178.3835616438355</v>
      </c>
      <c r="BI99" s="14"/>
      <c r="BJ99" s="12">
        <v>5559183</v>
      </c>
      <c r="BK99" s="12">
        <v>33570</v>
      </c>
      <c r="BL99" s="12">
        <v>84</v>
      </c>
      <c r="BM99" s="13">
        <f t="shared" si="64"/>
        <v>198542.25</v>
      </c>
      <c r="BN99" s="13">
        <f t="shared" si="65"/>
        <v>1198.9285714285716</v>
      </c>
      <c r="BO99" s="14"/>
      <c r="BP99" s="12">
        <v>5932401</v>
      </c>
      <c r="BQ99" s="12">
        <v>43921</v>
      </c>
      <c r="BR99" s="12">
        <v>87</v>
      </c>
      <c r="BS99" s="13">
        <f t="shared" si="66"/>
        <v>204565.55172413791</v>
      </c>
      <c r="BT99" s="13">
        <f t="shared" si="67"/>
        <v>1514.5172413793102</v>
      </c>
      <c r="BU99" s="14"/>
      <c r="BV99" s="12">
        <v>4992268</v>
      </c>
      <c r="BW99" s="12">
        <v>37848</v>
      </c>
      <c r="BX99" s="12">
        <v>85</v>
      </c>
      <c r="BY99" s="13">
        <f t="shared" si="68"/>
        <v>176197.69411764707</v>
      </c>
      <c r="BZ99" s="13">
        <f t="shared" si="69"/>
        <v>1335.8117647058823</v>
      </c>
      <c r="CA99" s="14"/>
      <c r="CB99" s="12">
        <v>5892842</v>
      </c>
      <c r="CC99" s="12">
        <v>40004</v>
      </c>
      <c r="CD99" s="12">
        <v>80</v>
      </c>
      <c r="CE99" s="13">
        <f t="shared" si="70"/>
        <v>220981.57499999998</v>
      </c>
      <c r="CF99" s="13">
        <f t="shared" si="71"/>
        <v>1500.15</v>
      </c>
      <c r="CG99" s="14" t="s">
        <v>51</v>
      </c>
      <c r="CH99" s="9">
        <f t="shared" si="72"/>
        <v>4575530.0999999996</v>
      </c>
      <c r="CI99" s="9">
        <f t="shared" si="72"/>
        <v>33147</v>
      </c>
      <c r="CJ99" s="9">
        <f t="shared" si="44"/>
        <v>855</v>
      </c>
      <c r="CK99" s="10">
        <f t="shared" si="45"/>
        <v>192653.89894736841</v>
      </c>
      <c r="CL99" s="10">
        <f t="shared" si="46"/>
        <v>1395.663157894737</v>
      </c>
      <c r="CM99" s="11" t="str">
        <f t="shared" si="47"/>
        <v xml:space="preserve"> </v>
      </c>
      <c r="CN99" s="12"/>
      <c r="CO99" s="12"/>
      <c r="CP99" s="12"/>
    </row>
    <row r="100" spans="1:94" x14ac:dyDescent="0.3">
      <c r="A100" s="23" t="s">
        <v>119</v>
      </c>
      <c r="B100" s="9">
        <v>8039203.166666667</v>
      </c>
      <c r="C100" s="9">
        <v>258717.25</v>
      </c>
      <c r="D100" s="9">
        <v>1006</v>
      </c>
      <c r="E100" s="10">
        <v>287685.20278330019</v>
      </c>
      <c r="F100" s="10">
        <v>9258.2713717693841</v>
      </c>
      <c r="G100" s="11">
        <v>2.289166666666667</v>
      </c>
      <c r="H100" s="9">
        <v>6607364.7272727275</v>
      </c>
      <c r="I100" s="9">
        <v>204293.72727272726</v>
      </c>
      <c r="J100" s="9">
        <v>792</v>
      </c>
      <c r="K100" s="10">
        <v>275306.86363636365</v>
      </c>
      <c r="L100" s="10">
        <v>8512.238636363636</v>
      </c>
      <c r="M100" s="11">
        <v>2.2236363636363632</v>
      </c>
      <c r="N100" s="12">
        <v>3497764</v>
      </c>
      <c r="O100" s="12">
        <v>143225</v>
      </c>
      <c r="P100" s="12">
        <v>49</v>
      </c>
      <c r="Q100" s="13">
        <f t="shared" si="48"/>
        <v>214148.81632653062</v>
      </c>
      <c r="R100" s="13">
        <f t="shared" si="49"/>
        <v>8768.8775510204086</v>
      </c>
      <c r="S100" s="14"/>
      <c r="T100" s="12">
        <v>3775779</v>
      </c>
      <c r="U100" s="12">
        <v>131282</v>
      </c>
      <c r="V100" s="12">
        <v>63</v>
      </c>
      <c r="W100" s="13">
        <f t="shared" si="50"/>
        <v>179799</v>
      </c>
      <c r="X100" s="13">
        <f t="shared" si="51"/>
        <v>6251.5238095238092</v>
      </c>
      <c r="Y100" s="14"/>
      <c r="Z100" s="12">
        <v>4146764</v>
      </c>
      <c r="AA100" s="12">
        <v>140033</v>
      </c>
      <c r="AB100" s="12">
        <v>72</v>
      </c>
      <c r="AC100" s="13">
        <f t="shared" si="52"/>
        <v>172781.83333333334</v>
      </c>
      <c r="AD100" s="13">
        <f t="shared" si="53"/>
        <v>5834.7083333333339</v>
      </c>
      <c r="AE100" s="14"/>
      <c r="AF100" s="12">
        <v>2517441</v>
      </c>
      <c r="AG100" s="12">
        <v>85830</v>
      </c>
      <c r="AH100" s="12">
        <v>44</v>
      </c>
      <c r="AI100" s="13">
        <f t="shared" si="54"/>
        <v>171643.70454545456</v>
      </c>
      <c r="AJ100" s="13">
        <f t="shared" si="55"/>
        <v>5852.045454545455</v>
      </c>
      <c r="AK100" s="14"/>
      <c r="AL100" s="12">
        <v>2749728</v>
      </c>
      <c r="AM100" s="12">
        <v>102845</v>
      </c>
      <c r="AN100" s="12">
        <v>58</v>
      </c>
      <c r="AO100" s="13">
        <f t="shared" si="56"/>
        <v>142227.31034482759</v>
      </c>
      <c r="AP100" s="13">
        <f t="shared" si="57"/>
        <v>5319.5689655172409</v>
      </c>
      <c r="AQ100" s="14"/>
      <c r="AR100" s="12">
        <v>2369703</v>
      </c>
      <c r="AS100" s="12">
        <v>87780</v>
      </c>
      <c r="AT100" s="12">
        <v>50</v>
      </c>
      <c r="AU100" s="13">
        <f t="shared" si="58"/>
        <v>142182.18</v>
      </c>
      <c r="AV100" s="13">
        <f t="shared" si="59"/>
        <v>5266.7999999999993</v>
      </c>
      <c r="AW100" s="14"/>
      <c r="AX100" s="12">
        <v>3717573.799999998</v>
      </c>
      <c r="AY100" s="12">
        <v>131363</v>
      </c>
      <c r="AZ100" s="12">
        <v>72</v>
      </c>
      <c r="BA100" s="13">
        <f t="shared" si="60"/>
        <v>154898.90833333327</v>
      </c>
      <c r="BB100" s="13">
        <f t="shared" si="61"/>
        <v>5473.458333333333</v>
      </c>
      <c r="BC100" s="14"/>
      <c r="BD100" s="12">
        <v>3791209</v>
      </c>
      <c r="BE100" s="12">
        <v>136905</v>
      </c>
      <c r="BF100" s="12">
        <v>68</v>
      </c>
      <c r="BG100" s="13">
        <f t="shared" si="62"/>
        <v>167259.2205882353</v>
      </c>
      <c r="BH100" s="13">
        <f t="shared" si="63"/>
        <v>6039.9264705882351</v>
      </c>
      <c r="BI100" s="14"/>
      <c r="BJ100" s="12">
        <v>3981646</v>
      </c>
      <c r="BK100" s="12">
        <v>156026</v>
      </c>
      <c r="BL100" s="12">
        <v>75</v>
      </c>
      <c r="BM100" s="13">
        <f t="shared" si="64"/>
        <v>159265.84</v>
      </c>
      <c r="BN100" s="13">
        <f t="shared" si="65"/>
        <v>6241.0400000000009</v>
      </c>
      <c r="BO100" s="14"/>
      <c r="BP100" s="12">
        <v>4627090</v>
      </c>
      <c r="BQ100" s="12">
        <v>156623</v>
      </c>
      <c r="BR100" s="12">
        <v>83</v>
      </c>
      <c r="BS100" s="13">
        <f t="shared" si="66"/>
        <v>167244.21686746989</v>
      </c>
      <c r="BT100" s="13">
        <f t="shared" si="67"/>
        <v>5661.0722891566265</v>
      </c>
      <c r="BU100" s="14"/>
      <c r="BV100" s="12">
        <v>4989188</v>
      </c>
      <c r="BW100" s="12">
        <v>163029</v>
      </c>
      <c r="BX100" s="12">
        <v>79</v>
      </c>
      <c r="BY100" s="13">
        <f t="shared" si="68"/>
        <v>189462.83544303797</v>
      </c>
      <c r="BZ100" s="13">
        <f t="shared" si="69"/>
        <v>6190.9746835443038</v>
      </c>
      <c r="CA100" s="14"/>
      <c r="CB100" s="12">
        <v>4609545</v>
      </c>
      <c r="CC100" s="12">
        <v>172029</v>
      </c>
      <c r="CD100" s="12">
        <v>78</v>
      </c>
      <c r="CE100" s="13">
        <f t="shared" si="70"/>
        <v>177290.19230769231</v>
      </c>
      <c r="CF100" s="13">
        <f t="shared" si="71"/>
        <v>6616.5</v>
      </c>
      <c r="CG100" s="14" t="s">
        <v>51</v>
      </c>
      <c r="CH100" s="9">
        <f t="shared" si="72"/>
        <v>3731119.2333333329</v>
      </c>
      <c r="CI100" s="9">
        <f t="shared" si="72"/>
        <v>133914.16666666666</v>
      </c>
      <c r="CJ100" s="9">
        <f t="shared" si="44"/>
        <v>791</v>
      </c>
      <c r="CK100" s="10">
        <f t="shared" si="45"/>
        <v>169810.73628318583</v>
      </c>
      <c r="CL100" s="10">
        <f t="shared" si="46"/>
        <v>6094.7029077117577</v>
      </c>
      <c r="CM100" s="11" t="str">
        <f t="shared" si="47"/>
        <v xml:space="preserve"> </v>
      </c>
      <c r="CN100" s="12"/>
      <c r="CO100" s="12"/>
      <c r="CP100" s="12"/>
    </row>
    <row r="101" spans="1:94" x14ac:dyDescent="0.3">
      <c r="A101" s="23" t="s">
        <v>120</v>
      </c>
      <c r="B101" s="9">
        <v>5618738.583333333</v>
      </c>
      <c r="C101" s="9">
        <v>101304.58333333333</v>
      </c>
      <c r="D101" s="9">
        <v>1025</v>
      </c>
      <c r="E101" s="10">
        <v>197341.06243902439</v>
      </c>
      <c r="F101" s="10">
        <v>3558.0146341463415</v>
      </c>
      <c r="G101" s="11">
        <v>1.7091666666666667</v>
      </c>
      <c r="H101" s="9">
        <v>3246285</v>
      </c>
      <c r="I101" s="9">
        <v>64172.909090909088</v>
      </c>
      <c r="J101" s="9">
        <v>766</v>
      </c>
      <c r="K101" s="10">
        <v>139853.00913838123</v>
      </c>
      <c r="L101" s="10">
        <v>2764.6292428198435</v>
      </c>
      <c r="M101" s="11">
        <v>1.7827272727272727</v>
      </c>
      <c r="N101" s="12">
        <v>3067316</v>
      </c>
      <c r="O101" s="12">
        <v>55600</v>
      </c>
      <c r="P101" s="12">
        <v>58</v>
      </c>
      <c r="Q101" s="13">
        <f t="shared" si="48"/>
        <v>158654.27586206896</v>
      </c>
      <c r="R101" s="13">
        <f t="shared" si="49"/>
        <v>2875.8620689655172</v>
      </c>
      <c r="S101" s="14"/>
      <c r="T101" s="12">
        <v>3419243</v>
      </c>
      <c r="U101" s="12">
        <v>77610</v>
      </c>
      <c r="V101" s="12">
        <v>82</v>
      </c>
      <c r="W101" s="13">
        <f t="shared" si="50"/>
        <v>125094.25609756098</v>
      </c>
      <c r="X101" s="13">
        <f t="shared" si="51"/>
        <v>2839.3902439024391</v>
      </c>
      <c r="Y101" s="14"/>
      <c r="Z101" s="12">
        <v>4338064</v>
      </c>
      <c r="AA101" s="12">
        <v>78428</v>
      </c>
      <c r="AB101" s="12">
        <v>93</v>
      </c>
      <c r="AC101" s="13">
        <f t="shared" si="52"/>
        <v>139937.54838709679</v>
      </c>
      <c r="AD101" s="13">
        <f t="shared" si="53"/>
        <v>2529.9354838709678</v>
      </c>
      <c r="AE101" s="14"/>
      <c r="AF101" s="12">
        <v>2654610</v>
      </c>
      <c r="AG101" s="12">
        <v>46079</v>
      </c>
      <c r="AH101" s="12">
        <v>55</v>
      </c>
      <c r="AI101" s="13">
        <f t="shared" si="54"/>
        <v>144796.90909090909</v>
      </c>
      <c r="AJ101" s="13">
        <f t="shared" si="55"/>
        <v>2513.3999999999996</v>
      </c>
      <c r="AK101" s="14"/>
      <c r="AL101" s="12">
        <v>3301754</v>
      </c>
      <c r="AM101" s="12">
        <v>69570</v>
      </c>
      <c r="AN101" s="12">
        <v>76</v>
      </c>
      <c r="AO101" s="13">
        <f t="shared" si="56"/>
        <v>130332.39473684211</v>
      </c>
      <c r="AP101" s="13">
        <f t="shared" si="57"/>
        <v>2746.1842105263158</v>
      </c>
      <c r="AQ101" s="14"/>
      <c r="AR101" s="12">
        <v>2958467</v>
      </c>
      <c r="AS101" s="12">
        <v>53454</v>
      </c>
      <c r="AT101" s="12">
        <v>63</v>
      </c>
      <c r="AU101" s="13">
        <f t="shared" si="58"/>
        <v>140879.38095238095</v>
      </c>
      <c r="AV101" s="13">
        <f t="shared" si="59"/>
        <v>2545.4285714285716</v>
      </c>
      <c r="AW101" s="14"/>
      <c r="AX101" s="12">
        <v>3235346</v>
      </c>
      <c r="AY101" s="12">
        <v>59273</v>
      </c>
      <c r="AZ101" s="12">
        <v>78</v>
      </c>
      <c r="BA101" s="13">
        <f t="shared" si="60"/>
        <v>124436.38461538462</v>
      </c>
      <c r="BB101" s="13">
        <f t="shared" si="61"/>
        <v>2279.7307692307695</v>
      </c>
      <c r="BC101" s="14"/>
      <c r="BD101" s="12">
        <v>2971069</v>
      </c>
      <c r="BE101" s="12">
        <v>57848</v>
      </c>
      <c r="BF101" s="12">
        <v>75</v>
      </c>
      <c r="BG101" s="13">
        <f t="shared" si="62"/>
        <v>118842.76000000001</v>
      </c>
      <c r="BH101" s="13">
        <f t="shared" si="63"/>
        <v>2313.92</v>
      </c>
      <c r="BI101" s="14"/>
      <c r="BJ101" s="12">
        <v>4036604</v>
      </c>
      <c r="BK101" s="12">
        <v>76290</v>
      </c>
      <c r="BL101" s="12">
        <v>84</v>
      </c>
      <c r="BM101" s="13">
        <f t="shared" si="64"/>
        <v>144164.42857142858</v>
      </c>
      <c r="BN101" s="13">
        <f t="shared" si="65"/>
        <v>2724.6428571428569</v>
      </c>
      <c r="BO101" s="14"/>
      <c r="BP101" s="12">
        <v>5090216</v>
      </c>
      <c r="BQ101" s="12">
        <v>94535</v>
      </c>
      <c r="BR101" s="12">
        <v>88</v>
      </c>
      <c r="BS101" s="13">
        <f t="shared" si="66"/>
        <v>173530.09090909091</v>
      </c>
      <c r="BT101" s="13">
        <f t="shared" si="67"/>
        <v>3222.784090909091</v>
      </c>
      <c r="BU101" s="14"/>
      <c r="BV101" s="12">
        <v>4419345</v>
      </c>
      <c r="BW101" s="12">
        <v>84459</v>
      </c>
      <c r="BX101" s="12">
        <v>87</v>
      </c>
      <c r="BY101" s="13">
        <f t="shared" si="68"/>
        <v>152391.20689655171</v>
      </c>
      <c r="BZ101" s="13">
        <f t="shared" si="69"/>
        <v>2912.3793103448274</v>
      </c>
      <c r="CA101" s="14"/>
      <c r="CB101" s="12">
        <v>4432448</v>
      </c>
      <c r="CC101" s="12">
        <v>87235</v>
      </c>
      <c r="CD101" s="12">
        <v>83</v>
      </c>
      <c r="CE101" s="13">
        <f t="shared" si="70"/>
        <v>160208.96385542169</v>
      </c>
      <c r="CF101" s="13">
        <f t="shared" si="71"/>
        <v>3153.0722891566265</v>
      </c>
      <c r="CG101" s="14" t="s">
        <v>51</v>
      </c>
      <c r="CH101" s="9">
        <f t="shared" si="72"/>
        <v>3660373.5</v>
      </c>
      <c r="CI101" s="9">
        <f t="shared" si="72"/>
        <v>70031.75</v>
      </c>
      <c r="CJ101" s="9">
        <f t="shared" si="44"/>
        <v>922</v>
      </c>
      <c r="CK101" s="10">
        <f t="shared" si="45"/>
        <v>142921.30802603037</v>
      </c>
      <c r="CL101" s="10">
        <f t="shared" si="46"/>
        <v>2734.4284164859005</v>
      </c>
      <c r="CM101" s="11" t="str">
        <f t="shared" si="47"/>
        <v xml:space="preserve"> </v>
      </c>
      <c r="CN101" s="12"/>
      <c r="CO101" s="12"/>
      <c r="CP101" s="12"/>
    </row>
    <row r="102" spans="1:94" x14ac:dyDescent="0.3">
      <c r="A102" s="23" t="s">
        <v>121</v>
      </c>
      <c r="B102" s="9">
        <v>5367169.416666667</v>
      </c>
      <c r="C102" s="9">
        <v>102435.91666666667</v>
      </c>
      <c r="D102" s="9">
        <v>1030</v>
      </c>
      <c r="E102" s="10">
        <v>187590.38737864076</v>
      </c>
      <c r="F102" s="10">
        <v>3580.2844660194178</v>
      </c>
      <c r="G102" s="11">
        <v>1.7608333333333335</v>
      </c>
      <c r="H102" s="9">
        <v>3304510.4545454546</v>
      </c>
      <c r="I102" s="9">
        <v>63930</v>
      </c>
      <c r="J102" s="9">
        <v>809</v>
      </c>
      <c r="K102" s="10">
        <v>134794.61681087763</v>
      </c>
      <c r="L102" s="10">
        <v>2607.7750309023486</v>
      </c>
      <c r="M102" s="11">
        <v>1.7909090909090908</v>
      </c>
      <c r="N102" s="12">
        <v>2692680</v>
      </c>
      <c r="O102" s="12">
        <v>51639</v>
      </c>
      <c r="P102" s="12">
        <v>58</v>
      </c>
      <c r="Q102" s="13">
        <f t="shared" si="48"/>
        <v>139276.55172413794</v>
      </c>
      <c r="R102" s="13">
        <f t="shared" si="49"/>
        <v>2670.9827586206893</v>
      </c>
      <c r="S102" s="14"/>
      <c r="T102" s="12">
        <v>3875703</v>
      </c>
      <c r="U102" s="12">
        <v>73883</v>
      </c>
      <c r="V102" s="12">
        <v>83</v>
      </c>
      <c r="W102" s="13">
        <f t="shared" si="50"/>
        <v>140085.65060240962</v>
      </c>
      <c r="X102" s="13">
        <f t="shared" si="51"/>
        <v>2670.469879518072</v>
      </c>
      <c r="Y102" s="14"/>
      <c r="Z102" s="12">
        <v>3842358</v>
      </c>
      <c r="AA102" s="12">
        <v>75168</v>
      </c>
      <c r="AB102" s="12">
        <v>93</v>
      </c>
      <c r="AC102" s="13">
        <f t="shared" si="52"/>
        <v>123947.03225806452</v>
      </c>
      <c r="AD102" s="13">
        <f t="shared" si="53"/>
        <v>2424.7741935483873</v>
      </c>
      <c r="AE102" s="14"/>
      <c r="AF102" s="12">
        <v>2236758</v>
      </c>
      <c r="AG102" s="12">
        <v>43623</v>
      </c>
      <c r="AH102" s="12">
        <v>54</v>
      </c>
      <c r="AI102" s="13">
        <f t="shared" si="54"/>
        <v>124264.33333333334</v>
      </c>
      <c r="AJ102" s="13">
        <f t="shared" si="55"/>
        <v>2423.5</v>
      </c>
      <c r="AK102" s="14"/>
      <c r="AL102" s="12">
        <v>3382955</v>
      </c>
      <c r="AM102" s="12">
        <v>63146</v>
      </c>
      <c r="AN102" s="12">
        <v>75</v>
      </c>
      <c r="AO102" s="13">
        <f t="shared" si="56"/>
        <v>135318.20000000001</v>
      </c>
      <c r="AP102" s="13">
        <f t="shared" si="57"/>
        <v>2525.84</v>
      </c>
      <c r="AQ102" s="14"/>
      <c r="AR102" s="12">
        <v>2977381</v>
      </c>
      <c r="AS102" s="12">
        <v>52300</v>
      </c>
      <c r="AT102" s="12">
        <v>62</v>
      </c>
      <c r="AU102" s="13">
        <f t="shared" si="58"/>
        <v>144066.82258064515</v>
      </c>
      <c r="AV102" s="13">
        <f t="shared" si="59"/>
        <v>2530.6451612903224</v>
      </c>
      <c r="AW102" s="14"/>
      <c r="AX102" s="12">
        <v>2941617</v>
      </c>
      <c r="AY102" s="12">
        <v>59410</v>
      </c>
      <c r="AZ102" s="12">
        <v>77</v>
      </c>
      <c r="BA102" s="13">
        <f t="shared" si="60"/>
        <v>114608.45454545456</v>
      </c>
      <c r="BB102" s="13">
        <f t="shared" si="61"/>
        <v>2314.6753246753246</v>
      </c>
      <c r="BC102" s="14"/>
      <c r="BD102" s="12">
        <v>2993323</v>
      </c>
      <c r="BE102" s="12">
        <v>66782</v>
      </c>
      <c r="BF102" s="12">
        <v>75</v>
      </c>
      <c r="BG102" s="13">
        <f t="shared" si="62"/>
        <v>119732.92000000001</v>
      </c>
      <c r="BH102" s="13">
        <f t="shared" si="63"/>
        <v>2671.2799999999997</v>
      </c>
      <c r="BI102" s="14"/>
      <c r="BJ102" s="12">
        <v>3130706</v>
      </c>
      <c r="BK102" s="12">
        <v>71230</v>
      </c>
      <c r="BL102" s="12">
        <v>82</v>
      </c>
      <c r="BM102" s="13">
        <f t="shared" si="64"/>
        <v>114538.0243902439</v>
      </c>
      <c r="BN102" s="13">
        <f t="shared" si="65"/>
        <v>2605.9756097560976</v>
      </c>
      <c r="BO102" s="14"/>
      <c r="BP102" s="12">
        <v>4095256</v>
      </c>
      <c r="BQ102" s="12">
        <v>76753</v>
      </c>
      <c r="BR102" s="12">
        <v>88</v>
      </c>
      <c r="BS102" s="13">
        <f t="shared" si="66"/>
        <v>139611</v>
      </c>
      <c r="BT102" s="13">
        <f t="shared" si="67"/>
        <v>2616.5795454545455</v>
      </c>
      <c r="BU102" s="14"/>
      <c r="BV102" s="12">
        <v>3872872</v>
      </c>
      <c r="BW102" s="12">
        <v>78029</v>
      </c>
      <c r="BX102" s="12">
        <v>86</v>
      </c>
      <c r="BY102" s="13">
        <f t="shared" si="68"/>
        <v>135100.18604651163</v>
      </c>
      <c r="BZ102" s="13">
        <f t="shared" si="69"/>
        <v>2721.9418604651164</v>
      </c>
      <c r="CA102" s="14"/>
      <c r="CB102" s="12">
        <v>4106257</v>
      </c>
      <c r="CC102" s="12">
        <v>73462</v>
      </c>
      <c r="CD102" s="12">
        <v>84</v>
      </c>
      <c r="CE102" s="13">
        <f t="shared" si="70"/>
        <v>146652.03571428574</v>
      </c>
      <c r="CF102" s="13">
        <f t="shared" si="71"/>
        <v>2623.6428571428569</v>
      </c>
      <c r="CG102" s="14" t="s">
        <v>51</v>
      </c>
      <c r="CH102" s="9">
        <f t="shared" si="72"/>
        <v>3345655.5</v>
      </c>
      <c r="CI102" s="9">
        <f t="shared" si="72"/>
        <v>65452.083333333336</v>
      </c>
      <c r="CJ102" s="9">
        <f t="shared" si="44"/>
        <v>917</v>
      </c>
      <c r="CK102" s="10">
        <f t="shared" si="45"/>
        <v>131345.25408942203</v>
      </c>
      <c r="CL102" s="10">
        <f t="shared" si="46"/>
        <v>2569.5474372955287</v>
      </c>
      <c r="CM102" s="11" t="str">
        <f t="shared" si="47"/>
        <v xml:space="preserve"> </v>
      </c>
      <c r="CN102" s="12"/>
      <c r="CO102" s="12"/>
      <c r="CP102" s="12"/>
    </row>
    <row r="103" spans="1:94" x14ac:dyDescent="0.3">
      <c r="A103" s="23" t="s">
        <v>122</v>
      </c>
      <c r="B103" s="9">
        <v>5555715.666666667</v>
      </c>
      <c r="C103" s="9">
        <v>103098.58333333333</v>
      </c>
      <c r="D103" s="9">
        <v>1027</v>
      </c>
      <c r="E103" s="10">
        <v>194747.57935735153</v>
      </c>
      <c r="F103" s="10">
        <v>3613.9717624148007</v>
      </c>
      <c r="G103" s="11">
        <v>1.7391666666666665</v>
      </c>
      <c r="H103" s="9">
        <v>3914286.8181818184</v>
      </c>
      <c r="I103" s="9">
        <v>82755</v>
      </c>
      <c r="J103" s="9">
        <v>851</v>
      </c>
      <c r="K103" s="10">
        <v>151787.8554641598</v>
      </c>
      <c r="L103" s="10">
        <v>3209.0658049353697</v>
      </c>
      <c r="M103" s="11">
        <v>1.8590909090909091</v>
      </c>
      <c r="N103" s="12">
        <v>2858014.6999999988</v>
      </c>
      <c r="O103" s="12">
        <v>70047</v>
      </c>
      <c r="P103" s="12">
        <v>50</v>
      </c>
      <c r="Q103" s="13">
        <f t="shared" si="48"/>
        <v>171480.88199999993</v>
      </c>
      <c r="R103" s="13">
        <f t="shared" si="49"/>
        <v>4202.82</v>
      </c>
      <c r="S103" s="14"/>
      <c r="T103" s="12">
        <v>3949156.3000000231</v>
      </c>
      <c r="U103" s="12">
        <v>86956</v>
      </c>
      <c r="V103" s="12">
        <v>82</v>
      </c>
      <c r="W103" s="13">
        <f t="shared" si="50"/>
        <v>144481.32804878132</v>
      </c>
      <c r="X103" s="13">
        <f t="shared" si="51"/>
        <v>3181.3170731707319</v>
      </c>
      <c r="Y103" s="14"/>
      <c r="Z103" s="12">
        <v>3441495.4000000004</v>
      </c>
      <c r="AA103" s="12">
        <v>71911</v>
      </c>
      <c r="AB103" s="12">
        <v>81</v>
      </c>
      <c r="AC103" s="13">
        <f t="shared" si="52"/>
        <v>127462.7925925926</v>
      </c>
      <c r="AD103" s="13">
        <f t="shared" si="53"/>
        <v>2663.3703703703704</v>
      </c>
      <c r="AE103" s="14"/>
      <c r="AF103" s="12">
        <v>2271515.7999999919</v>
      </c>
      <c r="AG103" s="12">
        <v>55808</v>
      </c>
      <c r="AH103" s="12">
        <v>53</v>
      </c>
      <c r="AI103" s="13">
        <f t="shared" si="54"/>
        <v>128576.3660377354</v>
      </c>
      <c r="AJ103" s="13">
        <f t="shared" si="55"/>
        <v>3158.9433962264156</v>
      </c>
      <c r="AK103" s="14"/>
      <c r="AL103" s="12">
        <v>3664588.100000002</v>
      </c>
      <c r="AM103" s="12">
        <v>85071</v>
      </c>
      <c r="AN103" s="12">
        <v>76</v>
      </c>
      <c r="AO103" s="13">
        <f t="shared" si="56"/>
        <v>144654.79342105269</v>
      </c>
      <c r="AP103" s="13">
        <f t="shared" si="57"/>
        <v>3358.0657894736842</v>
      </c>
      <c r="AQ103" s="14"/>
      <c r="AR103" s="12">
        <v>2745843.4000000027</v>
      </c>
      <c r="AS103" s="12">
        <v>55682</v>
      </c>
      <c r="AT103" s="12">
        <v>62</v>
      </c>
      <c r="AU103" s="13">
        <f t="shared" si="58"/>
        <v>132863.39032258079</v>
      </c>
      <c r="AV103" s="13">
        <f t="shared" si="59"/>
        <v>2694.2903225806454</v>
      </c>
      <c r="AW103" s="14"/>
      <c r="AX103" s="12">
        <v>3600465.550000018</v>
      </c>
      <c r="AY103" s="12">
        <v>84236</v>
      </c>
      <c r="AZ103" s="12">
        <v>75</v>
      </c>
      <c r="BA103" s="13">
        <f t="shared" si="60"/>
        <v>144018.62200000073</v>
      </c>
      <c r="BB103" s="13">
        <f t="shared" si="61"/>
        <v>3369.4400000000005</v>
      </c>
      <c r="BC103" s="14"/>
      <c r="BD103" s="12">
        <v>2814275.1500000008</v>
      </c>
      <c r="BE103" s="12">
        <v>74454</v>
      </c>
      <c r="BF103" s="12">
        <v>71</v>
      </c>
      <c r="BG103" s="13">
        <f t="shared" si="62"/>
        <v>118913.03450704229</v>
      </c>
      <c r="BH103" s="13">
        <f t="shared" si="63"/>
        <v>3145.9436619718308</v>
      </c>
      <c r="BI103" s="14"/>
      <c r="BJ103" s="12">
        <v>4185408.0999999931</v>
      </c>
      <c r="BK103" s="12">
        <v>94035</v>
      </c>
      <c r="BL103" s="12">
        <v>84</v>
      </c>
      <c r="BM103" s="13">
        <f t="shared" si="64"/>
        <v>149478.86071428546</v>
      </c>
      <c r="BN103" s="13">
        <f t="shared" si="65"/>
        <v>3358.3928571428573</v>
      </c>
      <c r="BO103" s="14"/>
      <c r="BP103" s="12">
        <v>4928636.8000000017</v>
      </c>
      <c r="BQ103" s="12">
        <v>98047</v>
      </c>
      <c r="BR103" s="12">
        <v>90</v>
      </c>
      <c r="BS103" s="13">
        <f t="shared" si="66"/>
        <v>164287.89333333337</v>
      </c>
      <c r="BT103" s="13">
        <f t="shared" si="67"/>
        <v>3268.2333333333331</v>
      </c>
      <c r="BU103" s="14"/>
      <c r="BV103" s="12">
        <v>3865076.2499999828</v>
      </c>
      <c r="BW103" s="12">
        <v>91078</v>
      </c>
      <c r="BX103" s="12">
        <v>85</v>
      </c>
      <c r="BY103" s="13">
        <f t="shared" si="68"/>
        <v>136414.45588235234</v>
      </c>
      <c r="BZ103" s="13">
        <f t="shared" si="69"/>
        <v>3214.5176470588235</v>
      </c>
      <c r="CA103" s="14"/>
      <c r="CB103" s="12">
        <v>3953750.45000001</v>
      </c>
      <c r="CC103" s="12">
        <v>88412</v>
      </c>
      <c r="CD103" s="12">
        <v>81</v>
      </c>
      <c r="CE103" s="13">
        <f t="shared" si="70"/>
        <v>146435.20185185224</v>
      </c>
      <c r="CF103" s="13">
        <f t="shared" si="71"/>
        <v>3274.5185185185187</v>
      </c>
      <c r="CG103" s="14" t="s">
        <v>51</v>
      </c>
      <c r="CH103" s="9">
        <f t="shared" si="72"/>
        <v>3523185.5000000023</v>
      </c>
      <c r="CI103" s="9">
        <f t="shared" si="72"/>
        <v>79644.75</v>
      </c>
      <c r="CJ103" s="9">
        <f t="shared" si="44"/>
        <v>890</v>
      </c>
      <c r="CK103" s="10">
        <f t="shared" si="45"/>
        <v>142510.87415730348</v>
      </c>
      <c r="CL103" s="10">
        <f t="shared" si="46"/>
        <v>3221.5853932584268</v>
      </c>
      <c r="CM103" s="11" t="str">
        <f t="shared" si="47"/>
        <v xml:space="preserve"> </v>
      </c>
      <c r="CN103" s="12"/>
      <c r="CO103" s="12"/>
      <c r="CP103" s="12"/>
    </row>
    <row r="104" spans="1:94" x14ac:dyDescent="0.3">
      <c r="A104" s="23" t="s">
        <v>123</v>
      </c>
      <c r="B104" s="9">
        <v>3070145.1666666665</v>
      </c>
      <c r="C104" s="9">
        <v>235095.08333333334</v>
      </c>
      <c r="D104" s="9">
        <v>994</v>
      </c>
      <c r="E104" s="10">
        <v>111192.38028169016</v>
      </c>
      <c r="F104" s="10">
        <v>8514.510060362174</v>
      </c>
      <c r="G104" s="11">
        <v>3.5274999999999999</v>
      </c>
      <c r="H104" s="9">
        <v>2290068</v>
      </c>
      <c r="I104" s="9">
        <v>183004.63636363635</v>
      </c>
      <c r="J104" s="9">
        <v>837</v>
      </c>
      <c r="K104" s="10">
        <v>90289.419354838712</v>
      </c>
      <c r="L104" s="10">
        <v>7215.2365591397847</v>
      </c>
      <c r="M104" s="11">
        <v>3.6236363636363635</v>
      </c>
      <c r="N104" s="12">
        <v>1680358.4399999992</v>
      </c>
      <c r="O104" s="12">
        <v>129746</v>
      </c>
      <c r="P104" s="12">
        <v>53</v>
      </c>
      <c r="Q104" s="13">
        <f t="shared" si="48"/>
        <v>95114.628679245245</v>
      </c>
      <c r="R104" s="13">
        <f t="shared" si="49"/>
        <v>7344.1132075471687</v>
      </c>
      <c r="S104" s="14"/>
      <c r="T104" s="12">
        <v>1849381.5400000035</v>
      </c>
      <c r="U104" s="12">
        <v>154344</v>
      </c>
      <c r="V104" s="12">
        <v>75</v>
      </c>
      <c r="W104" s="13">
        <f t="shared" si="50"/>
        <v>73975.261600000144</v>
      </c>
      <c r="X104" s="13">
        <f t="shared" si="51"/>
        <v>6173.76</v>
      </c>
      <c r="Y104" s="14"/>
      <c r="Z104" s="12">
        <v>2387042.5250000036</v>
      </c>
      <c r="AA104" s="12">
        <v>168530</v>
      </c>
      <c r="AB104" s="12">
        <v>76</v>
      </c>
      <c r="AC104" s="13">
        <f t="shared" si="52"/>
        <v>94225.362828947516</v>
      </c>
      <c r="AD104" s="13">
        <f t="shared" si="53"/>
        <v>6652.5</v>
      </c>
      <c r="AE104" s="14"/>
      <c r="AF104" s="12">
        <v>1218261.0500000003</v>
      </c>
      <c r="AG104" s="12">
        <v>99669</v>
      </c>
      <c r="AH104" s="12">
        <v>52</v>
      </c>
      <c r="AI104" s="13">
        <f t="shared" si="54"/>
        <v>70284.29134615387</v>
      </c>
      <c r="AJ104" s="13">
        <f t="shared" si="55"/>
        <v>5750.1346153846152</v>
      </c>
      <c r="AK104" s="14"/>
      <c r="AL104" s="12">
        <v>2217936.3299999977</v>
      </c>
      <c r="AM104" s="12">
        <v>177507</v>
      </c>
      <c r="AN104" s="12">
        <v>77</v>
      </c>
      <c r="AO104" s="13">
        <f t="shared" si="56"/>
        <v>86413.103766233689</v>
      </c>
      <c r="AP104" s="13">
        <f t="shared" si="57"/>
        <v>6915.8571428571431</v>
      </c>
      <c r="AQ104" s="14"/>
      <c r="AR104" s="12">
        <v>1421279.4599999988</v>
      </c>
      <c r="AS104" s="12">
        <v>124344</v>
      </c>
      <c r="AT104" s="12">
        <v>63</v>
      </c>
      <c r="AU104" s="13">
        <f t="shared" si="58"/>
        <v>67679.974285714241</v>
      </c>
      <c r="AV104" s="13">
        <f t="shared" si="59"/>
        <v>5921.1428571428569</v>
      </c>
      <c r="AW104" s="14"/>
      <c r="AX104" s="12">
        <v>1889657.3649999991</v>
      </c>
      <c r="AY104" s="12">
        <v>128037</v>
      </c>
      <c r="AZ104" s="12">
        <v>62</v>
      </c>
      <c r="BA104" s="13">
        <f t="shared" si="60"/>
        <v>91435.033790322545</v>
      </c>
      <c r="BB104" s="13">
        <f t="shared" si="61"/>
        <v>6195.3387096774186</v>
      </c>
      <c r="BC104" s="14"/>
      <c r="BD104" s="12">
        <v>912187.60000000265</v>
      </c>
      <c r="BE104" s="12">
        <v>91891</v>
      </c>
      <c r="BF104" s="12">
        <v>40</v>
      </c>
      <c r="BG104" s="13">
        <f t="shared" si="62"/>
        <v>68414.070000000211</v>
      </c>
      <c r="BH104" s="13">
        <f t="shared" si="63"/>
        <v>6891.8250000000007</v>
      </c>
      <c r="BI104" s="14"/>
      <c r="BJ104" s="12">
        <v>1186624.9500000039</v>
      </c>
      <c r="BK104" s="12">
        <v>80533</v>
      </c>
      <c r="BL104" s="12">
        <v>38</v>
      </c>
      <c r="BM104" s="13">
        <f t="shared" si="64"/>
        <v>93680.917105263477</v>
      </c>
      <c r="BN104" s="13">
        <f t="shared" si="65"/>
        <v>6357.8684210526317</v>
      </c>
      <c r="BO104" s="14"/>
      <c r="BP104" s="12">
        <v>2233454.8500000043</v>
      </c>
      <c r="BQ104" s="12">
        <v>166856</v>
      </c>
      <c r="BR104" s="12">
        <v>79</v>
      </c>
      <c r="BS104" s="13">
        <f t="shared" si="66"/>
        <v>84814.741139240679</v>
      </c>
      <c r="BT104" s="13">
        <f t="shared" si="67"/>
        <v>6336.3037974683539</v>
      </c>
      <c r="BU104" s="14"/>
      <c r="BV104" s="12">
        <v>1675116.1750000049</v>
      </c>
      <c r="BW104" s="12">
        <v>157750</v>
      </c>
      <c r="BX104" s="12">
        <v>77</v>
      </c>
      <c r="BY104" s="13">
        <f t="shared" si="68"/>
        <v>65264.266558441748</v>
      </c>
      <c r="BZ104" s="13">
        <f t="shared" si="69"/>
        <v>6146.1038961038957</v>
      </c>
      <c r="CA104" s="14"/>
      <c r="CB104" s="12">
        <v>1929244.1000000027</v>
      </c>
      <c r="CC104" s="12">
        <v>197424</v>
      </c>
      <c r="CD104" s="12">
        <v>76</v>
      </c>
      <c r="CE104" s="13">
        <f t="shared" si="70"/>
        <v>76154.372368421158</v>
      </c>
      <c r="CF104" s="13">
        <f t="shared" si="71"/>
        <v>7793.0526315789475</v>
      </c>
      <c r="CG104" s="14" t="s">
        <v>51</v>
      </c>
      <c r="CH104" s="9">
        <f t="shared" si="72"/>
        <v>1716712.0320833351</v>
      </c>
      <c r="CI104" s="9">
        <f t="shared" si="72"/>
        <v>139719.25</v>
      </c>
      <c r="CJ104" s="9">
        <f t="shared" si="44"/>
        <v>768</v>
      </c>
      <c r="CK104" s="10">
        <f t="shared" si="45"/>
        <v>80470.876503906329</v>
      </c>
      <c r="CL104" s="10">
        <f t="shared" si="46"/>
        <v>6549.33984375</v>
      </c>
      <c r="CM104" s="11" t="str">
        <f t="shared" si="47"/>
        <v xml:space="preserve"> </v>
      </c>
      <c r="CN104" s="12"/>
      <c r="CO104" s="12"/>
      <c r="CP104" s="12"/>
    </row>
    <row r="105" spans="1:94" x14ac:dyDescent="0.3">
      <c r="A105" s="23" t="s">
        <v>124</v>
      </c>
      <c r="B105" s="9">
        <v>1959989.3333333333</v>
      </c>
      <c r="C105" s="9">
        <v>196594.41666666666</v>
      </c>
      <c r="D105" s="9">
        <v>1025</v>
      </c>
      <c r="E105" s="10">
        <v>68838.649756097569</v>
      </c>
      <c r="F105" s="10">
        <v>6904.7795121951222</v>
      </c>
      <c r="G105" s="11">
        <v>4.0375000000000005</v>
      </c>
      <c r="H105" s="9">
        <v>1760045.5454545454</v>
      </c>
      <c r="I105" s="9">
        <v>159796.72727272726</v>
      </c>
      <c r="J105" s="9">
        <v>866</v>
      </c>
      <c r="K105" s="10">
        <v>67068.710161662821</v>
      </c>
      <c r="L105" s="10">
        <v>6089.2517321016167</v>
      </c>
      <c r="M105" s="11">
        <v>3.8481818181818181</v>
      </c>
      <c r="N105" s="12">
        <v>1509911.1250000026</v>
      </c>
      <c r="O105" s="12">
        <v>126095</v>
      </c>
      <c r="P105" s="12">
        <v>58</v>
      </c>
      <c r="Q105" s="13">
        <f t="shared" si="48"/>
        <v>78098.85129310358</v>
      </c>
      <c r="R105" s="13">
        <f t="shared" si="49"/>
        <v>6522.1551724137935</v>
      </c>
      <c r="S105" s="14"/>
      <c r="T105" s="12">
        <v>1544850.6500000041</v>
      </c>
      <c r="U105" s="12">
        <v>142379</v>
      </c>
      <c r="V105" s="12">
        <v>86</v>
      </c>
      <c r="W105" s="13">
        <f t="shared" si="50"/>
        <v>53890.138953488517</v>
      </c>
      <c r="X105" s="13">
        <f t="shared" si="51"/>
        <v>4966.7093023255811</v>
      </c>
      <c r="Y105" s="14"/>
      <c r="Z105" s="12">
        <v>1789022.7250000034</v>
      </c>
      <c r="AA105" s="12">
        <v>171256</v>
      </c>
      <c r="AB105" s="12">
        <v>92</v>
      </c>
      <c r="AC105" s="13">
        <f t="shared" si="52"/>
        <v>58337.697554347935</v>
      </c>
      <c r="AD105" s="13">
        <f t="shared" si="53"/>
        <v>5584.434782608696</v>
      </c>
      <c r="AE105" s="14"/>
      <c r="AF105" s="12">
        <v>1266510.7799999996</v>
      </c>
      <c r="AG105" s="12">
        <v>99030</v>
      </c>
      <c r="AH105" s="12">
        <v>53</v>
      </c>
      <c r="AI105" s="13">
        <f t="shared" si="54"/>
        <v>71689.289433962243</v>
      </c>
      <c r="AJ105" s="13">
        <f t="shared" si="55"/>
        <v>5605.4716981132078</v>
      </c>
      <c r="AK105" s="14"/>
      <c r="AL105" s="12">
        <v>1501370.8599999973</v>
      </c>
      <c r="AM105" s="12">
        <v>148176</v>
      </c>
      <c r="AN105" s="12">
        <v>75</v>
      </c>
      <c r="AO105" s="13">
        <f t="shared" si="56"/>
        <v>60054.834399999891</v>
      </c>
      <c r="AP105" s="13">
        <f t="shared" si="57"/>
        <v>5927.04</v>
      </c>
      <c r="AQ105" s="14"/>
      <c r="AR105" s="12">
        <v>1384703.5699999935</v>
      </c>
      <c r="AS105" s="12">
        <v>112733</v>
      </c>
      <c r="AT105" s="12">
        <v>60</v>
      </c>
      <c r="AU105" s="13">
        <f t="shared" si="58"/>
        <v>69235.178499999674</v>
      </c>
      <c r="AV105" s="13">
        <f t="shared" si="59"/>
        <v>5636.6500000000005</v>
      </c>
      <c r="AW105" s="14"/>
      <c r="AX105" s="12">
        <v>1228189.7749999994</v>
      </c>
      <c r="AY105" s="12">
        <v>93178</v>
      </c>
      <c r="AZ105" s="12">
        <v>59</v>
      </c>
      <c r="BA105" s="13">
        <f t="shared" si="60"/>
        <v>62450.327542372856</v>
      </c>
      <c r="BB105" s="13">
        <f t="shared" si="61"/>
        <v>4737.8644067796613</v>
      </c>
      <c r="BC105" s="14"/>
      <c r="BD105" s="12">
        <v>2286351.7550000004</v>
      </c>
      <c r="BE105" s="12">
        <v>141624</v>
      </c>
      <c r="BF105" s="12">
        <v>73</v>
      </c>
      <c r="BG105" s="13">
        <f t="shared" si="62"/>
        <v>93959.661164383579</v>
      </c>
      <c r="BH105" s="13">
        <f t="shared" si="63"/>
        <v>5820.1643835616442</v>
      </c>
      <c r="BI105" s="14"/>
      <c r="BJ105" s="12">
        <v>2328775.2699999977</v>
      </c>
      <c r="BK105" s="12">
        <v>172882</v>
      </c>
      <c r="BL105" s="12">
        <v>83</v>
      </c>
      <c r="BM105" s="13">
        <f t="shared" si="64"/>
        <v>84172.600120481846</v>
      </c>
      <c r="BN105" s="13">
        <f t="shared" si="65"/>
        <v>6248.7469879518067</v>
      </c>
      <c r="BO105" s="14"/>
      <c r="BP105" s="12">
        <v>2015937.3399999999</v>
      </c>
      <c r="BQ105" s="12">
        <v>158596</v>
      </c>
      <c r="BR105" s="12">
        <v>79</v>
      </c>
      <c r="BS105" s="13">
        <f t="shared" si="66"/>
        <v>76554.582531645559</v>
      </c>
      <c r="BT105" s="13">
        <f t="shared" si="67"/>
        <v>6022.6329113924048</v>
      </c>
      <c r="BU105" s="14"/>
      <c r="BV105" s="12">
        <v>2552549.6299999985</v>
      </c>
      <c r="BW105" s="12">
        <v>160032</v>
      </c>
      <c r="BX105" s="12">
        <v>86</v>
      </c>
      <c r="BY105" s="13">
        <f t="shared" si="68"/>
        <v>89042.428953488328</v>
      </c>
      <c r="BZ105" s="13">
        <f t="shared" si="69"/>
        <v>5582.5116279069771</v>
      </c>
      <c r="CA105" s="14"/>
      <c r="CB105" s="12">
        <v>2256320.1999999979</v>
      </c>
      <c r="CC105" s="12">
        <v>148435</v>
      </c>
      <c r="CD105" s="12">
        <v>83</v>
      </c>
      <c r="CE105" s="13">
        <f t="shared" si="70"/>
        <v>81553.742168674624</v>
      </c>
      <c r="CF105" s="13">
        <f t="shared" si="71"/>
        <v>5365.1204819277109</v>
      </c>
      <c r="CG105" s="14" t="s">
        <v>51</v>
      </c>
      <c r="CH105" s="9">
        <f t="shared" si="72"/>
        <v>1805374.4733333329</v>
      </c>
      <c r="CI105" s="9">
        <f t="shared" si="72"/>
        <v>139534.66666666666</v>
      </c>
      <c r="CJ105" s="9">
        <f t="shared" si="44"/>
        <v>887</v>
      </c>
      <c r="CK105" s="10">
        <f t="shared" si="45"/>
        <v>73273.372085682058</v>
      </c>
      <c r="CL105" s="10">
        <f t="shared" si="46"/>
        <v>5663.1882750845552</v>
      </c>
      <c r="CM105" s="11" t="str">
        <f t="shared" si="47"/>
        <v xml:space="preserve"> </v>
      </c>
      <c r="CN105" s="12"/>
      <c r="CO105" s="12"/>
      <c r="CP105" s="12"/>
    </row>
    <row r="106" spans="1:94" x14ac:dyDescent="0.3">
      <c r="A106" s="23" t="s">
        <v>125</v>
      </c>
      <c r="B106" s="9">
        <v>3645506.75</v>
      </c>
      <c r="C106" s="9">
        <v>117685.91666666667</v>
      </c>
      <c r="D106" s="9">
        <v>1028</v>
      </c>
      <c r="E106" s="10">
        <v>127663.66050583658</v>
      </c>
      <c r="F106" s="10">
        <v>4121.2966926070039</v>
      </c>
      <c r="G106" s="11">
        <v>2.2883333333333336</v>
      </c>
      <c r="H106" s="9">
        <v>3070336.9090909092</v>
      </c>
      <c r="I106" s="9">
        <v>90451.090909090912</v>
      </c>
      <c r="J106" s="9">
        <v>871</v>
      </c>
      <c r="K106" s="10">
        <v>116327.34557979334</v>
      </c>
      <c r="L106" s="10">
        <v>3426.9644087256024</v>
      </c>
      <c r="M106" s="11">
        <v>2.1818181818181817</v>
      </c>
      <c r="N106" s="12">
        <v>2573744.600000001</v>
      </c>
      <c r="O106" s="12">
        <v>67910</v>
      </c>
      <c r="P106" s="12">
        <v>60</v>
      </c>
      <c r="Q106" s="13">
        <f t="shared" si="48"/>
        <v>128687.23000000007</v>
      </c>
      <c r="R106" s="13">
        <f t="shared" si="49"/>
        <v>3395.5</v>
      </c>
      <c r="S106" s="14"/>
      <c r="T106" s="12">
        <v>2936455.8500000099</v>
      </c>
      <c r="U106" s="12">
        <v>80752</v>
      </c>
      <c r="V106" s="12">
        <v>87</v>
      </c>
      <c r="W106" s="13">
        <f t="shared" si="50"/>
        <v>101257.0982758624</v>
      </c>
      <c r="X106" s="13">
        <f t="shared" si="51"/>
        <v>2784.5517241379312</v>
      </c>
      <c r="Y106" s="14"/>
      <c r="Z106" s="12">
        <v>3481365.6500000022</v>
      </c>
      <c r="AA106" s="12">
        <v>82321</v>
      </c>
      <c r="AB106" s="12">
        <v>93</v>
      </c>
      <c r="AC106" s="13">
        <f t="shared" si="52"/>
        <v>112302.11774193557</v>
      </c>
      <c r="AD106" s="13">
        <f t="shared" si="53"/>
        <v>2655.516129032258</v>
      </c>
      <c r="AE106" s="14"/>
      <c r="AF106" s="12">
        <v>1819067.600000001</v>
      </c>
      <c r="AG106" s="12">
        <v>50176</v>
      </c>
      <c r="AH106" s="12">
        <v>54</v>
      </c>
      <c r="AI106" s="13">
        <f t="shared" si="54"/>
        <v>101059.31111111116</v>
      </c>
      <c r="AJ106" s="13">
        <f t="shared" si="55"/>
        <v>2787.5555555555557</v>
      </c>
      <c r="AK106" s="14"/>
      <c r="AL106" s="12">
        <v>2788564.7999999947</v>
      </c>
      <c r="AM106" s="12">
        <v>60228</v>
      </c>
      <c r="AN106" s="12">
        <v>76</v>
      </c>
      <c r="AO106" s="13">
        <f t="shared" si="56"/>
        <v>110074.92631578927</v>
      </c>
      <c r="AP106" s="13">
        <f t="shared" si="57"/>
        <v>2377.4210526315792</v>
      </c>
      <c r="AQ106" s="14"/>
      <c r="AR106" s="12">
        <v>2093324.7</v>
      </c>
      <c r="AS106" s="12">
        <v>40952</v>
      </c>
      <c r="AT106" s="12">
        <v>62</v>
      </c>
      <c r="AU106" s="13">
        <f t="shared" si="58"/>
        <v>101289.90483870968</v>
      </c>
      <c r="AV106" s="13">
        <f t="shared" si="59"/>
        <v>1981.5483870967741</v>
      </c>
      <c r="AW106" s="14"/>
      <c r="AX106" s="12">
        <v>2898429.5999999987</v>
      </c>
      <c r="AY106" s="12">
        <v>80037</v>
      </c>
      <c r="AZ106" s="12">
        <v>77</v>
      </c>
      <c r="BA106" s="13">
        <f t="shared" si="60"/>
        <v>112925.82857142853</v>
      </c>
      <c r="BB106" s="13">
        <f t="shared" si="61"/>
        <v>3118.3246753246758</v>
      </c>
      <c r="BC106" s="14"/>
      <c r="BD106" s="12">
        <v>3339173.6500000036</v>
      </c>
      <c r="BE106" s="12">
        <v>67854</v>
      </c>
      <c r="BF106" s="12">
        <v>77</v>
      </c>
      <c r="BG106" s="13">
        <f t="shared" si="62"/>
        <v>130097.67467532482</v>
      </c>
      <c r="BH106" s="13">
        <f t="shared" si="63"/>
        <v>2643.6623376623379</v>
      </c>
      <c r="BI106" s="14"/>
      <c r="BJ106" s="12">
        <v>2931939.0000000005</v>
      </c>
      <c r="BK106" s="12">
        <v>87907</v>
      </c>
      <c r="BL106" s="12">
        <v>83</v>
      </c>
      <c r="BM106" s="13">
        <f t="shared" si="64"/>
        <v>105973.69879518074</v>
      </c>
      <c r="BN106" s="13">
        <f t="shared" si="65"/>
        <v>3177.3614457831327</v>
      </c>
      <c r="BO106" s="14"/>
      <c r="BP106" s="12">
        <v>3400633.5000000009</v>
      </c>
      <c r="BQ106" s="12">
        <v>95630</v>
      </c>
      <c r="BR106" s="12">
        <v>86</v>
      </c>
      <c r="BS106" s="13">
        <f t="shared" si="66"/>
        <v>118626.75000000003</v>
      </c>
      <c r="BT106" s="13">
        <f t="shared" si="67"/>
        <v>3335.9302325581393</v>
      </c>
      <c r="BU106" s="14"/>
      <c r="BV106" s="12">
        <v>2883237.1999999997</v>
      </c>
      <c r="BW106" s="12">
        <v>82618</v>
      </c>
      <c r="BX106" s="12">
        <v>87</v>
      </c>
      <c r="BY106" s="13">
        <f t="shared" si="68"/>
        <v>99421.97241379309</v>
      </c>
      <c r="BZ106" s="13">
        <f t="shared" si="69"/>
        <v>2848.8965517241377</v>
      </c>
      <c r="CA106" s="14"/>
      <c r="CB106" s="12">
        <v>3307364.0500000059</v>
      </c>
      <c r="CC106" s="12">
        <v>104076</v>
      </c>
      <c r="CD106" s="12">
        <v>84</v>
      </c>
      <c r="CE106" s="13">
        <f t="shared" si="70"/>
        <v>118120.14464285734</v>
      </c>
      <c r="CF106" s="13">
        <f t="shared" si="71"/>
        <v>3717</v>
      </c>
      <c r="CG106" s="14" t="s">
        <v>51</v>
      </c>
      <c r="CH106" s="9">
        <f t="shared" si="72"/>
        <v>2871108.3500000015</v>
      </c>
      <c r="CI106" s="9">
        <f t="shared" si="72"/>
        <v>75038.416666666672</v>
      </c>
      <c r="CJ106" s="9">
        <f t="shared" si="44"/>
        <v>926</v>
      </c>
      <c r="CK106" s="10">
        <f t="shared" si="45"/>
        <v>111619.76306695471</v>
      </c>
      <c r="CL106" s="10">
        <f t="shared" si="46"/>
        <v>2917.2602591792656</v>
      </c>
      <c r="CM106" s="11" t="str">
        <f t="shared" si="47"/>
        <v xml:space="preserve"> </v>
      </c>
      <c r="CN106" s="12"/>
      <c r="CO106" s="12"/>
      <c r="CP106" s="12"/>
    </row>
    <row r="107" spans="1:94" x14ac:dyDescent="0.3">
      <c r="A107" s="23" t="s">
        <v>126</v>
      </c>
      <c r="B107" s="9">
        <v>8838599.333333334</v>
      </c>
      <c r="C107" s="9">
        <v>166393.75</v>
      </c>
      <c r="D107" s="9">
        <v>958</v>
      </c>
      <c r="E107" s="10">
        <v>332139.43215031317</v>
      </c>
      <c r="F107" s="10">
        <v>6252.7922755741129</v>
      </c>
      <c r="G107" s="11">
        <v>1.7508333333333335</v>
      </c>
      <c r="H107" s="9">
        <v>5964674.5454545459</v>
      </c>
      <c r="I107" s="9">
        <v>111941</v>
      </c>
      <c r="J107" s="9">
        <v>659</v>
      </c>
      <c r="K107" s="10">
        <v>298686.28224582702</v>
      </c>
      <c r="L107" s="10">
        <v>5605.5432473444616</v>
      </c>
      <c r="M107" s="11">
        <v>1.7490909090909093</v>
      </c>
      <c r="N107" s="12"/>
      <c r="O107" s="12"/>
      <c r="P107" s="12"/>
      <c r="Q107" s="13" t="str">
        <f t="shared" si="48"/>
        <v/>
      </c>
      <c r="R107" s="13" t="str">
        <f t="shared" si="49"/>
        <v/>
      </c>
      <c r="S107" s="14"/>
      <c r="T107" s="12"/>
      <c r="U107" s="12"/>
      <c r="V107" s="12"/>
      <c r="W107" s="13" t="str">
        <f t="shared" si="50"/>
        <v/>
      </c>
      <c r="X107" s="13" t="str">
        <f t="shared" si="51"/>
        <v/>
      </c>
      <c r="Y107" s="14"/>
      <c r="Z107" s="12"/>
      <c r="AA107" s="12"/>
      <c r="AB107" s="12"/>
      <c r="AC107" s="13" t="str">
        <f t="shared" si="52"/>
        <v xml:space="preserve"> </v>
      </c>
      <c r="AD107" s="13" t="str">
        <f t="shared" si="53"/>
        <v xml:space="preserve"> </v>
      </c>
      <c r="AE107" s="14"/>
      <c r="AF107" s="12"/>
      <c r="AG107" s="12"/>
      <c r="AH107" s="12"/>
      <c r="AI107" s="13" t="str">
        <f t="shared" si="54"/>
        <v xml:space="preserve"> </v>
      </c>
      <c r="AJ107" s="13" t="str">
        <f t="shared" si="55"/>
        <v xml:space="preserve"> </v>
      </c>
      <c r="AK107" s="14"/>
      <c r="AL107" s="12"/>
      <c r="AM107" s="12"/>
      <c r="AN107" s="12"/>
      <c r="AO107" s="13" t="str">
        <f t="shared" si="56"/>
        <v xml:space="preserve"> </v>
      </c>
      <c r="AP107" s="13" t="str">
        <f t="shared" si="57"/>
        <v xml:space="preserve"> </v>
      </c>
      <c r="AQ107" s="14"/>
      <c r="AR107" s="12"/>
      <c r="AS107" s="12"/>
      <c r="AT107" s="12"/>
      <c r="AU107" s="13" t="str">
        <f t="shared" si="58"/>
        <v xml:space="preserve"> </v>
      </c>
      <c r="AV107" s="13" t="str">
        <f t="shared" si="59"/>
        <v xml:space="preserve"> </v>
      </c>
      <c r="AW107" s="14"/>
      <c r="AX107" s="12"/>
      <c r="AY107" s="12"/>
      <c r="AZ107" s="12"/>
      <c r="BA107" s="13" t="str">
        <f t="shared" si="60"/>
        <v xml:space="preserve"> </v>
      </c>
      <c r="BB107" s="13" t="str">
        <f t="shared" si="61"/>
        <v xml:space="preserve"> </v>
      </c>
      <c r="BC107" s="14"/>
      <c r="BD107" s="12"/>
      <c r="BE107" s="12"/>
      <c r="BF107" s="12"/>
      <c r="BG107" s="13" t="str">
        <f t="shared" si="62"/>
        <v xml:space="preserve"> </v>
      </c>
      <c r="BH107" s="13" t="str">
        <f t="shared" si="63"/>
        <v xml:space="preserve"> </v>
      </c>
      <c r="BI107" s="14"/>
      <c r="BJ107" s="12"/>
      <c r="BK107" s="12"/>
      <c r="BL107" s="12"/>
      <c r="BM107" s="13" t="str">
        <f t="shared" si="64"/>
        <v xml:space="preserve"> </v>
      </c>
      <c r="BN107" s="13" t="str">
        <f t="shared" si="65"/>
        <v xml:space="preserve"> </v>
      </c>
      <c r="BO107" s="14"/>
      <c r="BP107" s="12"/>
      <c r="BQ107" s="12"/>
      <c r="BR107" s="12"/>
      <c r="BS107" s="13" t="str">
        <f t="shared" si="66"/>
        <v xml:space="preserve"> </v>
      </c>
      <c r="BT107" s="13" t="str">
        <f t="shared" si="67"/>
        <v xml:space="preserve"> </v>
      </c>
      <c r="BU107" s="14"/>
      <c r="BV107" s="12"/>
      <c r="BW107" s="12"/>
      <c r="BX107" s="12"/>
      <c r="BY107" s="13" t="str">
        <f t="shared" si="68"/>
        <v xml:space="preserve"> </v>
      </c>
      <c r="BZ107" s="13" t="str">
        <f t="shared" si="69"/>
        <v xml:space="preserve"> </v>
      </c>
      <c r="CA107" s="14"/>
      <c r="CD107" s="12"/>
      <c r="CE107" s="13" t="str">
        <f t="shared" si="70"/>
        <v xml:space="preserve"> </v>
      </c>
      <c r="CF107" s="13" t="str">
        <f t="shared" si="71"/>
        <v xml:space="preserve"> </v>
      </c>
      <c r="CG107" s="14" t="s">
        <v>51</v>
      </c>
      <c r="CH107" s="9" t="str">
        <f t="shared" si="72"/>
        <v xml:space="preserve"> </v>
      </c>
      <c r="CI107" s="9" t="str">
        <f t="shared" si="72"/>
        <v xml:space="preserve"> </v>
      </c>
      <c r="CJ107" s="9">
        <f t="shared" si="44"/>
        <v>0</v>
      </c>
      <c r="CK107" s="10" t="str">
        <f t="shared" si="45"/>
        <v xml:space="preserve"> </v>
      </c>
      <c r="CL107" s="10" t="str">
        <f t="shared" si="46"/>
        <v xml:space="preserve"> </v>
      </c>
      <c r="CM107" s="11" t="str">
        <f t="shared" si="47"/>
        <v xml:space="preserve"> </v>
      </c>
      <c r="CN107" s="12"/>
      <c r="CO107" s="12"/>
      <c r="CP107" s="12"/>
    </row>
    <row r="108" spans="1:94" x14ac:dyDescent="0.3">
      <c r="A108" s="23" t="s">
        <v>127</v>
      </c>
      <c r="B108" s="9">
        <v>4201368.5</v>
      </c>
      <c r="C108" s="9">
        <v>96830.833333333328</v>
      </c>
      <c r="D108" s="9">
        <v>1018</v>
      </c>
      <c r="E108" s="10">
        <v>148574.91748526524</v>
      </c>
      <c r="F108" s="10">
        <v>3424.2730844793714</v>
      </c>
      <c r="G108" s="11">
        <v>1.9375000000000002</v>
      </c>
      <c r="H108" s="9">
        <v>2972072.1818181816</v>
      </c>
      <c r="I108" s="9">
        <v>67392.181818181823</v>
      </c>
      <c r="J108" s="9">
        <v>781</v>
      </c>
      <c r="K108" s="10">
        <v>125580.51472471192</v>
      </c>
      <c r="L108" s="10">
        <v>2847.5569782330349</v>
      </c>
      <c r="M108" s="11">
        <v>1.9427272727272724</v>
      </c>
      <c r="N108" s="12">
        <v>2274993</v>
      </c>
      <c r="O108" s="12">
        <v>56366</v>
      </c>
      <c r="P108" s="12">
        <v>56</v>
      </c>
      <c r="Q108" s="13">
        <f t="shared" si="48"/>
        <v>121874.625</v>
      </c>
      <c r="R108" s="13">
        <f t="shared" si="49"/>
        <v>3019.6071428571431</v>
      </c>
      <c r="S108" s="14"/>
      <c r="T108" s="12">
        <v>2536539</v>
      </c>
      <c r="U108" s="12">
        <v>78985</v>
      </c>
      <c r="V108" s="12">
        <v>84</v>
      </c>
      <c r="W108" s="13">
        <f t="shared" si="50"/>
        <v>90590.67857142858</v>
      </c>
      <c r="X108" s="13">
        <f t="shared" si="51"/>
        <v>2820.8928571428569</v>
      </c>
      <c r="Y108" s="14"/>
      <c r="Z108" s="12">
        <v>3739808</v>
      </c>
      <c r="AA108" s="12">
        <v>88411</v>
      </c>
      <c r="AB108" s="12">
        <v>90</v>
      </c>
      <c r="AC108" s="13">
        <f t="shared" si="52"/>
        <v>124660.26666666666</v>
      </c>
      <c r="AD108" s="13">
        <f t="shared" si="53"/>
        <v>2947.0333333333333</v>
      </c>
      <c r="AE108" s="14"/>
      <c r="AF108" s="12">
        <v>1879293.1500000013</v>
      </c>
      <c r="AG108" s="12">
        <v>53541</v>
      </c>
      <c r="AH108" s="12">
        <v>55</v>
      </c>
      <c r="AI108" s="13">
        <f t="shared" si="54"/>
        <v>102506.89909090915</v>
      </c>
      <c r="AJ108" s="13">
        <f t="shared" si="55"/>
        <v>2920.4181818181819</v>
      </c>
      <c r="AK108" s="14"/>
      <c r="AL108" s="12">
        <v>2333989.7500000005</v>
      </c>
      <c r="AM108" s="12">
        <v>76864</v>
      </c>
      <c r="AN108" s="12">
        <v>78</v>
      </c>
      <c r="AO108" s="13">
        <f t="shared" si="56"/>
        <v>89768.836538461561</v>
      </c>
      <c r="AP108" s="13">
        <f t="shared" si="57"/>
        <v>2956.3076923076924</v>
      </c>
      <c r="AQ108" s="14"/>
      <c r="AR108" s="12">
        <v>1759668</v>
      </c>
      <c r="AS108" s="12">
        <v>51644</v>
      </c>
      <c r="AT108" s="12">
        <v>63</v>
      </c>
      <c r="AU108" s="13">
        <f t="shared" si="58"/>
        <v>83793.71428571429</v>
      </c>
      <c r="AV108" s="13">
        <f t="shared" si="59"/>
        <v>2459.238095238095</v>
      </c>
      <c r="AW108" s="14"/>
      <c r="AX108" s="12">
        <v>2790145.8</v>
      </c>
      <c r="AY108" s="12">
        <v>66011</v>
      </c>
      <c r="AZ108" s="12">
        <v>78</v>
      </c>
      <c r="BA108" s="13">
        <f t="shared" si="60"/>
        <v>107313.29999999999</v>
      </c>
      <c r="BB108" s="13">
        <f t="shared" si="61"/>
        <v>2538.8846153846152</v>
      </c>
      <c r="BC108" s="14"/>
      <c r="BD108" s="12">
        <v>2560041</v>
      </c>
      <c r="BE108" s="12">
        <v>61838</v>
      </c>
      <c r="BF108" s="12">
        <v>76</v>
      </c>
      <c r="BG108" s="13">
        <f t="shared" si="62"/>
        <v>101054.25</v>
      </c>
      <c r="BH108" s="13">
        <f t="shared" si="63"/>
        <v>2440.9736842105262</v>
      </c>
      <c r="BI108" s="14"/>
      <c r="BJ108" s="12">
        <v>2502667</v>
      </c>
      <c r="BK108" s="12">
        <v>90933</v>
      </c>
      <c r="BL108" s="12">
        <v>84</v>
      </c>
      <c r="BM108" s="13">
        <f t="shared" si="64"/>
        <v>89380.96428571429</v>
      </c>
      <c r="BN108" s="13">
        <f t="shared" si="65"/>
        <v>3247.6071428571427</v>
      </c>
      <c r="BO108" s="14"/>
      <c r="BP108" s="12">
        <v>3867504.100000001</v>
      </c>
      <c r="BQ108" s="12">
        <v>101986</v>
      </c>
      <c r="BR108" s="12">
        <v>90</v>
      </c>
      <c r="BS108" s="13">
        <f t="shared" si="66"/>
        <v>128916.80333333336</v>
      </c>
      <c r="BT108" s="13">
        <f t="shared" si="67"/>
        <v>3399.5333333333328</v>
      </c>
      <c r="BU108" s="14"/>
      <c r="BV108" s="12">
        <v>3270851.4000000004</v>
      </c>
      <c r="BW108" s="12">
        <v>98956</v>
      </c>
      <c r="BX108" s="12">
        <v>87</v>
      </c>
      <c r="BY108" s="13">
        <f t="shared" si="68"/>
        <v>112787.97931034485</v>
      </c>
      <c r="BZ108" s="13">
        <f t="shared" si="69"/>
        <v>3412.2758620689656</v>
      </c>
      <c r="CA108" s="14"/>
      <c r="CB108" s="12">
        <v>3426135</v>
      </c>
      <c r="CC108" s="12">
        <v>97617</v>
      </c>
      <c r="CD108" s="12">
        <v>85</v>
      </c>
      <c r="CE108" s="13">
        <f t="shared" si="70"/>
        <v>120922.41176470587</v>
      </c>
      <c r="CF108" s="13">
        <f t="shared" si="71"/>
        <v>3445.3058823529414</v>
      </c>
      <c r="CG108" s="14" t="s">
        <v>51</v>
      </c>
      <c r="CH108" s="9">
        <f t="shared" si="72"/>
        <v>2745136.2666666671</v>
      </c>
      <c r="CI108" s="9">
        <f t="shared" si="72"/>
        <v>76929.333333333328</v>
      </c>
      <c r="CJ108" s="9">
        <f t="shared" si="44"/>
        <v>926</v>
      </c>
      <c r="CK108" s="10">
        <f t="shared" si="45"/>
        <v>106722.36025917929</v>
      </c>
      <c r="CL108" s="10">
        <f t="shared" si="46"/>
        <v>2990.7732181425486</v>
      </c>
      <c r="CM108" s="11" t="str">
        <f t="shared" si="47"/>
        <v xml:space="preserve"> </v>
      </c>
      <c r="CN108" s="12"/>
      <c r="CO108" s="12"/>
      <c r="CP108" s="12"/>
    </row>
    <row r="109" spans="1:94" x14ac:dyDescent="0.3">
      <c r="A109" s="23" t="s">
        <v>128</v>
      </c>
      <c r="B109" s="9">
        <v>3301032.6666666665</v>
      </c>
      <c r="C109" s="9">
        <v>102612.25</v>
      </c>
      <c r="D109" s="9">
        <v>1027</v>
      </c>
      <c r="E109" s="10">
        <v>115712.92697176241</v>
      </c>
      <c r="F109" s="10">
        <v>3596.9240506329115</v>
      </c>
      <c r="G109" s="11">
        <v>2.2674999999999996</v>
      </c>
      <c r="H109" s="9">
        <v>2382104.2727272729</v>
      </c>
      <c r="I109" s="9">
        <v>73109.181818181823</v>
      </c>
      <c r="J109" s="9">
        <v>850</v>
      </c>
      <c r="K109" s="10">
        <v>92481.695294117642</v>
      </c>
      <c r="L109" s="10">
        <v>2838.3564705882354</v>
      </c>
      <c r="M109" s="11">
        <v>2.229090909090909</v>
      </c>
      <c r="N109" s="12">
        <v>1283954.7999999993</v>
      </c>
      <c r="O109" s="12">
        <v>50729</v>
      </c>
      <c r="P109" s="12">
        <v>56</v>
      </c>
      <c r="Q109" s="13">
        <f t="shared" si="48"/>
        <v>68783.29285714282</v>
      </c>
      <c r="R109" s="13">
        <f t="shared" si="49"/>
        <v>2717.625</v>
      </c>
      <c r="S109" s="14"/>
      <c r="T109" s="12">
        <v>1829228.9</v>
      </c>
      <c r="U109" s="12">
        <v>75239</v>
      </c>
      <c r="V109" s="12">
        <v>83</v>
      </c>
      <c r="W109" s="13">
        <f t="shared" si="50"/>
        <v>66116.707228915664</v>
      </c>
      <c r="X109" s="13">
        <f t="shared" si="51"/>
        <v>2719.4819277108436</v>
      </c>
      <c r="Y109" s="14"/>
      <c r="Z109" s="12">
        <v>3234654.1999999974</v>
      </c>
      <c r="AA109" s="12">
        <v>94898</v>
      </c>
      <c r="AB109" s="12">
        <v>92</v>
      </c>
      <c r="AC109" s="13">
        <f t="shared" si="52"/>
        <v>105477.854347826</v>
      </c>
      <c r="AD109" s="13">
        <f t="shared" si="53"/>
        <v>3094.5</v>
      </c>
      <c r="AE109" s="14"/>
      <c r="AF109" s="12">
        <v>1444866.8500000003</v>
      </c>
      <c r="AG109" s="12">
        <v>52588</v>
      </c>
      <c r="AH109" s="12">
        <v>54</v>
      </c>
      <c r="AI109" s="13">
        <f t="shared" si="54"/>
        <v>80270.380555555574</v>
      </c>
      <c r="AJ109" s="13">
        <f t="shared" si="55"/>
        <v>2921.5555555555557</v>
      </c>
      <c r="AK109" s="14"/>
      <c r="AL109" s="12">
        <v>2242564.9000000013</v>
      </c>
      <c r="AM109" s="12">
        <v>68755</v>
      </c>
      <c r="AN109" s="12">
        <v>78</v>
      </c>
      <c r="AO109" s="13">
        <f t="shared" si="56"/>
        <v>86252.496153846208</v>
      </c>
      <c r="AP109" s="13">
        <f t="shared" si="57"/>
        <v>2644.4230769230771</v>
      </c>
      <c r="AQ109" s="14"/>
      <c r="AR109" s="12">
        <v>1413915.5500000005</v>
      </c>
      <c r="AS109" s="12">
        <v>53627</v>
      </c>
      <c r="AT109" s="12">
        <v>63</v>
      </c>
      <c r="AU109" s="13">
        <f t="shared" si="58"/>
        <v>67329.31190476194</v>
      </c>
      <c r="AV109" s="13">
        <f t="shared" si="59"/>
        <v>2553.6666666666665</v>
      </c>
      <c r="AW109" s="14"/>
      <c r="AX109" s="12">
        <v>1864951.3499999978</v>
      </c>
      <c r="AY109" s="12">
        <v>67133</v>
      </c>
      <c r="AZ109" s="12">
        <v>76</v>
      </c>
      <c r="BA109" s="13">
        <f t="shared" si="60"/>
        <v>73616.500657894649</v>
      </c>
      <c r="BB109" s="13">
        <f t="shared" si="61"/>
        <v>2649.9868421052633</v>
      </c>
      <c r="BC109" s="14"/>
      <c r="BD109" s="12">
        <v>2028087.2000000004</v>
      </c>
      <c r="BE109" s="12">
        <v>62332</v>
      </c>
      <c r="BF109" s="12">
        <v>76</v>
      </c>
      <c r="BG109" s="13">
        <f t="shared" si="62"/>
        <v>80056.07368421054</v>
      </c>
      <c r="BH109" s="13">
        <f t="shared" si="63"/>
        <v>2460.4736842105262</v>
      </c>
      <c r="BI109" s="14"/>
      <c r="BJ109" s="12">
        <v>2755112.2</v>
      </c>
      <c r="BK109" s="12">
        <v>87692</v>
      </c>
      <c r="BL109" s="12">
        <v>81</v>
      </c>
      <c r="BM109" s="13">
        <f t="shared" si="64"/>
        <v>102041.19259259259</v>
      </c>
      <c r="BN109" s="13">
        <f t="shared" si="65"/>
        <v>3247.8518518518522</v>
      </c>
      <c r="BO109" s="14"/>
      <c r="BP109" s="12">
        <v>2541847.0499999998</v>
      </c>
      <c r="BQ109" s="12">
        <v>89088</v>
      </c>
      <c r="BR109" s="12">
        <v>87</v>
      </c>
      <c r="BS109" s="13">
        <f t="shared" si="66"/>
        <v>87649.898275862055</v>
      </c>
      <c r="BT109" s="13">
        <f t="shared" si="67"/>
        <v>3072</v>
      </c>
      <c r="BU109" s="14"/>
      <c r="BV109" s="12">
        <v>2225183</v>
      </c>
      <c r="BW109" s="12">
        <v>96182</v>
      </c>
      <c r="BX109" s="12">
        <v>87</v>
      </c>
      <c r="BY109" s="13">
        <f t="shared" si="68"/>
        <v>76730.448275862072</v>
      </c>
      <c r="BZ109" s="13">
        <f t="shared" si="69"/>
        <v>3316.6206896551721</v>
      </c>
      <c r="CA109" s="14"/>
      <c r="CB109" s="12">
        <v>2781198.4</v>
      </c>
      <c r="CC109" s="12">
        <v>82965</v>
      </c>
      <c r="CD109" s="12">
        <v>86</v>
      </c>
      <c r="CE109" s="13">
        <f t="shared" si="70"/>
        <v>97018.548837209295</v>
      </c>
      <c r="CF109" s="13">
        <f t="shared" si="71"/>
        <v>2894.1279069767443</v>
      </c>
      <c r="CG109" s="14" t="s">
        <v>51</v>
      </c>
      <c r="CH109" s="9">
        <f t="shared" si="72"/>
        <v>2137130.3666666667</v>
      </c>
      <c r="CI109" s="9">
        <f t="shared" si="72"/>
        <v>73435.666666666672</v>
      </c>
      <c r="CJ109" s="9">
        <f t="shared" si="44"/>
        <v>919</v>
      </c>
      <c r="CK109" s="10">
        <f t="shared" si="45"/>
        <v>83717.838084874849</v>
      </c>
      <c r="CL109" s="10">
        <f t="shared" si="46"/>
        <v>2876.6964091403702</v>
      </c>
      <c r="CM109" s="11" t="str">
        <f t="shared" si="47"/>
        <v xml:space="preserve"> </v>
      </c>
      <c r="CN109" s="12"/>
      <c r="CO109" s="12"/>
      <c r="CP109" s="12"/>
    </row>
    <row r="110" spans="1:94" x14ac:dyDescent="0.3">
      <c r="A110" s="23" t="s">
        <v>129</v>
      </c>
      <c r="B110" s="9">
        <v>3826186.3333333335</v>
      </c>
      <c r="C110" s="9">
        <v>31699.333333333332</v>
      </c>
      <c r="D110" s="9">
        <v>1029</v>
      </c>
      <c r="E110" s="10">
        <v>133860.74635568511</v>
      </c>
      <c r="F110" s="10">
        <v>1109.0145772594751</v>
      </c>
      <c r="G110" s="11">
        <v>1.145</v>
      </c>
      <c r="H110" s="9">
        <v>3648302.9090909092</v>
      </c>
      <c r="I110" s="9">
        <v>31228.272727272728</v>
      </c>
      <c r="J110" s="9">
        <v>846</v>
      </c>
      <c r="K110" s="10">
        <v>142309.6879432624</v>
      </c>
      <c r="L110" s="10">
        <v>1218.1241134751774</v>
      </c>
      <c r="M110" s="11">
        <v>1.1836363636363634</v>
      </c>
      <c r="N110" s="12">
        <v>2986629.1400000039</v>
      </c>
      <c r="O110" s="12">
        <v>27945</v>
      </c>
      <c r="P110" s="12">
        <v>53</v>
      </c>
      <c r="Q110" s="13">
        <f t="shared" si="48"/>
        <v>169054.47962264175</v>
      </c>
      <c r="R110" s="13">
        <f t="shared" si="49"/>
        <v>1581.7924528301887</v>
      </c>
      <c r="S110" s="14"/>
      <c r="T110" s="12">
        <v>2866934.2899999963</v>
      </c>
      <c r="U110" s="12">
        <v>27607</v>
      </c>
      <c r="V110" s="12">
        <v>76</v>
      </c>
      <c r="W110" s="13">
        <f t="shared" si="50"/>
        <v>113168.45881578933</v>
      </c>
      <c r="X110" s="13">
        <f t="shared" si="51"/>
        <v>1089.75</v>
      </c>
      <c r="Y110" s="14"/>
      <c r="Z110" s="12">
        <v>3045764.8500000318</v>
      </c>
      <c r="AA110" s="12">
        <v>27613</v>
      </c>
      <c r="AB110" s="12">
        <v>76</v>
      </c>
      <c r="AC110" s="13">
        <f t="shared" si="52"/>
        <v>120227.55986842231</v>
      </c>
      <c r="AD110" s="13">
        <f t="shared" si="53"/>
        <v>1089.9868421052631</v>
      </c>
      <c r="AE110" s="14"/>
      <c r="AF110" s="12">
        <v>2283118.0000000014</v>
      </c>
      <c r="AG110" s="12">
        <v>20399</v>
      </c>
      <c r="AH110" s="12">
        <v>51</v>
      </c>
      <c r="AI110" s="13">
        <f t="shared" si="54"/>
        <v>134301.05882352949</v>
      </c>
      <c r="AJ110" s="13">
        <f t="shared" si="55"/>
        <v>1199.9411764705883</v>
      </c>
      <c r="AK110" s="14"/>
      <c r="AL110" s="12">
        <v>3932825.58</v>
      </c>
      <c r="AM110" s="12">
        <v>37731</v>
      </c>
      <c r="AN110" s="12">
        <v>74</v>
      </c>
      <c r="AO110" s="13">
        <f t="shared" si="56"/>
        <v>159438.87486486486</v>
      </c>
      <c r="AP110" s="13">
        <f t="shared" si="57"/>
        <v>1529.6351351351352</v>
      </c>
      <c r="AQ110" s="14"/>
      <c r="AR110" s="12">
        <v>1903322.339999994</v>
      </c>
      <c r="AS110" s="12">
        <v>15218</v>
      </c>
      <c r="AT110" s="12">
        <v>60</v>
      </c>
      <c r="AU110" s="13">
        <f t="shared" si="58"/>
        <v>95166.116999999693</v>
      </c>
      <c r="AV110" s="13">
        <f t="shared" si="59"/>
        <v>760.9</v>
      </c>
      <c r="AW110" s="14"/>
      <c r="AX110" s="12">
        <v>3767408.5400000168</v>
      </c>
      <c r="AY110" s="12">
        <v>40063</v>
      </c>
      <c r="AZ110" s="12">
        <v>77</v>
      </c>
      <c r="BA110" s="13">
        <f t="shared" si="60"/>
        <v>146782.15090909158</v>
      </c>
      <c r="BB110" s="13">
        <f t="shared" si="61"/>
        <v>1560.8961038961038</v>
      </c>
      <c r="BC110" s="14"/>
      <c r="BD110" s="12">
        <v>3303546.1900000023</v>
      </c>
      <c r="BE110" s="12">
        <v>34548</v>
      </c>
      <c r="BF110" s="12">
        <v>76</v>
      </c>
      <c r="BG110" s="13">
        <f t="shared" si="62"/>
        <v>130403.13907894745</v>
      </c>
      <c r="BH110" s="13">
        <f t="shared" si="63"/>
        <v>1363.7368421052631</v>
      </c>
      <c r="BI110" s="14"/>
      <c r="BJ110" s="12">
        <v>4732992.4499999974</v>
      </c>
      <c r="BK110" s="12">
        <v>53447</v>
      </c>
      <c r="BL110" s="12">
        <v>83</v>
      </c>
      <c r="BM110" s="13">
        <f t="shared" si="64"/>
        <v>171072.01626506014</v>
      </c>
      <c r="BN110" s="13">
        <f t="shared" si="65"/>
        <v>1931.8192771084337</v>
      </c>
      <c r="BO110" s="14"/>
      <c r="BP110" s="12">
        <v>5199016.54</v>
      </c>
      <c r="BQ110" s="12">
        <v>47660</v>
      </c>
      <c r="BR110" s="12">
        <v>83</v>
      </c>
      <c r="BS110" s="13">
        <f t="shared" si="66"/>
        <v>187916.26048192772</v>
      </c>
      <c r="BT110" s="13">
        <f t="shared" si="67"/>
        <v>1722.6506024096384</v>
      </c>
      <c r="BU110" s="14"/>
      <c r="BV110" s="12">
        <v>4610171.1599999955</v>
      </c>
      <c r="BW110" s="12">
        <v>49653</v>
      </c>
      <c r="BX110" s="12">
        <v>79</v>
      </c>
      <c r="BY110" s="13">
        <f t="shared" si="68"/>
        <v>175069.79088607576</v>
      </c>
      <c r="BZ110" s="13">
        <f t="shared" si="69"/>
        <v>1885.5569620253164</v>
      </c>
      <c r="CA110" s="14"/>
      <c r="CB110" s="12">
        <v>3932607.6600000178</v>
      </c>
      <c r="CC110" s="12">
        <v>38586</v>
      </c>
      <c r="CD110" s="12">
        <v>80</v>
      </c>
      <c r="CE110" s="13">
        <f t="shared" si="70"/>
        <v>147472.78725000069</v>
      </c>
      <c r="CF110" s="13">
        <f t="shared" si="71"/>
        <v>1446.9749999999999</v>
      </c>
      <c r="CG110" s="14" t="s">
        <v>51</v>
      </c>
      <c r="CH110" s="9">
        <f t="shared" si="72"/>
        <v>3547028.0616666712</v>
      </c>
      <c r="CI110" s="9">
        <f t="shared" si="72"/>
        <v>35039.166666666664</v>
      </c>
      <c r="CJ110" s="9">
        <f t="shared" si="44"/>
        <v>868</v>
      </c>
      <c r="CK110" s="10">
        <f t="shared" si="45"/>
        <v>147111.76292626746</v>
      </c>
      <c r="CL110" s="10">
        <f t="shared" si="46"/>
        <v>1453.2373271889401</v>
      </c>
      <c r="CM110" s="11" t="str">
        <f t="shared" si="47"/>
        <v xml:space="preserve"> </v>
      </c>
      <c r="CN110" s="12"/>
      <c r="CO110" s="12"/>
      <c r="CP110" s="12"/>
    </row>
    <row r="111" spans="1:94" x14ac:dyDescent="0.3">
      <c r="A111" s="23" t="s">
        <v>130</v>
      </c>
      <c r="B111" s="9">
        <v>5851163.666666667</v>
      </c>
      <c r="C111" s="9">
        <v>67379.416666666672</v>
      </c>
      <c r="D111" s="9">
        <v>1029</v>
      </c>
      <c r="E111" s="10">
        <v>204705.43440233238</v>
      </c>
      <c r="F111" s="10">
        <v>2357.2973760932946</v>
      </c>
      <c r="G111" s="11">
        <v>1.3666666666666665</v>
      </c>
      <c r="H111" s="9">
        <v>4874170</v>
      </c>
      <c r="I111" s="9">
        <v>52667</v>
      </c>
      <c r="J111" s="9">
        <v>854</v>
      </c>
      <c r="K111" s="10">
        <v>188346.14754098363</v>
      </c>
      <c r="L111" s="10">
        <v>2035.1416861826697</v>
      </c>
      <c r="M111" s="11">
        <v>1.3172727272727269</v>
      </c>
      <c r="N111" s="12">
        <v>3362676.75</v>
      </c>
      <c r="O111" s="12">
        <v>35709</v>
      </c>
      <c r="P111" s="12">
        <v>53</v>
      </c>
      <c r="Q111" s="13">
        <f t="shared" si="48"/>
        <v>190340.19339622642</v>
      </c>
      <c r="R111" s="13">
        <f t="shared" si="49"/>
        <v>2021.2641509433963</v>
      </c>
      <c r="S111" s="14"/>
      <c r="T111" s="12">
        <v>4054851.75</v>
      </c>
      <c r="U111" s="12">
        <v>47787</v>
      </c>
      <c r="V111" s="12">
        <v>78</v>
      </c>
      <c r="W111" s="13">
        <f t="shared" si="50"/>
        <v>155955.83653846153</v>
      </c>
      <c r="X111" s="13">
        <f t="shared" si="51"/>
        <v>1837.9615384615386</v>
      </c>
      <c r="Y111" s="14"/>
      <c r="Z111" s="12">
        <v>4306060.6999999993</v>
      </c>
      <c r="AA111" s="12">
        <v>45746</v>
      </c>
      <c r="AB111" s="12">
        <v>76</v>
      </c>
      <c r="AC111" s="13">
        <f t="shared" si="52"/>
        <v>169976.08026315787</v>
      </c>
      <c r="AD111" s="13">
        <f t="shared" si="53"/>
        <v>1805.7631578947369</v>
      </c>
      <c r="AE111" s="14"/>
      <c r="AF111" s="12">
        <v>2325031.7499999991</v>
      </c>
      <c r="AG111" s="12">
        <v>26534</v>
      </c>
      <c r="AH111" s="12">
        <v>48</v>
      </c>
      <c r="AI111" s="13">
        <f t="shared" si="54"/>
        <v>145314.48437499994</v>
      </c>
      <c r="AJ111" s="13">
        <f t="shared" si="55"/>
        <v>1658.375</v>
      </c>
      <c r="AK111" s="14"/>
      <c r="AL111" s="12">
        <v>4975376.8</v>
      </c>
      <c r="AM111" s="12">
        <v>57032</v>
      </c>
      <c r="AN111" s="12">
        <v>77</v>
      </c>
      <c r="AO111" s="13">
        <f t="shared" si="56"/>
        <v>193845.84935064934</v>
      </c>
      <c r="AP111" s="13">
        <f t="shared" si="57"/>
        <v>2222.0259740259739</v>
      </c>
      <c r="AQ111" s="14"/>
      <c r="AR111" s="12">
        <v>3342938.6000000006</v>
      </c>
      <c r="AS111" s="12">
        <v>38099</v>
      </c>
      <c r="AT111" s="12">
        <v>58</v>
      </c>
      <c r="AU111" s="13">
        <f t="shared" si="58"/>
        <v>172910.61724137934</v>
      </c>
      <c r="AV111" s="13">
        <f t="shared" si="59"/>
        <v>1970.6379310344828</v>
      </c>
      <c r="AW111" s="14"/>
      <c r="AX111" s="12">
        <v>3029441</v>
      </c>
      <c r="AY111" s="12">
        <v>35678</v>
      </c>
      <c r="AZ111" s="12">
        <v>58</v>
      </c>
      <c r="BA111" s="13">
        <f t="shared" si="60"/>
        <v>156695.22413793104</v>
      </c>
      <c r="BB111" s="13">
        <f t="shared" si="61"/>
        <v>1845.4137931034484</v>
      </c>
      <c r="BC111" s="14"/>
      <c r="BD111" s="12">
        <v>4356995.8499999987</v>
      </c>
      <c r="BE111" s="12">
        <v>45054</v>
      </c>
      <c r="BF111" s="12">
        <v>66</v>
      </c>
      <c r="BG111" s="13">
        <f t="shared" si="62"/>
        <v>198045.26590909087</v>
      </c>
      <c r="BH111" s="13">
        <f t="shared" si="63"/>
        <v>2047.909090909091</v>
      </c>
      <c r="BI111" s="14"/>
      <c r="BJ111" s="12">
        <v>5553601.4499999918</v>
      </c>
      <c r="BK111" s="12">
        <v>57604</v>
      </c>
      <c r="BL111" s="12">
        <v>84</v>
      </c>
      <c r="BM111" s="13">
        <f t="shared" si="64"/>
        <v>198342.90892857112</v>
      </c>
      <c r="BN111" s="13">
        <f t="shared" si="65"/>
        <v>2057.2857142857147</v>
      </c>
      <c r="BO111" s="14"/>
      <c r="BP111" s="12">
        <v>6647962.5</v>
      </c>
      <c r="BQ111" s="12">
        <v>73455</v>
      </c>
      <c r="BR111" s="12">
        <v>87</v>
      </c>
      <c r="BS111" s="13">
        <f t="shared" si="66"/>
        <v>229240.08620689658</v>
      </c>
      <c r="BT111" s="13">
        <f t="shared" si="67"/>
        <v>2532.9310344827586</v>
      </c>
      <c r="BU111" s="14"/>
      <c r="BV111" s="12">
        <v>5653326.700000003</v>
      </c>
      <c r="BW111" s="12">
        <v>59762</v>
      </c>
      <c r="BX111" s="12">
        <v>86</v>
      </c>
      <c r="BY111" s="13">
        <f t="shared" si="68"/>
        <v>197209.07093023267</v>
      </c>
      <c r="BZ111" s="13">
        <f t="shared" si="69"/>
        <v>2084.7209302325582</v>
      </c>
      <c r="CA111" s="14"/>
      <c r="CB111" s="12">
        <v>5418837</v>
      </c>
      <c r="CC111" s="12">
        <v>66046</v>
      </c>
      <c r="CD111" s="12">
        <v>84</v>
      </c>
      <c r="CE111" s="13">
        <f t="shared" si="70"/>
        <v>193529.89285714284</v>
      </c>
      <c r="CF111" s="13">
        <f t="shared" si="71"/>
        <v>2358.7857142857147</v>
      </c>
      <c r="CG111" s="14" t="s">
        <v>51</v>
      </c>
      <c r="CH111" s="9">
        <f t="shared" si="72"/>
        <v>4418925.0708333328</v>
      </c>
      <c r="CI111" s="9">
        <f t="shared" si="72"/>
        <v>49042.166666666664</v>
      </c>
      <c r="CJ111" s="9">
        <f t="shared" si="44"/>
        <v>855</v>
      </c>
      <c r="CK111" s="10">
        <f t="shared" si="45"/>
        <v>186060.00298245612</v>
      </c>
      <c r="CL111" s="10">
        <f t="shared" si="46"/>
        <v>2064.9333333333334</v>
      </c>
      <c r="CM111" s="11" t="str">
        <f t="shared" si="47"/>
        <v xml:space="preserve"> </v>
      </c>
      <c r="CN111" s="12"/>
      <c r="CO111" s="12"/>
      <c r="CP111" s="12"/>
    </row>
    <row r="112" spans="1:94" x14ac:dyDescent="0.3">
      <c r="A112" s="23" t="s">
        <v>131</v>
      </c>
      <c r="B112" s="9">
        <v>6972947</v>
      </c>
      <c r="C112" s="9">
        <v>52826.25</v>
      </c>
      <c r="D112" s="9">
        <v>985</v>
      </c>
      <c r="E112" s="10">
        <v>254848.8243654822</v>
      </c>
      <c r="F112" s="10">
        <v>1930.705583756345</v>
      </c>
      <c r="G112" s="11">
        <v>1.1058333333333337</v>
      </c>
      <c r="H112" s="9">
        <v>6637630.0909090908</v>
      </c>
      <c r="I112" s="9">
        <v>55005.909090909088</v>
      </c>
      <c r="J112" s="9">
        <v>835</v>
      </c>
      <c r="K112" s="10">
        <v>262325.50059880241</v>
      </c>
      <c r="L112" s="10">
        <v>2173.8862275449101</v>
      </c>
      <c r="M112" s="11">
        <v>1.1590909090909092</v>
      </c>
      <c r="N112" s="12">
        <v>4243668.4000000013</v>
      </c>
      <c r="O112" s="12">
        <v>36379</v>
      </c>
      <c r="P112" s="12">
        <v>51</v>
      </c>
      <c r="Q112" s="13">
        <f t="shared" si="48"/>
        <v>249627.55294117657</v>
      </c>
      <c r="R112" s="13">
        <f t="shared" si="49"/>
        <v>2139.9411764705883</v>
      </c>
      <c r="S112" s="14"/>
      <c r="T112" s="12">
        <v>5867798.1999999909</v>
      </c>
      <c r="U112" s="12">
        <v>61040</v>
      </c>
      <c r="V112" s="12">
        <v>75</v>
      </c>
      <c r="W112" s="13">
        <f t="shared" si="50"/>
        <v>234711.92799999961</v>
      </c>
      <c r="X112" s="13">
        <f t="shared" si="51"/>
        <v>2441.6</v>
      </c>
      <c r="Y112" s="14"/>
      <c r="Z112" s="12">
        <v>5772113.1000000006</v>
      </c>
      <c r="AA112" s="12">
        <v>59623</v>
      </c>
      <c r="AB112" s="12">
        <v>72</v>
      </c>
      <c r="AC112" s="13">
        <f t="shared" si="52"/>
        <v>240504.71250000002</v>
      </c>
      <c r="AD112" s="13">
        <f t="shared" si="53"/>
        <v>2484.2916666666665</v>
      </c>
      <c r="AE112" s="14"/>
      <c r="AF112" s="12">
        <v>3053683.1500000018</v>
      </c>
      <c r="AG112" s="12">
        <v>29023</v>
      </c>
      <c r="AH112" s="12">
        <v>46</v>
      </c>
      <c r="AI112" s="13">
        <f t="shared" si="54"/>
        <v>199153.24891304359</v>
      </c>
      <c r="AJ112" s="13">
        <f t="shared" si="55"/>
        <v>1892.804347826087</v>
      </c>
      <c r="AK112" s="14"/>
      <c r="AL112" s="12">
        <v>4698146.9999999981</v>
      </c>
      <c r="AM112" s="12">
        <v>43334</v>
      </c>
      <c r="AN112" s="12">
        <v>71</v>
      </c>
      <c r="AO112" s="13">
        <f t="shared" si="56"/>
        <v>198513.25352112667</v>
      </c>
      <c r="AP112" s="13">
        <f t="shared" si="57"/>
        <v>1831.0140845070423</v>
      </c>
      <c r="AQ112" s="14"/>
      <c r="AR112" s="12">
        <v>3362629.6000000043</v>
      </c>
      <c r="AS112" s="12">
        <v>28971</v>
      </c>
      <c r="AT112" s="12">
        <v>52</v>
      </c>
      <c r="AU112" s="13">
        <f t="shared" si="58"/>
        <v>193997.86153846179</v>
      </c>
      <c r="AV112" s="13">
        <f t="shared" si="59"/>
        <v>1671.4038461538462</v>
      </c>
      <c r="AW112" s="14"/>
      <c r="AX112" s="12">
        <v>4669736.3000000026</v>
      </c>
      <c r="AY112" s="12">
        <v>44607</v>
      </c>
      <c r="AZ112" s="12">
        <v>71</v>
      </c>
      <c r="BA112" s="13">
        <f t="shared" si="60"/>
        <v>197312.80140845082</v>
      </c>
      <c r="BB112" s="13">
        <f t="shared" si="61"/>
        <v>1884.8028169014087</v>
      </c>
      <c r="BC112" s="14"/>
      <c r="BD112" s="12">
        <v>1119030.8600000001</v>
      </c>
      <c r="BE112" s="12">
        <v>10295</v>
      </c>
      <c r="BF112" s="12">
        <v>18</v>
      </c>
      <c r="BG112" s="13">
        <f t="shared" si="62"/>
        <v>186505.14333333334</v>
      </c>
      <c r="BH112" s="13">
        <f t="shared" si="63"/>
        <v>1715.8333333333335</v>
      </c>
      <c r="BI112" s="14"/>
      <c r="BJ112" s="12">
        <v>5706793.0999999922</v>
      </c>
      <c r="BK112" s="12">
        <v>48783</v>
      </c>
      <c r="BL112" s="12">
        <v>69</v>
      </c>
      <c r="BM112" s="13">
        <f t="shared" si="64"/>
        <v>248121.43913043442</v>
      </c>
      <c r="BN112" s="13">
        <f t="shared" si="65"/>
        <v>2121</v>
      </c>
      <c r="BO112" s="14"/>
      <c r="BP112" s="12">
        <v>8185433.5999999791</v>
      </c>
      <c r="BQ112" s="12">
        <v>57935</v>
      </c>
      <c r="BR112" s="12">
        <v>87</v>
      </c>
      <c r="BS112" s="13">
        <f t="shared" si="66"/>
        <v>282256.33103448205</v>
      </c>
      <c r="BT112" s="13">
        <f t="shared" si="67"/>
        <v>1997.7586206896549</v>
      </c>
      <c r="BU112" s="14"/>
      <c r="BV112" s="12">
        <v>6070340.4000000022</v>
      </c>
      <c r="BW112" s="12">
        <v>34198</v>
      </c>
      <c r="BX112" s="12">
        <v>82</v>
      </c>
      <c r="BY112" s="13">
        <f t="shared" si="68"/>
        <v>222085.62439024396</v>
      </c>
      <c r="BZ112" s="13">
        <f t="shared" si="69"/>
        <v>1251.1463414634147</v>
      </c>
      <c r="CA112" s="14"/>
      <c r="CB112" s="12">
        <v>5099359.6000000006</v>
      </c>
      <c r="CC112" s="12">
        <v>40961</v>
      </c>
      <c r="CD112" s="12">
        <v>84</v>
      </c>
      <c r="CE112" s="13">
        <f t="shared" si="70"/>
        <v>182119.98571428572</v>
      </c>
      <c r="CF112" s="13">
        <f t="shared" si="71"/>
        <v>1462.8928571428573</v>
      </c>
      <c r="CG112" s="14" t="s">
        <v>51</v>
      </c>
      <c r="CH112" s="9">
        <f t="shared" si="72"/>
        <v>4820727.775833332</v>
      </c>
      <c r="CI112" s="9">
        <f t="shared" si="72"/>
        <v>41262.416666666664</v>
      </c>
      <c r="CJ112" s="9">
        <f t="shared" si="44"/>
        <v>778</v>
      </c>
      <c r="CK112" s="10">
        <f t="shared" si="45"/>
        <v>223067.09502570686</v>
      </c>
      <c r="CL112" s="10">
        <f t="shared" si="46"/>
        <v>1909.3149100257069</v>
      </c>
      <c r="CM112" s="11" t="str">
        <f t="shared" si="47"/>
        <v xml:space="preserve"> </v>
      </c>
      <c r="CN112" s="12"/>
      <c r="CO112" s="12"/>
      <c r="CP112" s="12"/>
    </row>
    <row r="113" spans="1:94" x14ac:dyDescent="0.3">
      <c r="A113" s="23" t="s">
        <v>132</v>
      </c>
      <c r="B113" s="9">
        <v>5836587.75</v>
      </c>
      <c r="C113" s="9">
        <v>42993.416666666664</v>
      </c>
      <c r="D113" s="9">
        <v>1021</v>
      </c>
      <c r="E113" s="10">
        <v>205795.45445641529</v>
      </c>
      <c r="F113" s="10">
        <v>1515.9285014691479</v>
      </c>
      <c r="G113" s="11">
        <v>1.0941666666666665</v>
      </c>
      <c r="H113" s="9">
        <v>5371050.2727272725</v>
      </c>
      <c r="I113" s="9">
        <v>38323.090909090912</v>
      </c>
      <c r="J113" s="9">
        <v>802</v>
      </c>
      <c r="K113" s="10">
        <v>221003.31546134665</v>
      </c>
      <c r="L113" s="10">
        <v>1576.8852867830424</v>
      </c>
      <c r="M113" s="11">
        <v>1.0736363636363639</v>
      </c>
      <c r="N113" s="12">
        <v>4168527.4000000008</v>
      </c>
      <c r="O113" s="12">
        <v>26577</v>
      </c>
      <c r="P113" s="12">
        <v>52</v>
      </c>
      <c r="Q113" s="13">
        <f t="shared" si="48"/>
        <v>240491.96538461544</v>
      </c>
      <c r="R113" s="13">
        <f t="shared" si="49"/>
        <v>1533.2884615384617</v>
      </c>
      <c r="S113" s="14"/>
      <c r="T113" s="12">
        <v>4544951.5999999996</v>
      </c>
      <c r="U113" s="12">
        <v>31090</v>
      </c>
      <c r="V113" s="12">
        <v>76</v>
      </c>
      <c r="W113" s="13">
        <f t="shared" si="50"/>
        <v>179405.98421052628</v>
      </c>
      <c r="X113" s="13">
        <f t="shared" si="51"/>
        <v>1227.2368421052631</v>
      </c>
      <c r="Y113" s="14"/>
      <c r="Z113" s="12">
        <v>3258272</v>
      </c>
      <c r="AA113" s="12">
        <v>22047</v>
      </c>
      <c r="AB113" s="12">
        <v>56</v>
      </c>
      <c r="AC113" s="13">
        <f t="shared" si="52"/>
        <v>174550.28571428571</v>
      </c>
      <c r="AD113" s="13">
        <f t="shared" si="53"/>
        <v>1181.0892857142858</v>
      </c>
      <c r="AE113" s="14"/>
      <c r="AF113" s="12">
        <v>2529674</v>
      </c>
      <c r="AG113" s="12">
        <v>15753</v>
      </c>
      <c r="AH113" s="12">
        <v>44</v>
      </c>
      <c r="AI113" s="13">
        <f t="shared" si="54"/>
        <v>172477.77272727274</v>
      </c>
      <c r="AJ113" s="13">
        <f t="shared" si="55"/>
        <v>1074.0681818181818</v>
      </c>
      <c r="AK113" s="14"/>
      <c r="AL113" s="12">
        <v>4644158</v>
      </c>
      <c r="AM113" s="12">
        <v>37366</v>
      </c>
      <c r="AN113" s="12">
        <v>68</v>
      </c>
      <c r="AO113" s="13">
        <f t="shared" si="56"/>
        <v>204889.32352941175</v>
      </c>
      <c r="AP113" s="13">
        <f t="shared" si="57"/>
        <v>1648.5</v>
      </c>
      <c r="AQ113" s="14"/>
      <c r="AR113" s="12">
        <v>3470103.3999999985</v>
      </c>
      <c r="AS113" s="12">
        <v>25051</v>
      </c>
      <c r="AT113" s="12">
        <v>59</v>
      </c>
      <c r="AU113" s="13">
        <f t="shared" si="58"/>
        <v>176445.93559322026</v>
      </c>
      <c r="AV113" s="13">
        <f t="shared" si="59"/>
        <v>1273.7796610169491</v>
      </c>
      <c r="AW113" s="14"/>
      <c r="AX113" s="12">
        <v>3742290.1199999996</v>
      </c>
      <c r="AY113" s="12">
        <v>27325</v>
      </c>
      <c r="AZ113" s="12">
        <v>77</v>
      </c>
      <c r="BA113" s="13">
        <f t="shared" si="60"/>
        <v>145803.51116883114</v>
      </c>
      <c r="BB113" s="13">
        <f t="shared" si="61"/>
        <v>1064.6103896103896</v>
      </c>
      <c r="BC113" s="14"/>
      <c r="BD113" s="12">
        <v>4680981</v>
      </c>
      <c r="BE113" s="12">
        <v>31043</v>
      </c>
      <c r="BF113" s="12">
        <v>72</v>
      </c>
      <c r="BG113" s="13">
        <f t="shared" si="62"/>
        <v>195040.875</v>
      </c>
      <c r="BH113" s="13">
        <f t="shared" si="63"/>
        <v>1293.4583333333333</v>
      </c>
      <c r="BI113" s="14"/>
      <c r="BJ113" s="12">
        <v>4712337.1999999974</v>
      </c>
      <c r="BK113" s="12">
        <v>29758</v>
      </c>
      <c r="BL113" s="12">
        <v>83</v>
      </c>
      <c r="BM113" s="13">
        <f t="shared" si="64"/>
        <v>170325.44096385533</v>
      </c>
      <c r="BN113" s="13">
        <f t="shared" si="65"/>
        <v>1075.5903614457832</v>
      </c>
      <c r="BO113" s="14"/>
      <c r="BP113" s="12">
        <v>6294356.5</v>
      </c>
      <c r="BQ113" s="12">
        <v>45226</v>
      </c>
      <c r="BR113" s="12">
        <v>86</v>
      </c>
      <c r="BS113" s="13">
        <f t="shared" si="66"/>
        <v>219570.57558139536</v>
      </c>
      <c r="BT113" s="13">
        <f t="shared" si="67"/>
        <v>1577.6511627906978</v>
      </c>
      <c r="BU113" s="14"/>
      <c r="BV113" s="12">
        <v>4427032.3000000026</v>
      </c>
      <c r="BW113" s="12">
        <v>37199</v>
      </c>
      <c r="BX113" s="12">
        <v>82</v>
      </c>
      <c r="BY113" s="13">
        <f t="shared" si="68"/>
        <v>161964.5963414635</v>
      </c>
      <c r="BZ113" s="13">
        <f t="shared" si="69"/>
        <v>1360.939024390244</v>
      </c>
      <c r="CA113" s="14"/>
      <c r="CB113" s="12">
        <v>5339451.4000000004</v>
      </c>
      <c r="CC113" s="12">
        <v>36280</v>
      </c>
      <c r="CD113" s="12">
        <v>83</v>
      </c>
      <c r="CE113" s="13">
        <f t="shared" si="70"/>
        <v>192992.21927710844</v>
      </c>
      <c r="CF113" s="13">
        <f t="shared" si="71"/>
        <v>1311.3253012048192</v>
      </c>
      <c r="CG113" s="14" t="s">
        <v>51</v>
      </c>
      <c r="CH113" s="9">
        <f t="shared" si="72"/>
        <v>4317677.91</v>
      </c>
      <c r="CI113" s="9">
        <f t="shared" si="72"/>
        <v>30392.916666666668</v>
      </c>
      <c r="CJ113" s="9">
        <f t="shared" si="44"/>
        <v>838</v>
      </c>
      <c r="CK113" s="10">
        <f t="shared" si="45"/>
        <v>185484.96988066827</v>
      </c>
      <c r="CL113" s="10">
        <f t="shared" si="46"/>
        <v>1305.662291169451</v>
      </c>
      <c r="CM113" s="11" t="str">
        <f t="shared" si="47"/>
        <v xml:space="preserve"> </v>
      </c>
      <c r="CN113" s="12"/>
      <c r="CO113" s="12"/>
      <c r="CP113" s="12"/>
    </row>
    <row r="114" spans="1:94" x14ac:dyDescent="0.3">
      <c r="A114" s="23" t="s">
        <v>133</v>
      </c>
      <c r="B114" s="9">
        <v>4516630.916666667</v>
      </c>
      <c r="C114" s="9">
        <v>24230.916666666668</v>
      </c>
      <c r="D114" s="9">
        <v>1030</v>
      </c>
      <c r="E114" s="10">
        <v>157862.82815533981</v>
      </c>
      <c r="F114" s="10">
        <v>846.90582524271849</v>
      </c>
      <c r="G114" s="11">
        <v>0.92666666666666664</v>
      </c>
      <c r="H114" s="9">
        <v>3129295.3636363638</v>
      </c>
      <c r="I114" s="9">
        <v>15442.90909090909</v>
      </c>
      <c r="J114" s="9">
        <v>839</v>
      </c>
      <c r="K114" s="10">
        <v>123083.13110846245</v>
      </c>
      <c r="L114" s="10">
        <v>607.40882002383796</v>
      </c>
      <c r="M114" s="11">
        <v>0.89090909090909098</v>
      </c>
      <c r="N114" s="12">
        <v>2658380.2599999718</v>
      </c>
      <c r="O114" s="12">
        <v>15789</v>
      </c>
      <c r="P114" s="12">
        <v>60</v>
      </c>
      <c r="Q114" s="13">
        <f t="shared" si="48"/>
        <v>132919.01299999861</v>
      </c>
      <c r="R114" s="13">
        <f t="shared" si="49"/>
        <v>789.44999999999993</v>
      </c>
      <c r="S114" s="14"/>
      <c r="T114" s="12">
        <v>2618958.5599999712</v>
      </c>
      <c r="U114" s="12">
        <v>14823</v>
      </c>
      <c r="V114" s="12">
        <v>81</v>
      </c>
      <c r="W114" s="13">
        <f t="shared" si="50"/>
        <v>96998.465185184119</v>
      </c>
      <c r="X114" s="13">
        <f t="shared" si="51"/>
        <v>549</v>
      </c>
      <c r="Y114" s="14"/>
      <c r="Z114" s="12">
        <v>3422995.6399999764</v>
      </c>
      <c r="AA114" s="12">
        <v>19070</v>
      </c>
      <c r="AB114" s="12">
        <v>92</v>
      </c>
      <c r="AC114" s="13">
        <f t="shared" si="52"/>
        <v>111619.42304347749</v>
      </c>
      <c r="AD114" s="13">
        <f t="shared" si="53"/>
        <v>621.8478260869565</v>
      </c>
      <c r="AE114" s="14"/>
      <c r="AF114" s="12">
        <v>1747022.3400000113</v>
      </c>
      <c r="AG114" s="12">
        <v>7731</v>
      </c>
      <c r="AH114" s="12">
        <v>52</v>
      </c>
      <c r="AI114" s="13">
        <f t="shared" si="54"/>
        <v>100789.75038461603</v>
      </c>
      <c r="AJ114" s="13">
        <f t="shared" si="55"/>
        <v>446.01923076923083</v>
      </c>
      <c r="AK114" s="14"/>
      <c r="AL114" s="12">
        <v>3042442.8200000059</v>
      </c>
      <c r="AM114" s="12">
        <v>16337</v>
      </c>
      <c r="AN114" s="12">
        <v>77</v>
      </c>
      <c r="AO114" s="13">
        <f t="shared" si="56"/>
        <v>118536.73324675349</v>
      </c>
      <c r="AP114" s="13">
        <f t="shared" si="57"/>
        <v>636.50649350649348</v>
      </c>
      <c r="AQ114" s="14"/>
      <c r="AR114" s="12">
        <v>2118248.8199999994</v>
      </c>
      <c r="AS114" s="12">
        <v>11059</v>
      </c>
      <c r="AT114" s="12">
        <v>62</v>
      </c>
      <c r="AU114" s="13">
        <f t="shared" si="58"/>
        <v>102495.91064516126</v>
      </c>
      <c r="AV114" s="13">
        <f t="shared" si="59"/>
        <v>535.11290322580646</v>
      </c>
      <c r="AW114" s="14"/>
      <c r="AX114" s="12">
        <v>2414246.6299999901</v>
      </c>
      <c r="AY114" s="12">
        <v>15420</v>
      </c>
      <c r="AZ114" s="12">
        <v>74</v>
      </c>
      <c r="BA114" s="13">
        <f t="shared" si="60"/>
        <v>97874.863378377981</v>
      </c>
      <c r="BB114" s="13">
        <f t="shared" si="61"/>
        <v>625.13513513513522</v>
      </c>
      <c r="BC114" s="14"/>
      <c r="BD114" s="12">
        <v>2182455.1999999816</v>
      </c>
      <c r="BE114" s="12">
        <v>14911</v>
      </c>
      <c r="BF114" s="12">
        <v>77</v>
      </c>
      <c r="BG114" s="13">
        <f t="shared" si="62"/>
        <v>85030.722077921353</v>
      </c>
      <c r="BH114" s="13">
        <f t="shared" si="63"/>
        <v>580.9480519480519</v>
      </c>
      <c r="BI114" s="14"/>
      <c r="BJ114" s="12">
        <v>3200199.59</v>
      </c>
      <c r="BK114" s="12">
        <v>14432</v>
      </c>
      <c r="BL114" s="12">
        <v>82</v>
      </c>
      <c r="BM114" s="13">
        <f t="shared" si="64"/>
        <v>117080.47280487804</v>
      </c>
      <c r="BN114" s="13">
        <f t="shared" si="65"/>
        <v>528</v>
      </c>
      <c r="BO114" s="14"/>
      <c r="BP114" s="12">
        <v>4369390.4450000003</v>
      </c>
      <c r="BQ114" s="12">
        <v>24449</v>
      </c>
      <c r="BR114" s="12">
        <v>88</v>
      </c>
      <c r="BS114" s="13">
        <f t="shared" si="66"/>
        <v>148956.49244318184</v>
      </c>
      <c r="BT114" s="13">
        <f t="shared" si="67"/>
        <v>833.48863636363626</v>
      </c>
      <c r="BU114" s="14"/>
      <c r="BV114" s="12">
        <v>771361.40000000352</v>
      </c>
      <c r="BW114" s="12">
        <v>4304</v>
      </c>
      <c r="BX114" s="12">
        <v>19</v>
      </c>
      <c r="BY114" s="13">
        <f t="shared" si="68"/>
        <v>121793.90526315843</v>
      </c>
      <c r="BZ114" s="13">
        <f t="shared" si="69"/>
        <v>679.57894736842104</v>
      </c>
      <c r="CA114" s="14"/>
      <c r="CD114" s="12"/>
      <c r="CE114" s="13" t="str">
        <f t="shared" si="70"/>
        <v xml:space="preserve"> </v>
      </c>
      <c r="CF114" s="13" t="str">
        <f t="shared" si="71"/>
        <v xml:space="preserve"> </v>
      </c>
      <c r="CG114" s="14" t="s">
        <v>51</v>
      </c>
      <c r="CH114" s="9">
        <f t="shared" si="72"/>
        <v>2595063.7913636281</v>
      </c>
      <c r="CI114" s="9">
        <f t="shared" si="72"/>
        <v>14393.181818181818</v>
      </c>
      <c r="CJ114" s="9">
        <f t="shared" si="44"/>
        <v>764</v>
      </c>
      <c r="CK114" s="10">
        <f t="shared" si="45"/>
        <v>112090.45172120383</v>
      </c>
      <c r="CL114" s="10">
        <f t="shared" si="46"/>
        <v>621.69502617801049</v>
      </c>
      <c r="CM114" s="11" t="str">
        <f t="shared" si="47"/>
        <v xml:space="preserve"> </v>
      </c>
      <c r="CN114" s="12"/>
      <c r="CO114" s="12"/>
      <c r="CP114" s="12"/>
    </row>
    <row r="115" spans="1:94" x14ac:dyDescent="0.3">
      <c r="A115" s="23" t="s">
        <v>134</v>
      </c>
      <c r="B115" s="9">
        <v>5239618.916666667</v>
      </c>
      <c r="C115" s="9">
        <v>17563.583333333332</v>
      </c>
      <c r="D115" s="9">
        <v>1024</v>
      </c>
      <c r="E115" s="10">
        <v>184205.3525390625</v>
      </c>
      <c r="F115" s="10">
        <v>617.4697265625</v>
      </c>
      <c r="G115" s="11">
        <v>0.73</v>
      </c>
      <c r="H115" s="9">
        <v>4044490.8181818184</v>
      </c>
      <c r="I115" s="9">
        <v>13309.727272727272</v>
      </c>
      <c r="J115" s="9">
        <v>854</v>
      </c>
      <c r="K115" s="10">
        <v>156285.94496487119</v>
      </c>
      <c r="L115" s="10">
        <v>514.3103044496487</v>
      </c>
      <c r="M115" s="11">
        <v>0.72545454545454546</v>
      </c>
      <c r="N115" s="12">
        <v>3367212.1199999917</v>
      </c>
      <c r="O115" s="12">
        <v>8805</v>
      </c>
      <c r="P115" s="12">
        <v>50</v>
      </c>
      <c r="Q115" s="13">
        <f t="shared" si="48"/>
        <v>202032.7271999995</v>
      </c>
      <c r="R115" s="13">
        <f t="shared" si="49"/>
        <v>528.29999999999995</v>
      </c>
      <c r="S115" s="14"/>
      <c r="T115" s="12">
        <v>3547228.209999999</v>
      </c>
      <c r="U115" s="12">
        <v>22912</v>
      </c>
      <c r="V115" s="12">
        <v>58</v>
      </c>
      <c r="W115" s="13">
        <f t="shared" si="50"/>
        <v>183477.32120689651</v>
      </c>
      <c r="X115" s="13">
        <f t="shared" si="51"/>
        <v>1185.1034482758621</v>
      </c>
      <c r="Y115" s="14"/>
      <c r="Z115" s="12">
        <v>4112532.4499999993</v>
      </c>
      <c r="AA115" s="12">
        <v>29968</v>
      </c>
      <c r="AB115" s="12">
        <v>70</v>
      </c>
      <c r="AC115" s="13">
        <f t="shared" si="52"/>
        <v>176251.39071428569</v>
      </c>
      <c r="AD115" s="13">
        <f t="shared" si="53"/>
        <v>1284.3428571428572</v>
      </c>
      <c r="AE115" s="14"/>
      <c r="AF115" s="12">
        <v>2091912.6700000034</v>
      </c>
      <c r="AG115" s="12">
        <v>23393</v>
      </c>
      <c r="AH115" s="12">
        <v>41</v>
      </c>
      <c r="AI115" s="13">
        <f t="shared" si="54"/>
        <v>153066.78073170758</v>
      </c>
      <c r="AJ115" s="13">
        <f t="shared" si="55"/>
        <v>1711.6829268292681</v>
      </c>
      <c r="AK115" s="14"/>
      <c r="AL115" s="12">
        <v>3744948.1599999946</v>
      </c>
      <c r="AM115" s="12">
        <v>17254</v>
      </c>
      <c r="AN115" s="12">
        <v>67</v>
      </c>
      <c r="AO115" s="13">
        <f t="shared" si="56"/>
        <v>167684.245970149</v>
      </c>
      <c r="AP115" s="13">
        <f t="shared" si="57"/>
        <v>772.56716417910445</v>
      </c>
      <c r="AQ115" s="14"/>
      <c r="AR115" s="12">
        <v>2346091.0499999919</v>
      </c>
      <c r="AS115" s="12">
        <v>11014</v>
      </c>
      <c r="AT115" s="12">
        <v>45</v>
      </c>
      <c r="AU115" s="13">
        <f t="shared" si="58"/>
        <v>156406.06999999945</v>
      </c>
      <c r="AV115" s="13">
        <f t="shared" si="59"/>
        <v>734.26666666666665</v>
      </c>
      <c r="AW115" s="14"/>
      <c r="AX115" s="12">
        <v>3794836.3599999952</v>
      </c>
      <c r="AY115" s="12">
        <v>16285</v>
      </c>
      <c r="AZ115" s="12">
        <v>76</v>
      </c>
      <c r="BA115" s="13">
        <f t="shared" si="60"/>
        <v>149796.17210526296</v>
      </c>
      <c r="BB115" s="13">
        <f t="shared" si="61"/>
        <v>642.82894736842104</v>
      </c>
      <c r="BC115" s="14"/>
      <c r="BD115" s="12">
        <v>2806469.5000000005</v>
      </c>
      <c r="BE115" s="12">
        <v>10381</v>
      </c>
      <c r="BF115" s="12">
        <v>60</v>
      </c>
      <c r="BG115" s="13">
        <f t="shared" si="62"/>
        <v>140323.47500000003</v>
      </c>
      <c r="BH115" s="13">
        <f t="shared" si="63"/>
        <v>519.05000000000007</v>
      </c>
      <c r="BI115" s="14"/>
      <c r="BJ115" s="12">
        <v>5173984.3399999961</v>
      </c>
      <c r="BK115" s="12">
        <v>22809</v>
      </c>
      <c r="BL115" s="12">
        <v>73</v>
      </c>
      <c r="BM115" s="13">
        <f t="shared" si="64"/>
        <v>212629.49342465738</v>
      </c>
      <c r="BN115" s="13">
        <f t="shared" si="65"/>
        <v>937.35616438356169</v>
      </c>
      <c r="BO115" s="14"/>
      <c r="BP115" s="12">
        <v>4753732.7399999984</v>
      </c>
      <c r="BQ115" s="12">
        <v>21977</v>
      </c>
      <c r="BR115" s="12">
        <v>75</v>
      </c>
      <c r="BS115" s="13">
        <f t="shared" si="66"/>
        <v>190149.30959999992</v>
      </c>
      <c r="BT115" s="13">
        <f t="shared" si="67"/>
        <v>879.07999999999993</v>
      </c>
      <c r="BU115" s="14"/>
      <c r="BV115" s="12">
        <v>2873001.8600000148</v>
      </c>
      <c r="BW115" s="12">
        <v>11435</v>
      </c>
      <c r="BX115" s="12">
        <v>62</v>
      </c>
      <c r="BY115" s="13">
        <f t="shared" si="68"/>
        <v>139016.21903225878</v>
      </c>
      <c r="BZ115" s="13">
        <f t="shared" si="69"/>
        <v>553.30645161290317</v>
      </c>
      <c r="CA115" s="14"/>
      <c r="CB115" s="12">
        <v>2565705.300000004</v>
      </c>
      <c r="CC115" s="12">
        <v>10615</v>
      </c>
      <c r="CD115" s="12">
        <v>60</v>
      </c>
      <c r="CE115" s="13">
        <f t="shared" si="70"/>
        <v>128285.26500000022</v>
      </c>
      <c r="CF115" s="13">
        <f t="shared" si="71"/>
        <v>530.75</v>
      </c>
      <c r="CG115" s="14" t="s">
        <v>51</v>
      </c>
      <c r="CH115" s="9">
        <f t="shared" si="72"/>
        <v>3431471.2299999991</v>
      </c>
      <c r="CI115" s="9">
        <f t="shared" si="72"/>
        <v>17237.333333333332</v>
      </c>
      <c r="CJ115" s="9">
        <f t="shared" si="44"/>
        <v>737</v>
      </c>
      <c r="CK115" s="10">
        <f t="shared" si="45"/>
        <v>167615.96238805968</v>
      </c>
      <c r="CL115" s="10">
        <f t="shared" si="46"/>
        <v>841.98643147896871</v>
      </c>
      <c r="CM115" s="11" t="str">
        <f t="shared" si="47"/>
        <v xml:space="preserve"> </v>
      </c>
      <c r="CN115" s="12"/>
      <c r="CO115" s="12"/>
      <c r="CP115" s="12"/>
    </row>
    <row r="116" spans="1:94" x14ac:dyDescent="0.3">
      <c r="A116" s="23" t="s">
        <v>135</v>
      </c>
      <c r="B116" s="9">
        <v>5782242.25</v>
      </c>
      <c r="C116" s="9">
        <v>48996.666666666664</v>
      </c>
      <c r="D116" s="9">
        <v>1023</v>
      </c>
      <c r="E116" s="10">
        <v>203480.66568914958</v>
      </c>
      <c r="F116" s="10">
        <v>1724.2228739002933</v>
      </c>
      <c r="G116" s="11">
        <v>1.1741666666666666</v>
      </c>
      <c r="H116" s="9">
        <v>2322358.9090909092</v>
      </c>
      <c r="I116" s="9">
        <v>18749.454545454544</v>
      </c>
      <c r="J116" s="9">
        <v>469</v>
      </c>
      <c r="K116" s="10">
        <v>163406.9168443497</v>
      </c>
      <c r="L116" s="10">
        <v>1319.2579957356077</v>
      </c>
      <c r="M116" s="11">
        <v>1.1209090909090911</v>
      </c>
      <c r="N116" s="12">
        <v>1082607</v>
      </c>
      <c r="O116" s="12">
        <v>5723</v>
      </c>
      <c r="P116" s="12">
        <v>30</v>
      </c>
      <c r="Q116" s="13">
        <f t="shared" si="48"/>
        <v>108260.70000000001</v>
      </c>
      <c r="R116" s="13">
        <f t="shared" si="49"/>
        <v>572.30000000000007</v>
      </c>
      <c r="S116" s="14"/>
      <c r="T116" s="12">
        <v>1039433.8799999998</v>
      </c>
      <c r="U116" s="12">
        <v>8184</v>
      </c>
      <c r="V116" s="12">
        <v>37</v>
      </c>
      <c r="W116" s="13">
        <f t="shared" si="50"/>
        <v>84278.422702702679</v>
      </c>
      <c r="X116" s="13">
        <f t="shared" si="51"/>
        <v>663.56756756756761</v>
      </c>
      <c r="Y116" s="14"/>
      <c r="Z116" s="12">
        <v>1600168.1999999997</v>
      </c>
      <c r="AA116" s="12">
        <v>10510</v>
      </c>
      <c r="AB116" s="12">
        <v>47</v>
      </c>
      <c r="AC116" s="13">
        <f t="shared" si="52"/>
        <v>102138.39574468083</v>
      </c>
      <c r="AD116" s="13">
        <f t="shared" si="53"/>
        <v>670.85106382978722</v>
      </c>
      <c r="AE116" s="14"/>
      <c r="AF116" s="12">
        <v>559127</v>
      </c>
      <c r="AG116" s="12">
        <v>5034</v>
      </c>
      <c r="AH116" s="12">
        <v>18</v>
      </c>
      <c r="AI116" s="13">
        <f t="shared" si="54"/>
        <v>93187.833333333328</v>
      </c>
      <c r="AJ116" s="13">
        <f t="shared" si="55"/>
        <v>839</v>
      </c>
      <c r="AK116" s="14"/>
      <c r="AL116" s="12">
        <v>1810432</v>
      </c>
      <c r="AM116" s="12">
        <v>11363</v>
      </c>
      <c r="AN116" s="12">
        <v>39</v>
      </c>
      <c r="AO116" s="13">
        <f t="shared" si="56"/>
        <v>139264</v>
      </c>
      <c r="AP116" s="13">
        <f t="shared" si="57"/>
        <v>874.07692307692309</v>
      </c>
      <c r="AQ116" s="14"/>
      <c r="AR116" s="12">
        <v>965678</v>
      </c>
      <c r="AS116" s="12">
        <v>5822</v>
      </c>
      <c r="AT116" s="12">
        <v>27</v>
      </c>
      <c r="AU116" s="13">
        <f t="shared" si="58"/>
        <v>107297.55555555556</v>
      </c>
      <c r="AV116" s="13">
        <f t="shared" si="59"/>
        <v>646.88888888888891</v>
      </c>
      <c r="AW116" s="14"/>
      <c r="AX116" s="12">
        <v>1215881</v>
      </c>
      <c r="AY116" s="12">
        <v>11471</v>
      </c>
      <c r="AZ116" s="12">
        <v>30</v>
      </c>
      <c r="BA116" s="13">
        <f t="shared" si="60"/>
        <v>121588.1</v>
      </c>
      <c r="BB116" s="13">
        <f t="shared" si="61"/>
        <v>1147.0999999999999</v>
      </c>
      <c r="BC116" s="14"/>
      <c r="BD116" s="12"/>
      <c r="BE116" s="12"/>
      <c r="BF116" s="12"/>
      <c r="BG116" s="13" t="str">
        <f t="shared" si="62"/>
        <v xml:space="preserve"> </v>
      </c>
      <c r="BH116" s="13" t="str">
        <f t="shared" si="63"/>
        <v xml:space="preserve"> </v>
      </c>
      <c r="BI116" s="14"/>
      <c r="BJ116" s="12">
        <v>2872010.0399999977</v>
      </c>
      <c r="BK116" s="12">
        <v>27427</v>
      </c>
      <c r="BL116" s="12">
        <v>78</v>
      </c>
      <c r="BM116" s="13">
        <f t="shared" si="64"/>
        <v>110461.92461538453</v>
      </c>
      <c r="BN116" s="13">
        <f t="shared" si="65"/>
        <v>1054.8846153846155</v>
      </c>
      <c r="BO116" s="14"/>
      <c r="BP116" s="12">
        <v>4219090</v>
      </c>
      <c r="BQ116" s="12">
        <v>32283</v>
      </c>
      <c r="BR116" s="12">
        <v>79</v>
      </c>
      <c r="BS116" s="13">
        <f t="shared" si="66"/>
        <v>160218.60759493671</v>
      </c>
      <c r="BT116" s="13">
        <f t="shared" si="67"/>
        <v>1225.9367088607596</v>
      </c>
      <c r="BU116" s="14"/>
      <c r="BV116" s="12">
        <v>4810099</v>
      </c>
      <c r="BW116" s="12">
        <v>35810</v>
      </c>
      <c r="BX116" s="12">
        <v>84</v>
      </c>
      <c r="BY116" s="13">
        <f t="shared" si="68"/>
        <v>171789.25</v>
      </c>
      <c r="BZ116" s="13">
        <f t="shared" si="69"/>
        <v>1278.9285714285713</v>
      </c>
      <c r="CA116" s="14"/>
      <c r="CB116" s="12">
        <v>3942032.4000000022</v>
      </c>
      <c r="CC116" s="12">
        <v>39213</v>
      </c>
      <c r="CD116" s="12">
        <v>76</v>
      </c>
      <c r="CE116" s="13">
        <f t="shared" si="70"/>
        <v>155606.54210526324</v>
      </c>
      <c r="CF116" s="13">
        <f t="shared" si="71"/>
        <v>1547.8815789473683</v>
      </c>
      <c r="CG116" s="14" t="s">
        <v>51</v>
      </c>
      <c r="CH116" s="9">
        <f t="shared" si="72"/>
        <v>2192414.4109090907</v>
      </c>
      <c r="CI116" s="9">
        <f t="shared" si="72"/>
        <v>17530.909090909092</v>
      </c>
      <c r="CJ116" s="9">
        <f t="shared" si="44"/>
        <v>545</v>
      </c>
      <c r="CK116" s="10">
        <f t="shared" si="45"/>
        <v>132751.69827522934</v>
      </c>
      <c r="CL116" s="10">
        <f t="shared" si="46"/>
        <v>1061.5045871559632</v>
      </c>
      <c r="CM116" s="11" t="str">
        <f t="shared" si="47"/>
        <v xml:space="preserve"> </v>
      </c>
      <c r="CN116" s="12"/>
      <c r="CO116" s="12"/>
      <c r="CP116" s="12"/>
    </row>
    <row r="117" spans="1:94" x14ac:dyDescent="0.3">
      <c r="A117" s="23" t="s">
        <v>136</v>
      </c>
      <c r="B117" s="9">
        <v>5775449.583333333</v>
      </c>
      <c r="C117" s="9">
        <v>47876.5</v>
      </c>
      <c r="D117" s="9">
        <v>973</v>
      </c>
      <c r="E117" s="10">
        <v>213685.69886947583</v>
      </c>
      <c r="F117" s="10">
        <v>1771.3812949640289</v>
      </c>
      <c r="G117" s="11">
        <v>1.1574999999999998</v>
      </c>
      <c r="H117" s="9">
        <v>3406886.0909090908</v>
      </c>
      <c r="I117" s="9">
        <v>27657.81818181818</v>
      </c>
      <c r="J117" s="9">
        <v>532</v>
      </c>
      <c r="K117" s="10">
        <v>211329.40037593985</v>
      </c>
      <c r="L117" s="10">
        <v>1715.6165413533836</v>
      </c>
      <c r="M117" s="11">
        <v>1.1836363636363636</v>
      </c>
      <c r="N117" s="12">
        <v>1127568</v>
      </c>
      <c r="O117" s="12">
        <v>6188</v>
      </c>
      <c r="P117" s="12">
        <v>32</v>
      </c>
      <c r="Q117" s="13">
        <f t="shared" si="48"/>
        <v>105709.5</v>
      </c>
      <c r="R117" s="13">
        <f t="shared" si="49"/>
        <v>580.125</v>
      </c>
      <c r="S117" s="14"/>
      <c r="T117" s="12">
        <v>1940916.19</v>
      </c>
      <c r="U117" s="12">
        <v>11711</v>
      </c>
      <c r="V117" s="12">
        <v>39</v>
      </c>
      <c r="W117" s="13">
        <f t="shared" si="50"/>
        <v>149301.24538461538</v>
      </c>
      <c r="X117" s="13">
        <f t="shared" si="51"/>
        <v>900.84615384615381</v>
      </c>
      <c r="Y117" s="14"/>
      <c r="Z117" s="12">
        <v>1703401</v>
      </c>
      <c r="AA117" s="12">
        <v>13119</v>
      </c>
      <c r="AB117" s="12">
        <v>44</v>
      </c>
      <c r="AC117" s="13">
        <f t="shared" si="52"/>
        <v>116140.97727272726</v>
      </c>
      <c r="AD117" s="13">
        <f t="shared" si="53"/>
        <v>894.47727272727275</v>
      </c>
      <c r="AE117" s="14"/>
      <c r="AF117" s="12">
        <v>899679</v>
      </c>
      <c r="AG117" s="12">
        <v>8937</v>
      </c>
      <c r="AH117" s="12">
        <v>28</v>
      </c>
      <c r="AI117" s="13">
        <f t="shared" si="54"/>
        <v>96394.17857142858</v>
      </c>
      <c r="AJ117" s="13">
        <f t="shared" si="55"/>
        <v>957.53571428571433</v>
      </c>
      <c r="AK117" s="14"/>
      <c r="AL117" s="12">
        <v>1725777</v>
      </c>
      <c r="AM117" s="12">
        <v>10381</v>
      </c>
      <c r="AN117" s="12">
        <v>44</v>
      </c>
      <c r="AO117" s="13">
        <f t="shared" si="56"/>
        <v>117666.61363636363</v>
      </c>
      <c r="AP117" s="13">
        <f t="shared" si="57"/>
        <v>707.7954545454545</v>
      </c>
      <c r="AQ117" s="14"/>
      <c r="AR117" s="12">
        <v>1126638</v>
      </c>
      <c r="AS117" s="12">
        <v>6693</v>
      </c>
      <c r="AT117" s="12">
        <v>35</v>
      </c>
      <c r="AU117" s="13">
        <f t="shared" si="58"/>
        <v>96568.971428571429</v>
      </c>
      <c r="AV117" s="13">
        <f t="shared" si="59"/>
        <v>573.68571428571431</v>
      </c>
      <c r="AW117" s="14"/>
      <c r="AX117" s="12">
        <v>1637534</v>
      </c>
      <c r="AY117" s="12">
        <v>8463</v>
      </c>
      <c r="AZ117" s="12">
        <v>39</v>
      </c>
      <c r="BA117" s="13">
        <f t="shared" si="60"/>
        <v>125964.15384615384</v>
      </c>
      <c r="BB117" s="13">
        <f t="shared" si="61"/>
        <v>651</v>
      </c>
      <c r="BC117" s="14"/>
      <c r="BD117" s="12"/>
      <c r="BE117" s="12"/>
      <c r="BF117" s="12"/>
      <c r="BG117" s="13" t="str">
        <f t="shared" si="62"/>
        <v xml:space="preserve"> </v>
      </c>
      <c r="BH117" s="13" t="str">
        <f t="shared" si="63"/>
        <v xml:space="preserve"> </v>
      </c>
      <c r="BI117" s="14"/>
      <c r="BJ117" s="12">
        <v>3407892.04</v>
      </c>
      <c r="BK117" s="12">
        <v>32823</v>
      </c>
      <c r="BL117" s="12">
        <v>77</v>
      </c>
      <c r="BM117" s="13">
        <f t="shared" si="64"/>
        <v>132775.01454545453</v>
      </c>
      <c r="BN117" s="13">
        <f t="shared" si="65"/>
        <v>1278.8181818181818</v>
      </c>
      <c r="BO117" s="14"/>
      <c r="BP117" s="12">
        <v>5038681</v>
      </c>
      <c r="BQ117" s="12">
        <v>31083</v>
      </c>
      <c r="BR117" s="12">
        <v>84</v>
      </c>
      <c r="BS117" s="13">
        <f t="shared" si="66"/>
        <v>179952.89285714284</v>
      </c>
      <c r="BT117" s="13">
        <f t="shared" si="67"/>
        <v>1110.1071428571429</v>
      </c>
      <c r="BU117" s="14"/>
      <c r="BV117" s="12">
        <v>4636210</v>
      </c>
      <c r="BW117" s="12">
        <v>35087</v>
      </c>
      <c r="BX117" s="12">
        <v>83</v>
      </c>
      <c r="BY117" s="13">
        <f t="shared" si="68"/>
        <v>167573.85542168675</v>
      </c>
      <c r="BZ117" s="13">
        <f t="shared" si="69"/>
        <v>1268.2048192771085</v>
      </c>
      <c r="CA117" s="14"/>
      <c r="CB117" s="12">
        <v>4499339</v>
      </c>
      <c r="CC117" s="12">
        <v>40833</v>
      </c>
      <c r="CD117" s="12">
        <v>75</v>
      </c>
      <c r="CE117" s="13">
        <f t="shared" si="70"/>
        <v>179973.56</v>
      </c>
      <c r="CF117" s="13">
        <f t="shared" si="71"/>
        <v>1633.3200000000002</v>
      </c>
      <c r="CG117" s="14" t="s">
        <v>51</v>
      </c>
      <c r="CH117" s="9">
        <f t="shared" si="72"/>
        <v>2522148.6572727272</v>
      </c>
      <c r="CI117" s="9">
        <f t="shared" si="72"/>
        <v>18665.272727272728</v>
      </c>
      <c r="CJ117" s="9">
        <f t="shared" si="44"/>
        <v>580</v>
      </c>
      <c r="CK117" s="10">
        <f t="shared" si="45"/>
        <v>143501.56153448275</v>
      </c>
      <c r="CL117" s="10">
        <f t="shared" si="46"/>
        <v>1061.9896551724137</v>
      </c>
      <c r="CM117" s="11" t="str">
        <f t="shared" si="47"/>
        <v xml:space="preserve"> </v>
      </c>
      <c r="CN117" s="12"/>
      <c r="CO117" s="12"/>
      <c r="CP117" s="12"/>
    </row>
    <row r="118" spans="1:94" x14ac:dyDescent="0.3">
      <c r="A118" s="23" t="s">
        <v>137</v>
      </c>
      <c r="B118" s="9">
        <v>6612149.833333333</v>
      </c>
      <c r="C118" s="9">
        <v>29982.583333333332</v>
      </c>
      <c r="D118" s="9">
        <v>1024</v>
      </c>
      <c r="E118" s="10">
        <v>232458.392578125</v>
      </c>
      <c r="F118" s="10">
        <v>1054.0751953125</v>
      </c>
      <c r="G118" s="11">
        <v>0.85749999999999993</v>
      </c>
      <c r="H118" s="9">
        <v>4852168.5714285718</v>
      </c>
      <c r="I118" s="9">
        <v>21001.571428571428</v>
      </c>
      <c r="J118" s="9">
        <v>484</v>
      </c>
      <c r="K118" s="10">
        <v>210527.97520661156</v>
      </c>
      <c r="L118" s="10">
        <v>911.22520661157023</v>
      </c>
      <c r="M118" s="11">
        <v>0.83714285714285719</v>
      </c>
      <c r="N118" s="12">
        <v>5477</v>
      </c>
      <c r="O118" s="12">
        <v>71</v>
      </c>
      <c r="P118" s="12">
        <v>2</v>
      </c>
      <c r="Q118" s="13">
        <f t="shared" si="48"/>
        <v>8215.5</v>
      </c>
      <c r="R118" s="13">
        <f t="shared" si="49"/>
        <v>106.5</v>
      </c>
      <c r="S118" s="14"/>
      <c r="T118" s="12">
        <v>503786</v>
      </c>
      <c r="U118" s="12">
        <v>2661</v>
      </c>
      <c r="V118" s="12">
        <v>12</v>
      </c>
      <c r="W118" s="13">
        <f t="shared" si="50"/>
        <v>125946.5</v>
      </c>
      <c r="X118" s="13">
        <f t="shared" si="51"/>
        <v>665.25</v>
      </c>
      <c r="Y118" s="14"/>
      <c r="Z118" s="12">
        <v>706830</v>
      </c>
      <c r="AA118" s="12">
        <v>4120</v>
      </c>
      <c r="AB118" s="12">
        <v>18</v>
      </c>
      <c r="AC118" s="13">
        <f t="shared" si="52"/>
        <v>117805</v>
      </c>
      <c r="AD118" s="13">
        <f t="shared" si="53"/>
        <v>686.66666666666663</v>
      </c>
      <c r="AE118" s="14"/>
      <c r="AF118" s="12">
        <v>9432</v>
      </c>
      <c r="AG118" s="12">
        <v>36</v>
      </c>
      <c r="AH118" s="12">
        <v>1</v>
      </c>
      <c r="AI118" s="13">
        <f t="shared" si="54"/>
        <v>28296</v>
      </c>
      <c r="AJ118" s="13">
        <f t="shared" si="55"/>
        <v>108</v>
      </c>
      <c r="AK118" s="14"/>
      <c r="AL118" s="12">
        <v>2458678</v>
      </c>
      <c r="AM118" s="12">
        <v>9578</v>
      </c>
      <c r="AN118" s="12">
        <v>44</v>
      </c>
      <c r="AO118" s="13">
        <f t="shared" si="56"/>
        <v>167637.13636363635</v>
      </c>
      <c r="AP118" s="13">
        <f t="shared" si="57"/>
        <v>653.0454545454545</v>
      </c>
      <c r="AQ118" s="14"/>
      <c r="AR118" s="12">
        <v>2420924</v>
      </c>
      <c r="AS118" s="12">
        <v>10242</v>
      </c>
      <c r="AT118" s="12">
        <v>42</v>
      </c>
      <c r="AU118" s="13">
        <f t="shared" si="58"/>
        <v>172923.14285714284</v>
      </c>
      <c r="AV118" s="13">
        <f t="shared" si="59"/>
        <v>731.57142857142856</v>
      </c>
      <c r="AW118" s="14"/>
      <c r="AX118" s="12">
        <v>1259944</v>
      </c>
      <c r="AY118" s="12">
        <v>6060</v>
      </c>
      <c r="AZ118" s="12">
        <v>29</v>
      </c>
      <c r="BA118" s="13">
        <f t="shared" si="60"/>
        <v>130339.03448275864</v>
      </c>
      <c r="BB118" s="13">
        <f t="shared" si="61"/>
        <v>626.89655172413791</v>
      </c>
      <c r="BC118" s="14"/>
      <c r="BD118" s="12"/>
      <c r="BE118" s="12"/>
      <c r="BF118" s="12"/>
      <c r="BG118" s="13" t="str">
        <f t="shared" si="62"/>
        <v xml:space="preserve"> </v>
      </c>
      <c r="BH118" s="13" t="str">
        <f t="shared" si="63"/>
        <v xml:space="preserve"> </v>
      </c>
      <c r="BI118" s="14"/>
      <c r="BJ118" s="12">
        <v>3969253</v>
      </c>
      <c r="BK118" s="12">
        <v>20979</v>
      </c>
      <c r="BL118" s="12">
        <v>73</v>
      </c>
      <c r="BM118" s="13">
        <f t="shared" si="64"/>
        <v>163119.98630136988</v>
      </c>
      <c r="BN118" s="13">
        <f t="shared" si="65"/>
        <v>862.15068493150682</v>
      </c>
      <c r="BO118" s="14"/>
      <c r="BP118" s="12">
        <v>5630040</v>
      </c>
      <c r="BQ118" s="12">
        <v>28123</v>
      </c>
      <c r="BR118" s="12">
        <v>83</v>
      </c>
      <c r="BS118" s="13">
        <f t="shared" si="66"/>
        <v>203495.42168674699</v>
      </c>
      <c r="BT118" s="13">
        <f t="shared" si="67"/>
        <v>1016.4939759036145</v>
      </c>
      <c r="BU118" s="14"/>
      <c r="BV118" s="12">
        <v>3861209</v>
      </c>
      <c r="BW118" s="12">
        <v>19959</v>
      </c>
      <c r="BX118" s="12">
        <v>68</v>
      </c>
      <c r="BY118" s="13">
        <f t="shared" si="68"/>
        <v>170347.45588235295</v>
      </c>
      <c r="BZ118" s="13">
        <f t="shared" si="69"/>
        <v>880.54411764705878</v>
      </c>
      <c r="CA118" s="14"/>
      <c r="CB118" s="12">
        <v>4656680</v>
      </c>
      <c r="CC118" s="12">
        <v>22539</v>
      </c>
      <c r="CD118" s="12">
        <v>77</v>
      </c>
      <c r="CE118" s="13">
        <f t="shared" si="70"/>
        <v>181429.09090909091</v>
      </c>
      <c r="CF118" s="13">
        <f t="shared" si="71"/>
        <v>878.14285714285711</v>
      </c>
      <c r="CG118" s="14" t="s">
        <v>51</v>
      </c>
      <c r="CH118" s="9">
        <f t="shared" si="72"/>
        <v>2316568.4545454546</v>
      </c>
      <c r="CI118" s="9">
        <f t="shared" si="72"/>
        <v>11306.181818181818</v>
      </c>
      <c r="CJ118" s="9">
        <f t="shared" si="44"/>
        <v>449</v>
      </c>
      <c r="CK118" s="10">
        <f t="shared" si="45"/>
        <v>170260.04231625836</v>
      </c>
      <c r="CL118" s="10">
        <f t="shared" si="46"/>
        <v>830.966592427617</v>
      </c>
      <c r="CM118" s="11" t="str">
        <f t="shared" si="47"/>
        <v xml:space="preserve"> </v>
      </c>
      <c r="CN118" s="12"/>
      <c r="CO118" s="12"/>
      <c r="CP118" s="12"/>
    </row>
    <row r="119" spans="1:94" x14ac:dyDescent="0.3">
      <c r="A119" s="23" t="s">
        <v>138</v>
      </c>
      <c r="B119" s="9">
        <v>6101180.083333333</v>
      </c>
      <c r="C119" s="9">
        <v>37370</v>
      </c>
      <c r="D119" s="9">
        <v>1027</v>
      </c>
      <c r="E119" s="10">
        <v>213868.04576436224</v>
      </c>
      <c r="F119" s="10">
        <v>1309.9513145082765</v>
      </c>
      <c r="G119" s="11">
        <v>0.995</v>
      </c>
      <c r="H119" s="9">
        <v>3250802.5454545454</v>
      </c>
      <c r="I119" s="9">
        <v>19888.272727272728</v>
      </c>
      <c r="J119" s="9">
        <v>605</v>
      </c>
      <c r="K119" s="10">
        <v>177316.50247933884</v>
      </c>
      <c r="L119" s="10">
        <v>1084.8148760330578</v>
      </c>
      <c r="M119" s="11">
        <v>1.020909090909091</v>
      </c>
      <c r="N119" s="12">
        <v>1149099</v>
      </c>
      <c r="O119" s="12">
        <v>6673</v>
      </c>
      <c r="P119" s="12">
        <v>35</v>
      </c>
      <c r="Q119" s="13">
        <f t="shared" si="48"/>
        <v>98494.200000000012</v>
      </c>
      <c r="R119" s="13">
        <f t="shared" si="49"/>
        <v>571.97142857142853</v>
      </c>
      <c r="S119" s="14"/>
      <c r="T119" s="12">
        <v>1819440.1800000165</v>
      </c>
      <c r="U119" s="12">
        <v>7519</v>
      </c>
      <c r="V119" s="12">
        <v>49</v>
      </c>
      <c r="W119" s="13">
        <f t="shared" si="50"/>
        <v>111394.29673469489</v>
      </c>
      <c r="X119" s="13">
        <f t="shared" si="51"/>
        <v>460.34693877551024</v>
      </c>
      <c r="Y119" s="14"/>
      <c r="Z119" s="12">
        <v>2141001.9599999986</v>
      </c>
      <c r="AA119" s="12">
        <v>13794</v>
      </c>
      <c r="AB119" s="12">
        <v>62</v>
      </c>
      <c r="AC119" s="13">
        <f t="shared" si="52"/>
        <v>103596.86903225799</v>
      </c>
      <c r="AD119" s="13">
        <f t="shared" si="53"/>
        <v>667.45161290322574</v>
      </c>
      <c r="AE119" s="14"/>
      <c r="AF119" s="12">
        <v>1302160.5199999984</v>
      </c>
      <c r="AG119" s="12">
        <v>7214</v>
      </c>
      <c r="AH119" s="12">
        <v>26</v>
      </c>
      <c r="AI119" s="13">
        <f t="shared" si="54"/>
        <v>150249.29076923057</v>
      </c>
      <c r="AJ119" s="13">
        <f t="shared" si="55"/>
        <v>832.38461538461536</v>
      </c>
      <c r="AK119" s="14"/>
      <c r="AL119" s="12">
        <v>2304622.3200000008</v>
      </c>
      <c r="AM119" s="12">
        <v>11085</v>
      </c>
      <c r="AN119" s="12">
        <v>57</v>
      </c>
      <c r="AO119" s="13">
        <f t="shared" si="56"/>
        <v>121295.91157894742</v>
      </c>
      <c r="AP119" s="13">
        <f t="shared" si="57"/>
        <v>583.42105263157896</v>
      </c>
      <c r="AQ119" s="14"/>
      <c r="AR119" s="12">
        <v>1758790.8399999992</v>
      </c>
      <c r="AS119" s="12">
        <v>9115</v>
      </c>
      <c r="AT119" s="12">
        <v>43</v>
      </c>
      <c r="AU119" s="13">
        <f t="shared" si="58"/>
        <v>122706.33767441855</v>
      </c>
      <c r="AV119" s="13">
        <f t="shared" si="59"/>
        <v>635.93023255813955</v>
      </c>
      <c r="AW119" s="14"/>
      <c r="AX119" s="12">
        <v>2540997</v>
      </c>
      <c r="AY119" s="12">
        <v>10100</v>
      </c>
      <c r="AZ119" s="12">
        <v>43</v>
      </c>
      <c r="BA119" s="13">
        <f t="shared" si="60"/>
        <v>177278.86046511628</v>
      </c>
      <c r="BB119" s="13">
        <f t="shared" si="61"/>
        <v>704.65116279069764</v>
      </c>
      <c r="BC119" s="14"/>
      <c r="BD119" s="12"/>
      <c r="BE119" s="12"/>
      <c r="BF119" s="12"/>
      <c r="BG119" s="13" t="str">
        <f t="shared" si="62"/>
        <v xml:space="preserve"> </v>
      </c>
      <c r="BH119" s="13" t="str">
        <f t="shared" si="63"/>
        <v xml:space="preserve"> </v>
      </c>
      <c r="BI119" s="14"/>
      <c r="BJ119" s="12">
        <v>3327437.1999999988</v>
      </c>
      <c r="BK119" s="12">
        <v>26257</v>
      </c>
      <c r="BL119" s="12">
        <v>79</v>
      </c>
      <c r="BM119" s="13">
        <f t="shared" si="64"/>
        <v>126358.37468354427</v>
      </c>
      <c r="BN119" s="13">
        <f t="shared" si="65"/>
        <v>997.10126582278485</v>
      </c>
      <c r="BO119" s="14"/>
      <c r="BP119" s="12">
        <v>4491047.2400000077</v>
      </c>
      <c r="BQ119" s="12">
        <v>34107</v>
      </c>
      <c r="BR119" s="12">
        <v>84</v>
      </c>
      <c r="BS119" s="13">
        <f t="shared" si="66"/>
        <v>160394.54428571457</v>
      </c>
      <c r="BT119" s="13">
        <f t="shared" si="67"/>
        <v>1218.1071428571429</v>
      </c>
      <c r="BU119" s="14"/>
      <c r="BV119" s="12">
        <v>3528796.5199999982</v>
      </c>
      <c r="BW119" s="12">
        <v>21244</v>
      </c>
      <c r="BX119" s="12">
        <v>75</v>
      </c>
      <c r="BY119" s="13">
        <f t="shared" si="68"/>
        <v>141151.86079999994</v>
      </c>
      <c r="BZ119" s="13">
        <f t="shared" si="69"/>
        <v>849.76</v>
      </c>
      <c r="CA119" s="14"/>
      <c r="CB119" s="12">
        <v>4916236.92</v>
      </c>
      <c r="CC119" s="12">
        <v>33024</v>
      </c>
      <c r="CD119" s="12">
        <v>79</v>
      </c>
      <c r="CE119" s="13">
        <f t="shared" si="70"/>
        <v>186692.54126582277</v>
      </c>
      <c r="CF119" s="13">
        <f t="shared" si="71"/>
        <v>1254.0759493670887</v>
      </c>
      <c r="CG119" s="14" t="s">
        <v>51</v>
      </c>
      <c r="CH119" s="9">
        <f t="shared" si="72"/>
        <v>2661784.5181818199</v>
      </c>
      <c r="CI119" s="9">
        <f t="shared" si="72"/>
        <v>16375.636363636364</v>
      </c>
      <c r="CJ119" s="9">
        <f t="shared" si="44"/>
        <v>632</v>
      </c>
      <c r="CK119" s="10">
        <f t="shared" si="45"/>
        <v>138985.58401898743</v>
      </c>
      <c r="CL119" s="10">
        <f t="shared" si="46"/>
        <v>855.05696202531658</v>
      </c>
      <c r="CM119" s="11" t="str">
        <f t="shared" si="47"/>
        <v xml:space="preserve"> </v>
      </c>
      <c r="CN119" s="12"/>
      <c r="CO119" s="12"/>
      <c r="CP119" s="12"/>
    </row>
    <row r="120" spans="1:94" x14ac:dyDescent="0.3">
      <c r="A120" s="23" t="s">
        <v>139</v>
      </c>
      <c r="B120" s="9">
        <v>5800889.083333333</v>
      </c>
      <c r="C120" s="9">
        <v>25916.75</v>
      </c>
      <c r="D120" s="9">
        <v>1024</v>
      </c>
      <c r="E120" s="10">
        <v>203937.5068359375</v>
      </c>
      <c r="F120" s="10">
        <v>911.1357421875</v>
      </c>
      <c r="G120" s="11">
        <v>0.85</v>
      </c>
      <c r="H120" s="9">
        <v>4619002.3636363633</v>
      </c>
      <c r="I120" s="9">
        <v>20998</v>
      </c>
      <c r="J120" s="9">
        <v>841</v>
      </c>
      <c r="K120" s="10">
        <v>181245.0392390012</v>
      </c>
      <c r="L120" s="10">
        <v>823.94054696789544</v>
      </c>
      <c r="M120" s="11">
        <v>0.86909090909090914</v>
      </c>
      <c r="N120" s="12">
        <v>3895044</v>
      </c>
      <c r="O120" s="12">
        <v>18691</v>
      </c>
      <c r="P120" s="12">
        <v>51</v>
      </c>
      <c r="Q120" s="13">
        <f t="shared" si="48"/>
        <v>229120.23529411765</v>
      </c>
      <c r="R120" s="13">
        <f t="shared" si="49"/>
        <v>1099.4705882352941</v>
      </c>
      <c r="S120" s="14"/>
      <c r="T120" s="12">
        <v>5194088</v>
      </c>
      <c r="U120" s="12">
        <v>29774</v>
      </c>
      <c r="V120" s="12">
        <v>75</v>
      </c>
      <c r="W120" s="13">
        <f t="shared" si="50"/>
        <v>207763.52000000002</v>
      </c>
      <c r="X120" s="13">
        <f t="shared" si="51"/>
        <v>1190.96</v>
      </c>
      <c r="Y120" s="14"/>
      <c r="Z120" s="12">
        <v>4189408</v>
      </c>
      <c r="AA120" s="12">
        <v>25741</v>
      </c>
      <c r="AB120" s="12">
        <v>75</v>
      </c>
      <c r="AC120" s="13">
        <f t="shared" si="52"/>
        <v>167576.32000000001</v>
      </c>
      <c r="AD120" s="13">
        <f t="shared" si="53"/>
        <v>1029.6399999999999</v>
      </c>
      <c r="AE120" s="14"/>
      <c r="AF120" s="12">
        <v>2281122</v>
      </c>
      <c r="AG120" s="12">
        <v>10607</v>
      </c>
      <c r="AH120" s="12">
        <v>43</v>
      </c>
      <c r="AI120" s="13">
        <f t="shared" si="54"/>
        <v>159148.04651162791</v>
      </c>
      <c r="AJ120" s="13">
        <f t="shared" si="55"/>
        <v>740.02325581395348</v>
      </c>
      <c r="AK120" s="14"/>
      <c r="AL120" s="12">
        <v>5590878</v>
      </c>
      <c r="AM120" s="12">
        <v>29947</v>
      </c>
      <c r="AN120" s="12">
        <v>71</v>
      </c>
      <c r="AO120" s="13">
        <f t="shared" si="56"/>
        <v>236234.28169014087</v>
      </c>
      <c r="AP120" s="13">
        <f t="shared" si="57"/>
        <v>1265.3661971830986</v>
      </c>
      <c r="AQ120" s="14"/>
      <c r="AR120" s="12">
        <v>4183689</v>
      </c>
      <c r="AS120" s="12">
        <v>22153</v>
      </c>
      <c r="AT120" s="12">
        <v>63</v>
      </c>
      <c r="AU120" s="13">
        <f t="shared" si="58"/>
        <v>199223.28571428574</v>
      </c>
      <c r="AV120" s="13">
        <f t="shared" si="59"/>
        <v>1054.9047619047619</v>
      </c>
      <c r="AW120" s="14"/>
      <c r="AX120" s="12">
        <v>4987647</v>
      </c>
      <c r="AY120" s="12">
        <v>24751</v>
      </c>
      <c r="AZ120" s="12">
        <v>74</v>
      </c>
      <c r="BA120" s="13">
        <f t="shared" si="60"/>
        <v>202201.90540540538</v>
      </c>
      <c r="BB120" s="13">
        <f t="shared" si="61"/>
        <v>1003.418918918919</v>
      </c>
      <c r="BC120" s="14"/>
      <c r="BD120" s="12">
        <v>4773266</v>
      </c>
      <c r="BE120" s="12">
        <v>27570</v>
      </c>
      <c r="BF120" s="12">
        <v>76</v>
      </c>
      <c r="BG120" s="13">
        <f t="shared" si="62"/>
        <v>188418.39473684211</v>
      </c>
      <c r="BH120" s="13">
        <f t="shared" si="63"/>
        <v>1088.2894736842104</v>
      </c>
      <c r="BI120" s="14"/>
      <c r="BJ120" s="12">
        <v>4719437</v>
      </c>
      <c r="BK120" s="12">
        <v>34298</v>
      </c>
      <c r="BL120" s="12">
        <v>80</v>
      </c>
      <c r="BM120" s="13">
        <f t="shared" si="64"/>
        <v>176978.88750000001</v>
      </c>
      <c r="BN120" s="13">
        <f t="shared" si="65"/>
        <v>1286.1750000000002</v>
      </c>
      <c r="BO120" s="14"/>
      <c r="BP120" s="12">
        <v>6103772</v>
      </c>
      <c r="BQ120" s="12">
        <v>35350</v>
      </c>
      <c r="BR120" s="12">
        <v>85</v>
      </c>
      <c r="BS120" s="13">
        <f t="shared" si="66"/>
        <v>215427.24705882353</v>
      </c>
      <c r="BT120" s="13">
        <f t="shared" si="67"/>
        <v>1247.6470588235293</v>
      </c>
      <c r="BU120" s="14"/>
      <c r="BV120" s="12">
        <v>6050211</v>
      </c>
      <c r="BW120" s="12">
        <v>32512</v>
      </c>
      <c r="BX120" s="12">
        <v>82</v>
      </c>
      <c r="BY120" s="13">
        <f t="shared" si="68"/>
        <v>221349.18292682926</v>
      </c>
      <c r="BZ120" s="13">
        <f t="shared" si="69"/>
        <v>1189.4634146341464</v>
      </c>
      <c r="CA120" s="14"/>
      <c r="CB120" s="12">
        <v>4889528</v>
      </c>
      <c r="CC120" s="12">
        <v>29951</v>
      </c>
      <c r="CD120" s="12">
        <v>77</v>
      </c>
      <c r="CE120" s="13">
        <f t="shared" si="70"/>
        <v>190501.09090909091</v>
      </c>
      <c r="CF120" s="13">
        <f t="shared" si="71"/>
        <v>1166.9220779220777</v>
      </c>
      <c r="CG120" s="14" t="s">
        <v>51</v>
      </c>
      <c r="CH120" s="9">
        <f t="shared" si="72"/>
        <v>4738174.166666667</v>
      </c>
      <c r="CI120" s="9">
        <f t="shared" si="72"/>
        <v>26778.75</v>
      </c>
      <c r="CJ120" s="9">
        <f t="shared" si="44"/>
        <v>852</v>
      </c>
      <c r="CK120" s="10">
        <f t="shared" si="45"/>
        <v>200204.5422535211</v>
      </c>
      <c r="CL120" s="10">
        <f t="shared" si="46"/>
        <v>1131.4964788732395</v>
      </c>
      <c r="CM120" s="11" t="str">
        <f t="shared" si="47"/>
        <v xml:space="preserve"> </v>
      </c>
      <c r="CN120" s="12"/>
      <c r="CO120" s="12"/>
      <c r="CP120" s="12"/>
    </row>
    <row r="121" spans="1:94" x14ac:dyDescent="0.3">
      <c r="A121" s="23" t="s">
        <v>140</v>
      </c>
      <c r="B121" s="9">
        <v>6347645.416666667</v>
      </c>
      <c r="C121" s="9">
        <v>48294.75</v>
      </c>
      <c r="D121" s="9">
        <v>1032</v>
      </c>
      <c r="E121" s="10">
        <v>221429.4912790698</v>
      </c>
      <c r="F121" s="10">
        <v>1684.7005813953488</v>
      </c>
      <c r="G121" s="11">
        <v>1.1091666666666666</v>
      </c>
      <c r="H121" s="9">
        <v>5351776.8181818184</v>
      </c>
      <c r="I121" s="9">
        <v>38108.272727272728</v>
      </c>
      <c r="J121" s="9">
        <v>848</v>
      </c>
      <c r="K121" s="10">
        <v>208264.89976415096</v>
      </c>
      <c r="L121" s="10">
        <v>1482.9870283018868</v>
      </c>
      <c r="M121" s="11">
        <v>1.0645454545454547</v>
      </c>
      <c r="N121" s="12">
        <v>3829333</v>
      </c>
      <c r="O121" s="12">
        <v>26695</v>
      </c>
      <c r="P121" s="12">
        <v>56</v>
      </c>
      <c r="Q121" s="13">
        <f t="shared" si="48"/>
        <v>205142.83928571432</v>
      </c>
      <c r="R121" s="13">
        <f t="shared" si="49"/>
        <v>1430.0892857142858</v>
      </c>
      <c r="S121" s="14"/>
      <c r="T121" s="12">
        <v>5345372.9500000011</v>
      </c>
      <c r="U121" s="12">
        <v>37237</v>
      </c>
      <c r="V121" s="12">
        <v>75</v>
      </c>
      <c r="W121" s="13">
        <f t="shared" si="50"/>
        <v>213814.91800000006</v>
      </c>
      <c r="X121" s="13">
        <f t="shared" si="51"/>
        <v>1489.48</v>
      </c>
      <c r="Y121" s="14"/>
      <c r="Z121" s="12">
        <v>5340701.9999999972</v>
      </c>
      <c r="AA121" s="12">
        <v>37524</v>
      </c>
      <c r="AB121" s="12">
        <v>72</v>
      </c>
      <c r="AC121" s="13">
        <f t="shared" si="52"/>
        <v>222529.24999999988</v>
      </c>
      <c r="AD121" s="13">
        <f t="shared" si="53"/>
        <v>1563.5</v>
      </c>
      <c r="AE121" s="14"/>
      <c r="AF121" s="12">
        <v>2937080.0000000028</v>
      </c>
      <c r="AG121" s="12">
        <v>20550</v>
      </c>
      <c r="AH121" s="12">
        <v>40</v>
      </c>
      <c r="AI121" s="13">
        <f t="shared" si="54"/>
        <v>220281.00000000023</v>
      </c>
      <c r="AJ121" s="13">
        <f t="shared" si="55"/>
        <v>1541.25</v>
      </c>
      <c r="AK121" s="14"/>
      <c r="AL121" s="12">
        <v>4806547.6000000015</v>
      </c>
      <c r="AM121" s="12">
        <v>33806</v>
      </c>
      <c r="AN121" s="12">
        <v>69</v>
      </c>
      <c r="AO121" s="13">
        <f t="shared" si="56"/>
        <v>208980.33043478266</v>
      </c>
      <c r="AP121" s="13">
        <f t="shared" si="57"/>
        <v>1469.8260869565217</v>
      </c>
      <c r="AQ121" s="14"/>
      <c r="AR121" s="12">
        <v>3753453.0000000014</v>
      </c>
      <c r="AS121" s="12">
        <v>31886</v>
      </c>
      <c r="AT121" s="12">
        <v>56</v>
      </c>
      <c r="AU121" s="13">
        <f t="shared" si="58"/>
        <v>201077.83928571435</v>
      </c>
      <c r="AV121" s="13">
        <f t="shared" si="59"/>
        <v>1708.1785714285713</v>
      </c>
      <c r="AW121" s="14"/>
      <c r="AX121" s="12">
        <v>4925799.2000000011</v>
      </c>
      <c r="AY121" s="12">
        <v>30138</v>
      </c>
      <c r="AZ121" s="12">
        <v>71</v>
      </c>
      <c r="BA121" s="13">
        <f t="shared" si="60"/>
        <v>208132.36056338035</v>
      </c>
      <c r="BB121" s="13">
        <f t="shared" si="61"/>
        <v>1273.4366197183099</v>
      </c>
      <c r="BC121" s="14"/>
      <c r="BD121" s="12">
        <v>5022624.0000000009</v>
      </c>
      <c r="BE121" s="12">
        <v>38258</v>
      </c>
      <c r="BF121" s="12">
        <v>73</v>
      </c>
      <c r="BG121" s="13">
        <f t="shared" si="62"/>
        <v>206409.2054794521</v>
      </c>
      <c r="BH121" s="13">
        <f t="shared" si="63"/>
        <v>1572.2465753424658</v>
      </c>
      <c r="BI121" s="14"/>
      <c r="BJ121" s="12">
        <v>5637169.9000000004</v>
      </c>
      <c r="BK121" s="12">
        <v>39320</v>
      </c>
      <c r="BL121" s="12">
        <v>83</v>
      </c>
      <c r="BM121" s="13">
        <f t="shared" si="64"/>
        <v>203753.12891566267</v>
      </c>
      <c r="BN121" s="13">
        <f t="shared" si="65"/>
        <v>1421.2048192771085</v>
      </c>
      <c r="BO121" s="14"/>
      <c r="BP121" s="12">
        <v>4861209.6000000061</v>
      </c>
      <c r="BQ121" s="12">
        <v>41769</v>
      </c>
      <c r="BR121" s="12">
        <v>72</v>
      </c>
      <c r="BS121" s="13">
        <f t="shared" si="66"/>
        <v>202550.40000000026</v>
      </c>
      <c r="BT121" s="13">
        <f t="shared" si="67"/>
        <v>1740.375</v>
      </c>
      <c r="BU121" s="14"/>
      <c r="BV121" s="12">
        <v>5707119</v>
      </c>
      <c r="BW121" s="12">
        <v>35018</v>
      </c>
      <c r="BX121" s="12">
        <v>80</v>
      </c>
      <c r="BY121" s="13">
        <f t="shared" si="68"/>
        <v>214016.96250000002</v>
      </c>
      <c r="BZ121" s="13">
        <f t="shared" si="69"/>
        <v>1313.1750000000002</v>
      </c>
      <c r="CA121" s="14"/>
      <c r="CB121" s="12">
        <v>4791660.8999999966</v>
      </c>
      <c r="CC121" s="12">
        <v>37173</v>
      </c>
      <c r="CD121" s="12">
        <v>74</v>
      </c>
      <c r="CE121" s="13">
        <f t="shared" si="70"/>
        <v>194256.52297297283</v>
      </c>
      <c r="CF121" s="13">
        <f t="shared" si="71"/>
        <v>1507.0135135135133</v>
      </c>
      <c r="CG121" s="14" t="s">
        <v>51</v>
      </c>
      <c r="CH121" s="9">
        <f t="shared" si="72"/>
        <v>4746505.9291666681</v>
      </c>
      <c r="CI121" s="9">
        <f t="shared" si="72"/>
        <v>34114.5</v>
      </c>
      <c r="CJ121" s="9">
        <f t="shared" si="44"/>
        <v>821</v>
      </c>
      <c r="CK121" s="10">
        <f t="shared" si="45"/>
        <v>208129.37082825828</v>
      </c>
      <c r="CL121" s="10">
        <f t="shared" si="46"/>
        <v>1495.8855054811206</v>
      </c>
      <c r="CM121" s="11" t="str">
        <f t="shared" si="47"/>
        <v xml:space="preserve"> </v>
      </c>
      <c r="CN121" s="12"/>
      <c r="CO121" s="12"/>
      <c r="CP121" s="12"/>
    </row>
    <row r="122" spans="1:94" x14ac:dyDescent="0.3">
      <c r="A122" s="23" t="s">
        <v>141</v>
      </c>
      <c r="B122" s="9">
        <v>6075778.166666667</v>
      </c>
      <c r="C122" s="9">
        <v>31758.833333333332</v>
      </c>
      <c r="D122" s="9">
        <v>1022</v>
      </c>
      <c r="E122" s="10">
        <v>214019.58317025442</v>
      </c>
      <c r="F122" s="10">
        <v>1118.706457925636</v>
      </c>
      <c r="G122" s="11">
        <v>0.91916666666666658</v>
      </c>
      <c r="H122" s="9">
        <v>4460359.4545454541</v>
      </c>
      <c r="I122" s="9">
        <v>22100</v>
      </c>
      <c r="J122" s="9">
        <v>786</v>
      </c>
      <c r="K122" s="10">
        <v>187267</v>
      </c>
      <c r="L122" s="10">
        <v>927.86259541984737</v>
      </c>
      <c r="M122" s="11">
        <v>0.8927272727272727</v>
      </c>
      <c r="N122" s="12">
        <v>4191440</v>
      </c>
      <c r="O122" s="12">
        <v>25261</v>
      </c>
      <c r="P122" s="12">
        <v>53</v>
      </c>
      <c r="Q122" s="13">
        <f t="shared" si="48"/>
        <v>237251.32075471699</v>
      </c>
      <c r="R122" s="13">
        <f t="shared" si="49"/>
        <v>1429.867924528302</v>
      </c>
      <c r="S122" s="14"/>
      <c r="T122" s="12">
        <v>4638846</v>
      </c>
      <c r="U122" s="12">
        <v>26180</v>
      </c>
      <c r="V122" s="12">
        <v>72</v>
      </c>
      <c r="W122" s="13">
        <f t="shared" si="50"/>
        <v>193285.25</v>
      </c>
      <c r="X122" s="13">
        <f t="shared" si="51"/>
        <v>1090.8333333333333</v>
      </c>
      <c r="Y122" s="14"/>
      <c r="Z122" s="12">
        <v>4016945</v>
      </c>
      <c r="AA122" s="12">
        <v>24907</v>
      </c>
      <c r="AB122" s="12">
        <v>74</v>
      </c>
      <c r="AC122" s="13">
        <f t="shared" si="52"/>
        <v>162849.12162162163</v>
      </c>
      <c r="AD122" s="13">
        <f t="shared" si="53"/>
        <v>1009.7432432432433</v>
      </c>
      <c r="AE122" s="14"/>
      <c r="AF122" s="12">
        <v>1832927</v>
      </c>
      <c r="AG122" s="12">
        <v>9732</v>
      </c>
      <c r="AH122" s="12">
        <v>42</v>
      </c>
      <c r="AI122" s="13">
        <f t="shared" si="54"/>
        <v>130923.35714285713</v>
      </c>
      <c r="AJ122" s="13">
        <f t="shared" si="55"/>
        <v>695.14285714285711</v>
      </c>
      <c r="AK122" s="14"/>
      <c r="AL122" s="12">
        <v>4967754</v>
      </c>
      <c r="AM122" s="12">
        <v>29588</v>
      </c>
      <c r="AN122" s="12">
        <v>78</v>
      </c>
      <c r="AO122" s="13">
        <f t="shared" si="56"/>
        <v>191067.46153846153</v>
      </c>
      <c r="AP122" s="13">
        <f t="shared" si="57"/>
        <v>1138</v>
      </c>
      <c r="AQ122" s="14"/>
      <c r="AR122" s="12">
        <v>3019729</v>
      </c>
      <c r="AS122" s="12">
        <v>17914</v>
      </c>
      <c r="AT122" s="12">
        <v>61</v>
      </c>
      <c r="AU122" s="13">
        <f t="shared" si="58"/>
        <v>148511.26229508195</v>
      </c>
      <c r="AV122" s="13">
        <f t="shared" si="59"/>
        <v>881.01639344262298</v>
      </c>
      <c r="AW122" s="14"/>
      <c r="AX122" s="12">
        <v>3787579</v>
      </c>
      <c r="AY122" s="12">
        <v>21238</v>
      </c>
      <c r="AZ122" s="12">
        <v>75</v>
      </c>
      <c r="BA122" s="13">
        <f t="shared" si="60"/>
        <v>151503.16</v>
      </c>
      <c r="BB122" s="13">
        <f t="shared" si="61"/>
        <v>849.52</v>
      </c>
      <c r="BC122" s="14"/>
      <c r="BD122" s="12">
        <v>3695690</v>
      </c>
      <c r="BE122" s="12">
        <v>23081</v>
      </c>
      <c r="BF122" s="12">
        <v>70</v>
      </c>
      <c r="BG122" s="13">
        <f t="shared" si="62"/>
        <v>158386.71428571429</v>
      </c>
      <c r="BH122" s="13">
        <f t="shared" si="63"/>
        <v>989.18571428571431</v>
      </c>
      <c r="BI122" s="14"/>
      <c r="BJ122" s="12">
        <v>3474131</v>
      </c>
      <c r="BK122" s="12">
        <v>20448</v>
      </c>
      <c r="BL122" s="12">
        <v>70</v>
      </c>
      <c r="BM122" s="13">
        <f t="shared" si="64"/>
        <v>148891.32857142857</v>
      </c>
      <c r="BN122" s="13">
        <f t="shared" si="65"/>
        <v>876.34285714285716</v>
      </c>
      <c r="BO122" s="14"/>
      <c r="BP122" s="12">
        <v>4207846</v>
      </c>
      <c r="BQ122" s="12">
        <v>22196</v>
      </c>
      <c r="BR122" s="12">
        <v>84</v>
      </c>
      <c r="BS122" s="13">
        <f t="shared" si="66"/>
        <v>150280.21428571429</v>
      </c>
      <c r="BT122" s="13">
        <f t="shared" si="67"/>
        <v>792.71428571428578</v>
      </c>
      <c r="BU122" s="14"/>
      <c r="BV122" s="12">
        <v>4629158</v>
      </c>
      <c r="BW122" s="12">
        <v>22436</v>
      </c>
      <c r="BX122" s="12">
        <v>78</v>
      </c>
      <c r="BY122" s="13">
        <f t="shared" si="68"/>
        <v>178044.53846153844</v>
      </c>
      <c r="BZ122" s="13">
        <f t="shared" si="69"/>
        <v>862.92307692307691</v>
      </c>
      <c r="CA122" s="14"/>
      <c r="CB122" s="12">
        <v>4120299</v>
      </c>
      <c r="CC122" s="12">
        <v>24164</v>
      </c>
      <c r="CD122" s="12">
        <v>75</v>
      </c>
      <c r="CE122" s="13">
        <f t="shared" si="70"/>
        <v>164811.96</v>
      </c>
      <c r="CF122" s="13">
        <f t="shared" si="71"/>
        <v>966.56</v>
      </c>
      <c r="CG122" s="14" t="s">
        <v>51</v>
      </c>
      <c r="CH122" s="9">
        <f t="shared" si="72"/>
        <v>3881862</v>
      </c>
      <c r="CI122" s="9">
        <f t="shared" si="72"/>
        <v>22262.083333333332</v>
      </c>
      <c r="CJ122" s="9">
        <f t="shared" si="44"/>
        <v>832</v>
      </c>
      <c r="CK122" s="10">
        <f t="shared" si="45"/>
        <v>167965.18269230769</v>
      </c>
      <c r="CL122" s="10">
        <f t="shared" si="46"/>
        <v>963.26322115384608</v>
      </c>
      <c r="CM122" s="11" t="str">
        <f t="shared" si="47"/>
        <v xml:space="preserve"> </v>
      </c>
      <c r="CN122" s="12"/>
      <c r="CO122" s="12"/>
      <c r="CP122" s="12"/>
    </row>
    <row r="123" spans="1:94" x14ac:dyDescent="0.3">
      <c r="A123" s="23" t="s">
        <v>142</v>
      </c>
      <c r="B123" s="9">
        <v>3924275.4166666665</v>
      </c>
      <c r="C123" s="9">
        <v>107040.5</v>
      </c>
      <c r="D123" s="9">
        <v>1026</v>
      </c>
      <c r="E123" s="10">
        <v>137693.87426900584</v>
      </c>
      <c r="F123" s="10">
        <v>3755.8070175438597</v>
      </c>
      <c r="G123" s="11">
        <v>2.1024999999999996</v>
      </c>
      <c r="H123" s="9">
        <v>2925355</v>
      </c>
      <c r="I123" s="9">
        <v>82036.272727272721</v>
      </c>
      <c r="J123" s="9">
        <v>867</v>
      </c>
      <c r="K123" s="10">
        <v>111345.6920415225</v>
      </c>
      <c r="L123" s="10">
        <v>3122.4878892733568</v>
      </c>
      <c r="M123" s="11">
        <v>2.143636363636364</v>
      </c>
      <c r="N123" s="12">
        <v>2815692.5000000028</v>
      </c>
      <c r="O123" s="12">
        <v>61012</v>
      </c>
      <c r="P123" s="12">
        <v>59</v>
      </c>
      <c r="Q123" s="13">
        <f t="shared" si="48"/>
        <v>143170.80508474589</v>
      </c>
      <c r="R123" s="13">
        <f t="shared" si="49"/>
        <v>3102.3050847457625</v>
      </c>
      <c r="S123" s="14"/>
      <c r="T123" s="12">
        <v>3011824.4999999991</v>
      </c>
      <c r="U123" s="12">
        <v>72004</v>
      </c>
      <c r="V123" s="12">
        <v>80</v>
      </c>
      <c r="W123" s="13">
        <f t="shared" si="50"/>
        <v>112943.41874999995</v>
      </c>
      <c r="X123" s="13">
        <f t="shared" si="51"/>
        <v>2700.1499999999996</v>
      </c>
      <c r="Y123" s="14"/>
      <c r="Z123" s="12">
        <v>3589492.6000000066</v>
      </c>
      <c r="AA123" s="12">
        <v>77053</v>
      </c>
      <c r="AB123" s="12">
        <v>89</v>
      </c>
      <c r="AC123" s="13">
        <f t="shared" si="52"/>
        <v>120994.13258426989</v>
      </c>
      <c r="AD123" s="13">
        <f t="shared" si="53"/>
        <v>2597.2921348314603</v>
      </c>
      <c r="AE123" s="14"/>
      <c r="AF123" s="12">
        <v>1562804.2500000012</v>
      </c>
      <c r="AG123" s="12">
        <v>49061</v>
      </c>
      <c r="AH123" s="12">
        <v>53</v>
      </c>
      <c r="AI123" s="13">
        <f t="shared" si="54"/>
        <v>88460.617924528371</v>
      </c>
      <c r="AJ123" s="13">
        <f t="shared" si="55"/>
        <v>2777.0377358490568</v>
      </c>
      <c r="AK123" s="14"/>
      <c r="AL123" s="12">
        <v>2315254.2500000088</v>
      </c>
      <c r="AM123" s="12">
        <v>67293</v>
      </c>
      <c r="AN123" s="12">
        <v>74</v>
      </c>
      <c r="AO123" s="13">
        <f t="shared" si="56"/>
        <v>93861.658783784136</v>
      </c>
      <c r="AP123" s="13">
        <f t="shared" si="57"/>
        <v>2728.0945945945946</v>
      </c>
      <c r="AQ123" s="14"/>
      <c r="AR123" s="12">
        <v>1889274.0999999989</v>
      </c>
      <c r="AS123" s="12">
        <v>53850</v>
      </c>
      <c r="AT123" s="12">
        <v>61</v>
      </c>
      <c r="AU123" s="13">
        <f t="shared" si="58"/>
        <v>92915.119672131084</v>
      </c>
      <c r="AV123" s="13">
        <f t="shared" si="59"/>
        <v>2648.3606557377052</v>
      </c>
      <c r="AW123" s="14"/>
      <c r="AX123" s="12">
        <v>2620183.8000000003</v>
      </c>
      <c r="AY123" s="12">
        <v>76161</v>
      </c>
      <c r="AZ123" s="12">
        <v>76</v>
      </c>
      <c r="BA123" s="13">
        <f t="shared" si="60"/>
        <v>103428.30789473685</v>
      </c>
      <c r="BB123" s="13">
        <f t="shared" si="61"/>
        <v>3006.3552631578946</v>
      </c>
      <c r="BC123" s="14"/>
      <c r="BD123" s="12">
        <v>2872392.4000000013</v>
      </c>
      <c r="BE123" s="12">
        <v>63270</v>
      </c>
      <c r="BF123" s="12">
        <v>76</v>
      </c>
      <c r="BG123" s="13">
        <f t="shared" si="62"/>
        <v>113383.91052631586</v>
      </c>
      <c r="BH123" s="13">
        <f t="shared" si="63"/>
        <v>2497.5</v>
      </c>
      <c r="BI123" s="14"/>
      <c r="BJ123" s="12">
        <v>2455476.5999999996</v>
      </c>
      <c r="BK123" s="12">
        <v>80893</v>
      </c>
      <c r="BL123" s="12">
        <v>84</v>
      </c>
      <c r="BM123" s="13">
        <f t="shared" si="64"/>
        <v>87695.592857142838</v>
      </c>
      <c r="BN123" s="13">
        <f t="shared" si="65"/>
        <v>2889.0357142857147</v>
      </c>
      <c r="BO123" s="14"/>
      <c r="BP123" s="12">
        <v>3193221</v>
      </c>
      <c r="BQ123" s="12">
        <v>79699</v>
      </c>
      <c r="BR123" s="12">
        <v>87</v>
      </c>
      <c r="BS123" s="13">
        <f t="shared" si="66"/>
        <v>110111.06896551725</v>
      </c>
      <c r="BT123" s="13">
        <f t="shared" si="67"/>
        <v>2748.2413793103451</v>
      </c>
      <c r="BU123" s="14"/>
      <c r="BV123" s="12">
        <v>3154779</v>
      </c>
      <c r="BW123" s="12">
        <v>82410</v>
      </c>
      <c r="BX123" s="12">
        <v>83</v>
      </c>
      <c r="BY123" s="13">
        <f t="shared" si="68"/>
        <v>114028.15662650602</v>
      </c>
      <c r="BZ123" s="13">
        <f t="shared" si="69"/>
        <v>2978.6746987951806</v>
      </c>
      <c r="CA123" s="14"/>
      <c r="CB123" s="12">
        <v>2778804</v>
      </c>
      <c r="CC123" s="12">
        <v>70986</v>
      </c>
      <c r="CD123" s="12">
        <v>81</v>
      </c>
      <c r="CE123" s="13">
        <f t="shared" si="70"/>
        <v>102918.66666666666</v>
      </c>
      <c r="CF123" s="13">
        <f t="shared" si="71"/>
        <v>2629.1111111111109</v>
      </c>
      <c r="CG123" s="14" t="s">
        <v>51</v>
      </c>
      <c r="CH123" s="9">
        <f t="shared" si="72"/>
        <v>2688266.5833333354</v>
      </c>
      <c r="CI123" s="9">
        <f t="shared" si="72"/>
        <v>69474.333333333328</v>
      </c>
      <c r="CJ123" s="9">
        <f t="shared" si="44"/>
        <v>903</v>
      </c>
      <c r="CK123" s="10">
        <f t="shared" si="45"/>
        <v>107173.41860465125</v>
      </c>
      <c r="CL123" s="10">
        <f t="shared" si="46"/>
        <v>2769.740863787375</v>
      </c>
      <c r="CM123" s="11" t="str">
        <f t="shared" si="47"/>
        <v xml:space="preserve"> </v>
      </c>
      <c r="CN123" s="12"/>
      <c r="CO123" s="12"/>
      <c r="CP123" s="12"/>
    </row>
    <row r="124" spans="1:94" x14ac:dyDescent="0.3">
      <c r="A124" s="23" t="s">
        <v>143</v>
      </c>
      <c r="B124" s="9">
        <v>362423.25</v>
      </c>
      <c r="C124" s="9">
        <v>140021.08333333334</v>
      </c>
      <c r="D124" s="9">
        <v>956</v>
      </c>
      <c r="E124" s="10">
        <v>13647.737447698744</v>
      </c>
      <c r="F124" s="10">
        <v>5272.7604602510455</v>
      </c>
      <c r="G124" s="11">
        <v>7.9300000000000006</v>
      </c>
      <c r="H124" s="9">
        <v>305178.36363636365</v>
      </c>
      <c r="I124" s="9">
        <v>114493.90909090909</v>
      </c>
      <c r="J124" s="9">
        <v>687</v>
      </c>
      <c r="K124" s="10">
        <v>14659.222707423582</v>
      </c>
      <c r="L124" s="10">
        <v>5499.7074235807859</v>
      </c>
      <c r="M124" s="11">
        <v>7.876363636363636</v>
      </c>
      <c r="N124" s="12">
        <v>13301.5</v>
      </c>
      <c r="O124" s="12">
        <v>10846</v>
      </c>
      <c r="P124" s="12">
        <v>1</v>
      </c>
      <c r="Q124" s="13">
        <f t="shared" si="48"/>
        <v>39904.5</v>
      </c>
      <c r="R124" s="13">
        <f t="shared" si="49"/>
        <v>32538</v>
      </c>
      <c r="S124" s="14"/>
      <c r="T124" s="12">
        <v>253591.40000000043</v>
      </c>
      <c r="U124" s="12">
        <v>101918</v>
      </c>
      <c r="V124" s="12">
        <v>67</v>
      </c>
      <c r="W124" s="13">
        <f t="shared" si="50"/>
        <v>11354.838805970168</v>
      </c>
      <c r="X124" s="13">
        <f t="shared" si="51"/>
        <v>4563.4925373134329</v>
      </c>
      <c r="Y124" s="14"/>
      <c r="Z124" s="12">
        <v>515381.15000000061</v>
      </c>
      <c r="AA124" s="12">
        <v>120771</v>
      </c>
      <c r="AB124" s="12">
        <v>72</v>
      </c>
      <c r="AC124" s="13">
        <f t="shared" si="52"/>
        <v>21474.21458333336</v>
      </c>
      <c r="AD124" s="13">
        <f t="shared" si="53"/>
        <v>5032.125</v>
      </c>
      <c r="AE124" s="14"/>
      <c r="AF124" s="12">
        <v>53285</v>
      </c>
      <c r="AG124" s="12">
        <v>38981</v>
      </c>
      <c r="AH124" s="12">
        <v>30</v>
      </c>
      <c r="AI124" s="13">
        <f t="shared" si="54"/>
        <v>5328.5</v>
      </c>
      <c r="AJ124" s="13">
        <f t="shared" si="55"/>
        <v>3898.0999999999995</v>
      </c>
      <c r="AK124" s="14"/>
      <c r="AL124" s="12">
        <v>213618.00000000017</v>
      </c>
      <c r="AM124" s="12">
        <v>108854</v>
      </c>
      <c r="AN124" s="12">
        <v>60</v>
      </c>
      <c r="AO124" s="13">
        <f t="shared" si="56"/>
        <v>10680.900000000009</v>
      </c>
      <c r="AP124" s="13">
        <f t="shared" si="57"/>
        <v>5442.7</v>
      </c>
      <c r="AQ124" s="14"/>
      <c r="AR124" s="12">
        <v>209217.85000000036</v>
      </c>
      <c r="AS124" s="12">
        <v>90777</v>
      </c>
      <c r="AT124" s="12">
        <v>57</v>
      </c>
      <c r="AU124" s="13">
        <f t="shared" si="58"/>
        <v>11011.465789473703</v>
      </c>
      <c r="AV124" s="13">
        <f t="shared" si="59"/>
        <v>4777.7368421052633</v>
      </c>
      <c r="AW124" s="14"/>
      <c r="AX124" s="12">
        <v>231002.74999999977</v>
      </c>
      <c r="AY124" s="12">
        <v>68758</v>
      </c>
      <c r="AZ124" s="12">
        <v>49</v>
      </c>
      <c r="BA124" s="13">
        <f t="shared" si="60"/>
        <v>14143.025510204068</v>
      </c>
      <c r="BB124" s="13">
        <f t="shared" si="61"/>
        <v>4209.6734693877552</v>
      </c>
      <c r="BC124" s="14"/>
      <c r="BD124" s="12">
        <v>188608.79999999981</v>
      </c>
      <c r="BE124" s="12">
        <v>79901</v>
      </c>
      <c r="BF124" s="12">
        <v>42</v>
      </c>
      <c r="BG124" s="13">
        <f t="shared" si="62"/>
        <v>13472.057142857129</v>
      </c>
      <c r="BH124" s="13">
        <f t="shared" si="63"/>
        <v>5707.2142857142862</v>
      </c>
      <c r="BI124" s="14"/>
      <c r="BJ124" s="12">
        <v>278609.6000000005</v>
      </c>
      <c r="BK124" s="12">
        <v>106694</v>
      </c>
      <c r="BL124" s="12">
        <v>60</v>
      </c>
      <c r="BM124" s="13">
        <f t="shared" si="64"/>
        <v>13930.480000000025</v>
      </c>
      <c r="BN124" s="13">
        <f t="shared" si="65"/>
        <v>5334.7</v>
      </c>
      <c r="BO124" s="14"/>
      <c r="BP124" s="12">
        <v>396056.20000000024</v>
      </c>
      <c r="BQ124" s="12">
        <v>161810</v>
      </c>
      <c r="BR124" s="12">
        <v>72</v>
      </c>
      <c r="BS124" s="13">
        <f t="shared" si="66"/>
        <v>16502.341666666674</v>
      </c>
      <c r="BT124" s="13">
        <f t="shared" si="67"/>
        <v>6742.0833333333339</v>
      </c>
      <c r="BU124" s="14"/>
      <c r="BV124" s="12">
        <v>303989.4499999996</v>
      </c>
      <c r="BW124" s="12">
        <v>129825</v>
      </c>
      <c r="BX124" s="12">
        <v>67</v>
      </c>
      <c r="BY124" s="13">
        <f t="shared" si="68"/>
        <v>13611.467910447744</v>
      </c>
      <c r="BZ124" s="13">
        <f t="shared" si="69"/>
        <v>5813.059701492537</v>
      </c>
      <c r="CA124" s="14"/>
      <c r="CB124" s="12">
        <v>244794.30000000034</v>
      </c>
      <c r="CC124" s="12">
        <v>117747</v>
      </c>
      <c r="CD124" s="12">
        <v>72</v>
      </c>
      <c r="CE124" s="13">
        <f t="shared" si="70"/>
        <v>10199.762500000015</v>
      </c>
      <c r="CF124" s="13">
        <f t="shared" si="71"/>
        <v>4906.125</v>
      </c>
      <c r="CG124" s="14" t="s">
        <v>51</v>
      </c>
      <c r="CH124" s="9">
        <f t="shared" si="72"/>
        <v>241788.00000000015</v>
      </c>
      <c r="CI124" s="9">
        <f>IFERROR(AVERAGE(O124,U124,AA124,AG124,AM124,AS124,AY124,BE124,BK124,BQ124,BW124,CC124)," ")</f>
        <v>94740.166666666672</v>
      </c>
      <c r="CJ124" s="9">
        <f t="shared" si="44"/>
        <v>649</v>
      </c>
      <c r="CK124" s="10">
        <f t="shared" si="45"/>
        <v>13411.969183359022</v>
      </c>
      <c r="CL124" s="10">
        <f t="shared" si="46"/>
        <v>5255.2326656394453</v>
      </c>
      <c r="CM124" s="11" t="str">
        <f t="shared" si="47"/>
        <v xml:space="preserve"> </v>
      </c>
      <c r="CN124" s="12"/>
      <c r="CO124" s="12"/>
      <c r="CP124" s="12"/>
    </row>
    <row r="125" spans="1:94" x14ac:dyDescent="0.3">
      <c r="A125" s="24" t="s">
        <v>144</v>
      </c>
      <c r="B125" s="9"/>
      <c r="C125" s="9"/>
      <c r="D125" s="9"/>
      <c r="E125" s="10"/>
      <c r="F125" s="10"/>
      <c r="G125" s="11"/>
      <c r="H125" s="9"/>
      <c r="I125" s="9"/>
      <c r="J125" s="9"/>
      <c r="K125" s="10"/>
      <c r="L125" s="10"/>
      <c r="M125" s="11"/>
      <c r="N125" s="12">
        <v>3793917</v>
      </c>
      <c r="O125" s="12">
        <v>7372</v>
      </c>
      <c r="P125" s="12">
        <v>52</v>
      </c>
      <c r="Q125" s="13">
        <f t="shared" si="48"/>
        <v>218879.82692307694</v>
      </c>
      <c r="R125" s="13">
        <f t="shared" si="49"/>
        <v>425.30769230769232</v>
      </c>
      <c r="S125" s="14"/>
      <c r="T125" s="12">
        <v>4156318.1399999973</v>
      </c>
      <c r="U125" s="12">
        <v>5093</v>
      </c>
      <c r="V125" s="12">
        <v>62</v>
      </c>
      <c r="W125" s="13">
        <f t="shared" si="50"/>
        <v>201112.16806451601</v>
      </c>
      <c r="X125" s="13">
        <f t="shared" si="51"/>
        <v>246.43548387096774</v>
      </c>
      <c r="Y125" s="14"/>
      <c r="Z125" s="12">
        <v>2881390.1200000006</v>
      </c>
      <c r="AA125" s="12">
        <v>4610</v>
      </c>
      <c r="AB125" s="12">
        <v>60</v>
      </c>
      <c r="AC125" s="13">
        <f t="shared" si="52"/>
        <v>144069.50600000005</v>
      </c>
      <c r="AD125" s="13">
        <f t="shared" si="53"/>
        <v>230.5</v>
      </c>
      <c r="AE125" s="14"/>
      <c r="AF125" s="12">
        <v>1104347.9000000008</v>
      </c>
      <c r="AG125" s="12">
        <v>1967</v>
      </c>
      <c r="AH125" s="12">
        <v>37</v>
      </c>
      <c r="AI125" s="13">
        <f t="shared" si="54"/>
        <v>89541.721621621691</v>
      </c>
      <c r="AJ125" s="13">
        <f t="shared" si="55"/>
        <v>159.48648648648648</v>
      </c>
      <c r="AK125" s="14"/>
      <c r="AL125" s="12">
        <v>2097407.3600000008</v>
      </c>
      <c r="AM125" s="12">
        <v>1635</v>
      </c>
      <c r="AN125" s="12">
        <v>55</v>
      </c>
      <c r="AO125" s="13">
        <f t="shared" si="56"/>
        <v>114404.03781818185</v>
      </c>
      <c r="AP125" s="13">
        <f t="shared" si="57"/>
        <v>89.181818181818187</v>
      </c>
      <c r="AQ125" s="14"/>
      <c r="AR125" s="12">
        <v>1191655.5</v>
      </c>
      <c r="AS125" s="12">
        <v>967</v>
      </c>
      <c r="AT125" s="12">
        <v>33</v>
      </c>
      <c r="AU125" s="13">
        <f t="shared" si="58"/>
        <v>108332.31818181818</v>
      </c>
      <c r="AV125" s="13">
        <f t="shared" si="59"/>
        <v>87.909090909090907</v>
      </c>
      <c r="AW125" s="14"/>
      <c r="AX125" s="12">
        <v>1415475.4800000002</v>
      </c>
      <c r="AY125" s="12">
        <v>1328</v>
      </c>
      <c r="AZ125" s="12">
        <v>35</v>
      </c>
      <c r="BA125" s="13">
        <f t="shared" si="60"/>
        <v>121326.46971428572</v>
      </c>
      <c r="BB125" s="13">
        <f t="shared" si="61"/>
        <v>113.82857142857142</v>
      </c>
      <c r="BC125" s="14"/>
      <c r="BD125" s="12">
        <v>2368862.3400000003</v>
      </c>
      <c r="BE125" s="12">
        <v>3097</v>
      </c>
      <c r="BF125" s="12">
        <v>56</v>
      </c>
      <c r="BG125" s="13">
        <f t="shared" si="62"/>
        <v>126903.33964285714</v>
      </c>
      <c r="BH125" s="13">
        <f t="shared" si="63"/>
        <v>165.91071428571428</v>
      </c>
      <c r="BI125" s="14"/>
      <c r="BJ125" s="12">
        <v>3964332.4000000004</v>
      </c>
      <c r="BK125" s="12">
        <v>9504</v>
      </c>
      <c r="BL125" s="12">
        <v>58</v>
      </c>
      <c r="BM125" s="13">
        <f t="shared" si="64"/>
        <v>205051.67586206895</v>
      </c>
      <c r="BN125" s="13">
        <f t="shared" si="65"/>
        <v>491.58620689655174</v>
      </c>
      <c r="BO125" s="14"/>
      <c r="BP125" s="12">
        <v>2326488.399999999</v>
      </c>
      <c r="BQ125" s="12">
        <v>3262</v>
      </c>
      <c r="BR125" s="12">
        <v>46</v>
      </c>
      <c r="BS125" s="13">
        <f t="shared" si="66"/>
        <v>151727.50434782603</v>
      </c>
      <c r="BT125" s="13">
        <f t="shared" si="67"/>
        <v>212.73913043478262</v>
      </c>
      <c r="BU125" s="14"/>
      <c r="BV125" s="12">
        <v>1417491.1200000003</v>
      </c>
      <c r="BW125" s="12">
        <v>2782</v>
      </c>
      <c r="BX125" s="12">
        <v>35</v>
      </c>
      <c r="BY125" s="13">
        <f t="shared" si="68"/>
        <v>121499.23885714289</v>
      </c>
      <c r="BZ125" s="13">
        <f t="shared" si="69"/>
        <v>238.45714285714286</v>
      </c>
      <c r="CA125" s="14"/>
      <c r="CB125" s="12">
        <v>1581052.7000000002</v>
      </c>
      <c r="CC125" s="12">
        <v>1368</v>
      </c>
      <c r="CD125" s="12">
        <v>38</v>
      </c>
      <c r="CE125" s="13">
        <f t="shared" si="70"/>
        <v>124819.95000000001</v>
      </c>
      <c r="CF125" s="13">
        <f t="shared" si="71"/>
        <v>108</v>
      </c>
      <c r="CG125" s="14" t="s">
        <v>51</v>
      </c>
      <c r="CH125" s="9">
        <f t="shared" ref="CH125:CI132" si="73">IFERROR(AVERAGE(N125,T125,Z125,AF125,AL125,AR125,AX125,BD125,BJ125,BP125,BV125,CB125)," ")</f>
        <v>2358228.2050000001</v>
      </c>
      <c r="CI125" s="9">
        <f t="shared" si="73"/>
        <v>3582.0833333333335</v>
      </c>
      <c r="CJ125" s="9">
        <f t="shared" si="44"/>
        <v>567</v>
      </c>
      <c r="CK125" s="10">
        <f t="shared" si="45"/>
        <v>149728.77492063493</v>
      </c>
      <c r="CL125" s="10">
        <f t="shared" si="46"/>
        <v>227.43386243386243</v>
      </c>
      <c r="CM125" s="11" t="str">
        <f t="shared" si="47"/>
        <v xml:space="preserve"> </v>
      </c>
      <c r="CN125" s="12"/>
      <c r="CO125" s="12"/>
      <c r="CP125" s="12"/>
    </row>
    <row r="126" spans="1:94" x14ac:dyDescent="0.3">
      <c r="A126" s="24" t="s">
        <v>145</v>
      </c>
      <c r="B126" s="9"/>
      <c r="C126" s="9"/>
      <c r="D126" s="9"/>
      <c r="E126" s="10"/>
      <c r="F126" s="10"/>
      <c r="G126" s="11"/>
      <c r="H126" s="9"/>
      <c r="I126" s="9"/>
      <c r="J126" s="9"/>
      <c r="K126" s="10"/>
      <c r="L126" s="10"/>
      <c r="M126" s="11"/>
      <c r="N126" s="12">
        <v>3644688.5599999996</v>
      </c>
      <c r="O126" s="12">
        <v>4238</v>
      </c>
      <c r="P126" s="12">
        <v>37</v>
      </c>
      <c r="Q126" s="13">
        <f t="shared" si="48"/>
        <v>295515.28864864859</v>
      </c>
      <c r="R126" s="13">
        <f t="shared" si="49"/>
        <v>343.62162162162167</v>
      </c>
      <c r="S126" s="14"/>
      <c r="T126" s="12">
        <v>3365119.1599999992</v>
      </c>
      <c r="U126" s="12">
        <v>5858</v>
      </c>
      <c r="V126" s="12">
        <v>57</v>
      </c>
      <c r="W126" s="13">
        <f t="shared" si="50"/>
        <v>177111.53473684206</v>
      </c>
      <c r="X126" s="13">
        <f t="shared" si="51"/>
        <v>308.31578947368416</v>
      </c>
      <c r="Y126" s="14"/>
      <c r="Z126" s="12">
        <v>3454323.8599999957</v>
      </c>
      <c r="AA126" s="12">
        <v>3116</v>
      </c>
      <c r="AB126" s="12">
        <v>52</v>
      </c>
      <c r="AC126" s="13">
        <f t="shared" si="52"/>
        <v>199287.91499999975</v>
      </c>
      <c r="AD126" s="13">
        <f t="shared" si="53"/>
        <v>179.76923076923077</v>
      </c>
      <c r="AE126" s="14"/>
      <c r="AF126" s="12">
        <v>2108727.29</v>
      </c>
      <c r="AG126" s="12">
        <v>2686</v>
      </c>
      <c r="AH126" s="12">
        <v>33</v>
      </c>
      <c r="AI126" s="13">
        <f t="shared" si="54"/>
        <v>191702.48090909093</v>
      </c>
      <c r="AJ126" s="13">
        <f t="shared" si="55"/>
        <v>244.18181818181819</v>
      </c>
      <c r="AK126" s="14"/>
      <c r="AL126" s="12">
        <v>1864866.050000001</v>
      </c>
      <c r="AM126" s="12">
        <v>1870</v>
      </c>
      <c r="AN126" s="12">
        <v>54</v>
      </c>
      <c r="AO126" s="13">
        <f t="shared" si="56"/>
        <v>103603.6694444445</v>
      </c>
      <c r="AP126" s="13">
        <f t="shared" si="57"/>
        <v>103.88888888888889</v>
      </c>
      <c r="AQ126" s="14"/>
      <c r="AR126" s="12">
        <v>1747820</v>
      </c>
      <c r="AS126" s="12">
        <v>1407</v>
      </c>
      <c r="AT126" s="12">
        <v>44</v>
      </c>
      <c r="AU126" s="13">
        <f t="shared" si="58"/>
        <v>119169.54545454544</v>
      </c>
      <c r="AV126" s="13">
        <f t="shared" si="59"/>
        <v>95.931818181818187</v>
      </c>
      <c r="AW126" s="14"/>
      <c r="AX126" s="12">
        <v>1791605.2000000002</v>
      </c>
      <c r="AY126" s="12">
        <v>1480</v>
      </c>
      <c r="AZ126" s="12">
        <v>48</v>
      </c>
      <c r="BA126" s="13">
        <f t="shared" si="60"/>
        <v>111975.32500000001</v>
      </c>
      <c r="BB126" s="13">
        <f t="shared" si="61"/>
        <v>92.5</v>
      </c>
      <c r="BC126" s="14"/>
      <c r="BD126" s="12">
        <v>2426732.6200000015</v>
      </c>
      <c r="BE126" s="12">
        <v>2684</v>
      </c>
      <c r="BF126" s="12">
        <v>61</v>
      </c>
      <c r="BG126" s="13">
        <f t="shared" si="62"/>
        <v>119347.50590163941</v>
      </c>
      <c r="BH126" s="13">
        <f t="shared" si="63"/>
        <v>132</v>
      </c>
      <c r="BI126" s="14"/>
      <c r="BJ126" s="12">
        <v>3355892.8799999929</v>
      </c>
      <c r="BK126" s="12">
        <v>8008</v>
      </c>
      <c r="BL126" s="12">
        <v>55</v>
      </c>
      <c r="BM126" s="13">
        <f t="shared" si="64"/>
        <v>183048.70254545414</v>
      </c>
      <c r="BN126" s="13">
        <f t="shared" si="65"/>
        <v>436.79999999999995</v>
      </c>
      <c r="BO126" s="14"/>
      <c r="BP126" s="12">
        <v>4936850.1199999973</v>
      </c>
      <c r="BQ126" s="12">
        <v>10919</v>
      </c>
      <c r="BR126" s="12">
        <v>68</v>
      </c>
      <c r="BS126" s="13">
        <f t="shared" si="66"/>
        <v>217802.21117647048</v>
      </c>
      <c r="BT126" s="13">
        <f t="shared" si="67"/>
        <v>481.72058823529409</v>
      </c>
      <c r="BU126" s="14"/>
      <c r="BV126" s="12">
        <v>2520231</v>
      </c>
      <c r="BW126" s="12">
        <v>3529</v>
      </c>
      <c r="BX126" s="12">
        <v>44</v>
      </c>
      <c r="BY126" s="13">
        <f t="shared" si="68"/>
        <v>171833.93181818182</v>
      </c>
      <c r="BZ126" s="13">
        <f t="shared" si="69"/>
        <v>240.61363636363637</v>
      </c>
      <c r="CA126" s="14"/>
      <c r="CB126" s="12">
        <v>2050260.1600000006</v>
      </c>
      <c r="CC126" s="12">
        <v>3898</v>
      </c>
      <c r="CD126" s="12">
        <v>47</v>
      </c>
      <c r="CE126" s="13">
        <f t="shared" si="70"/>
        <v>130867.66978723409</v>
      </c>
      <c r="CF126" s="13">
        <f t="shared" si="71"/>
        <v>248.80851063829789</v>
      </c>
      <c r="CG126" s="14" t="s">
        <v>51</v>
      </c>
      <c r="CH126" s="9">
        <f t="shared" si="73"/>
        <v>2772259.7416666653</v>
      </c>
      <c r="CI126" s="9">
        <f t="shared" si="73"/>
        <v>4141.083333333333</v>
      </c>
      <c r="CJ126" s="9">
        <f t="shared" si="44"/>
        <v>600</v>
      </c>
      <c r="CK126" s="10">
        <f t="shared" si="45"/>
        <v>166335.58449999991</v>
      </c>
      <c r="CL126" s="10">
        <f t="shared" si="46"/>
        <v>248.46500000000003</v>
      </c>
      <c r="CM126" s="11" t="str">
        <f t="shared" si="47"/>
        <v xml:space="preserve"> </v>
      </c>
      <c r="CN126" s="12"/>
      <c r="CO126" s="12"/>
      <c r="CP126" s="12"/>
    </row>
    <row r="127" spans="1:94" x14ac:dyDescent="0.3">
      <c r="A127" s="24" t="s">
        <v>146</v>
      </c>
      <c r="B127" s="9"/>
      <c r="C127" s="9"/>
      <c r="D127" s="9"/>
      <c r="E127" s="10"/>
      <c r="F127" s="10"/>
      <c r="G127" s="11"/>
      <c r="H127" s="9"/>
      <c r="I127" s="9"/>
      <c r="J127" s="9"/>
      <c r="K127" s="10"/>
      <c r="L127" s="10"/>
      <c r="M127" s="11"/>
      <c r="N127" s="12">
        <v>3630602</v>
      </c>
      <c r="O127" s="12">
        <v>81534</v>
      </c>
      <c r="P127" s="12">
        <v>33</v>
      </c>
      <c r="Q127" s="13">
        <f t="shared" si="48"/>
        <v>330054.72727272729</v>
      </c>
      <c r="R127" s="13">
        <f t="shared" si="49"/>
        <v>7412.181818181818</v>
      </c>
      <c r="S127" s="14"/>
      <c r="T127" s="12">
        <v>5449122</v>
      </c>
      <c r="U127" s="12">
        <v>104119</v>
      </c>
      <c r="V127" s="12">
        <v>50</v>
      </c>
      <c r="W127" s="13">
        <f t="shared" si="50"/>
        <v>326947.32</v>
      </c>
      <c r="X127" s="13">
        <f t="shared" si="51"/>
        <v>6247.14</v>
      </c>
      <c r="Y127" s="14"/>
      <c r="Z127" s="12">
        <v>5016629.53</v>
      </c>
      <c r="AA127" s="12">
        <v>109538</v>
      </c>
      <c r="AB127" s="12">
        <v>58</v>
      </c>
      <c r="AC127" s="13">
        <f t="shared" si="52"/>
        <v>259480.83775862071</v>
      </c>
      <c r="AD127" s="13">
        <f t="shared" si="53"/>
        <v>5665.7586206896549</v>
      </c>
      <c r="AE127" s="14"/>
      <c r="AF127" s="12">
        <v>3939035.399999998</v>
      </c>
      <c r="AG127" s="12">
        <v>91019</v>
      </c>
      <c r="AH127" s="12">
        <v>45</v>
      </c>
      <c r="AI127" s="13">
        <f t="shared" si="54"/>
        <v>262602.35999999987</v>
      </c>
      <c r="AJ127" s="13">
        <f t="shared" si="55"/>
        <v>6067.9333333333334</v>
      </c>
      <c r="AK127" s="14"/>
      <c r="AL127" s="12">
        <v>6006431.7899999991</v>
      </c>
      <c r="AM127" s="12">
        <v>125832</v>
      </c>
      <c r="AN127" s="12">
        <v>60</v>
      </c>
      <c r="AO127" s="13">
        <f t="shared" si="56"/>
        <v>300321.5895</v>
      </c>
      <c r="AP127" s="13">
        <f t="shared" si="57"/>
        <v>6291.5999999999995</v>
      </c>
      <c r="AQ127" s="14"/>
      <c r="AR127" s="12">
        <v>4557325.4000000004</v>
      </c>
      <c r="AS127" s="12">
        <v>98295</v>
      </c>
      <c r="AT127" s="12">
        <v>50</v>
      </c>
      <c r="AU127" s="13">
        <f t="shared" si="58"/>
        <v>273439.52399999998</v>
      </c>
      <c r="AV127" s="13">
        <f t="shared" si="59"/>
        <v>5897.7000000000007</v>
      </c>
      <c r="AW127" s="14"/>
      <c r="AX127" s="12">
        <v>4945056.8499999959</v>
      </c>
      <c r="AY127" s="12">
        <v>97800</v>
      </c>
      <c r="AZ127" s="12">
        <v>54</v>
      </c>
      <c r="BA127" s="13">
        <f t="shared" si="60"/>
        <v>274725.38055555534</v>
      </c>
      <c r="BB127" s="13">
        <f t="shared" si="61"/>
        <v>5433.333333333333</v>
      </c>
      <c r="BC127" s="14"/>
      <c r="BD127" s="12">
        <v>5267633.84</v>
      </c>
      <c r="BE127" s="12">
        <v>127605</v>
      </c>
      <c r="BF127" s="12">
        <v>62</v>
      </c>
      <c r="BG127" s="13">
        <f t="shared" si="62"/>
        <v>254885.50838709675</v>
      </c>
      <c r="BH127" s="13">
        <f t="shared" si="63"/>
        <v>6174.4354838709678</v>
      </c>
      <c r="BI127" s="14"/>
      <c r="BJ127" s="12">
        <v>5929735.3599999975</v>
      </c>
      <c r="BK127" s="12">
        <v>115666</v>
      </c>
      <c r="BL127" s="12">
        <v>67</v>
      </c>
      <c r="BM127" s="13">
        <f t="shared" si="64"/>
        <v>265510.5385074626</v>
      </c>
      <c r="BN127" s="13">
        <f t="shared" si="65"/>
        <v>5179.0746268656721</v>
      </c>
      <c r="BO127" s="14"/>
      <c r="BP127" s="12">
        <v>10044771.999999998</v>
      </c>
      <c r="BQ127" s="12">
        <v>214287</v>
      </c>
      <c r="BR127" s="12">
        <v>80</v>
      </c>
      <c r="BS127" s="13">
        <f t="shared" si="66"/>
        <v>376678.94999999995</v>
      </c>
      <c r="BT127" s="13">
        <f t="shared" si="67"/>
        <v>8035.7625000000007</v>
      </c>
      <c r="BU127" s="14"/>
      <c r="BV127" s="12">
        <v>7776733.6400000015</v>
      </c>
      <c r="BW127" s="12">
        <v>152838</v>
      </c>
      <c r="BX127" s="12">
        <v>76</v>
      </c>
      <c r="BY127" s="13">
        <f t="shared" si="68"/>
        <v>306976.3278947369</v>
      </c>
      <c r="BZ127" s="13">
        <f t="shared" si="69"/>
        <v>6033.0789473684217</v>
      </c>
      <c r="CA127" s="14"/>
      <c r="CB127" s="12">
        <v>8722586</v>
      </c>
      <c r="CC127" s="12">
        <v>184531</v>
      </c>
      <c r="CD127" s="12">
        <v>82</v>
      </c>
      <c r="CE127" s="13">
        <f t="shared" si="70"/>
        <v>319119</v>
      </c>
      <c r="CF127" s="13">
        <f t="shared" si="71"/>
        <v>6751.1341463414637</v>
      </c>
      <c r="CG127" s="14" t="s">
        <v>51</v>
      </c>
      <c r="CH127" s="9">
        <f t="shared" si="73"/>
        <v>5940471.9841666659</v>
      </c>
      <c r="CI127" s="9">
        <f t="shared" si="73"/>
        <v>125255.33333333333</v>
      </c>
      <c r="CJ127" s="9">
        <f t="shared" si="44"/>
        <v>717</v>
      </c>
      <c r="CK127" s="10">
        <f t="shared" si="45"/>
        <v>298266.37577405851</v>
      </c>
      <c r="CL127" s="10">
        <f t="shared" si="46"/>
        <v>6288.9707112970709</v>
      </c>
      <c r="CM127" s="11" t="str">
        <f t="shared" si="47"/>
        <v xml:space="preserve"> </v>
      </c>
      <c r="CN127" s="12"/>
      <c r="CO127" s="12"/>
      <c r="CP127" s="12"/>
    </row>
    <row r="128" spans="1:94" x14ac:dyDescent="0.3">
      <c r="A128" s="24" t="s">
        <v>147</v>
      </c>
      <c r="B128" s="9"/>
      <c r="C128" s="9"/>
      <c r="D128" s="9"/>
      <c r="E128" s="10"/>
      <c r="F128" s="10"/>
      <c r="G128" s="11"/>
      <c r="H128" s="9"/>
      <c r="I128" s="9"/>
      <c r="J128" s="9"/>
      <c r="K128" s="10"/>
      <c r="L128" s="10"/>
      <c r="M128" s="11"/>
      <c r="N128" s="12">
        <v>2194805</v>
      </c>
      <c r="O128" s="12">
        <v>107957</v>
      </c>
      <c r="P128" s="12">
        <v>33</v>
      </c>
      <c r="Q128" s="13">
        <f t="shared" si="48"/>
        <v>199527.72727272729</v>
      </c>
      <c r="R128" s="13">
        <f t="shared" si="49"/>
        <v>9814.2727272727279</v>
      </c>
      <c r="S128" s="14"/>
      <c r="T128" s="12">
        <v>2807566</v>
      </c>
      <c r="U128" s="12">
        <v>182214</v>
      </c>
      <c r="V128" s="12">
        <v>59</v>
      </c>
      <c r="W128" s="13">
        <f t="shared" si="50"/>
        <v>142757.59322033898</v>
      </c>
      <c r="X128" s="13">
        <f t="shared" si="51"/>
        <v>9265.1186440677975</v>
      </c>
      <c r="Y128" s="14"/>
      <c r="Z128" s="12">
        <v>2842279.3000000026</v>
      </c>
      <c r="AA128" s="12">
        <v>154617</v>
      </c>
      <c r="AB128" s="12">
        <v>64</v>
      </c>
      <c r="AC128" s="13">
        <f t="shared" si="52"/>
        <v>133231.84218750012</v>
      </c>
      <c r="AD128" s="13">
        <f t="shared" si="53"/>
        <v>7247.671875</v>
      </c>
      <c r="AE128" s="14"/>
      <c r="AF128" s="12">
        <v>1476756</v>
      </c>
      <c r="AG128" s="12">
        <v>106105</v>
      </c>
      <c r="AH128" s="12">
        <v>37</v>
      </c>
      <c r="AI128" s="13">
        <f t="shared" si="54"/>
        <v>119736.97297297299</v>
      </c>
      <c r="AJ128" s="13">
        <f t="shared" si="55"/>
        <v>8603.1081081081065</v>
      </c>
      <c r="AK128" s="14"/>
      <c r="AL128" s="12">
        <v>3102533</v>
      </c>
      <c r="AM128" s="12">
        <v>178547</v>
      </c>
      <c r="AN128" s="12">
        <v>62</v>
      </c>
      <c r="AO128" s="13">
        <f t="shared" si="56"/>
        <v>150122.56451612903</v>
      </c>
      <c r="AP128" s="13">
        <f t="shared" si="57"/>
        <v>8639.3709677419356</v>
      </c>
      <c r="AQ128" s="14"/>
      <c r="AR128" s="12">
        <v>2537734.1900000009</v>
      </c>
      <c r="AS128" s="12">
        <v>152056</v>
      </c>
      <c r="AT128" s="12">
        <v>54</v>
      </c>
      <c r="AU128" s="13">
        <f t="shared" si="58"/>
        <v>140985.23277777783</v>
      </c>
      <c r="AV128" s="13">
        <f t="shared" si="59"/>
        <v>8447.5555555555547</v>
      </c>
      <c r="AW128" s="14"/>
      <c r="AX128" s="12">
        <v>2690834</v>
      </c>
      <c r="AY128" s="12">
        <v>159213</v>
      </c>
      <c r="AZ128" s="12">
        <v>58</v>
      </c>
      <c r="BA128" s="13">
        <f t="shared" si="60"/>
        <v>139181.06896551725</v>
      </c>
      <c r="BB128" s="13">
        <f t="shared" si="61"/>
        <v>8235.1551724137935</v>
      </c>
      <c r="BC128" s="14"/>
      <c r="BD128" s="12">
        <v>2572500</v>
      </c>
      <c r="BE128" s="12">
        <v>138486</v>
      </c>
      <c r="BF128" s="12">
        <v>55</v>
      </c>
      <c r="BG128" s="13">
        <f t="shared" si="62"/>
        <v>140318.18181818182</v>
      </c>
      <c r="BH128" s="13">
        <f t="shared" si="63"/>
        <v>7553.7818181818184</v>
      </c>
      <c r="BI128" s="14"/>
      <c r="BJ128" s="12">
        <v>3605903</v>
      </c>
      <c r="BK128" s="12">
        <v>188164</v>
      </c>
      <c r="BL128" s="12">
        <v>72</v>
      </c>
      <c r="BM128" s="13">
        <f t="shared" si="64"/>
        <v>150245.95833333331</v>
      </c>
      <c r="BN128" s="13">
        <f t="shared" si="65"/>
        <v>7840.1666666666661</v>
      </c>
      <c r="BO128" s="14"/>
      <c r="BP128" s="12">
        <v>4800734</v>
      </c>
      <c r="BQ128" s="12">
        <v>275799</v>
      </c>
      <c r="BR128" s="12">
        <v>80</v>
      </c>
      <c r="BS128" s="13">
        <f t="shared" si="66"/>
        <v>180027.52500000002</v>
      </c>
      <c r="BT128" s="13">
        <f t="shared" si="67"/>
        <v>10342.462500000001</v>
      </c>
      <c r="BU128" s="14"/>
      <c r="BV128" s="12">
        <v>4906981</v>
      </c>
      <c r="BW128" s="12">
        <v>252500</v>
      </c>
      <c r="BX128" s="12">
        <v>80</v>
      </c>
      <c r="BY128" s="13">
        <f t="shared" si="68"/>
        <v>184011.78749999998</v>
      </c>
      <c r="BZ128" s="13">
        <f t="shared" si="69"/>
        <v>9468.75</v>
      </c>
      <c r="CA128" s="14"/>
      <c r="CB128" s="12">
        <v>7468801</v>
      </c>
      <c r="CC128" s="12">
        <v>512556</v>
      </c>
      <c r="CD128" s="12">
        <v>83</v>
      </c>
      <c r="CE128" s="13">
        <f t="shared" si="70"/>
        <v>269956.6626506024</v>
      </c>
      <c r="CF128" s="13">
        <f t="shared" si="71"/>
        <v>18526.120481927712</v>
      </c>
      <c r="CG128" s="14" t="s">
        <v>51</v>
      </c>
      <c r="CH128" s="9">
        <f t="shared" si="73"/>
        <v>3417285.5408333335</v>
      </c>
      <c r="CI128" s="9">
        <f t="shared" si="73"/>
        <v>200684.5</v>
      </c>
      <c r="CJ128" s="9">
        <f t="shared" si="44"/>
        <v>737</v>
      </c>
      <c r="CK128" s="10">
        <f t="shared" si="45"/>
        <v>166923.03862957939</v>
      </c>
      <c r="CL128" s="10">
        <f t="shared" si="46"/>
        <v>9802.770691994574</v>
      </c>
      <c r="CM128" s="11" t="str">
        <f t="shared" si="47"/>
        <v xml:space="preserve"> </v>
      </c>
      <c r="CN128" s="12"/>
      <c r="CO128" s="12"/>
      <c r="CP128" s="12"/>
    </row>
    <row r="129" spans="1:94" x14ac:dyDescent="0.3">
      <c r="A129" s="24" t="s">
        <v>148</v>
      </c>
      <c r="B129" s="9"/>
      <c r="C129" s="9"/>
      <c r="D129" s="9"/>
      <c r="E129" s="10"/>
      <c r="F129" s="10"/>
      <c r="G129" s="11"/>
      <c r="H129" s="9"/>
      <c r="I129" s="9"/>
      <c r="J129" s="9"/>
      <c r="K129" s="10"/>
      <c r="L129" s="10"/>
      <c r="M129" s="11"/>
      <c r="N129" s="12">
        <v>2219212</v>
      </c>
      <c r="O129" s="12">
        <v>82581</v>
      </c>
      <c r="P129" s="12">
        <v>32</v>
      </c>
      <c r="Q129" s="13">
        <f t="shared" si="48"/>
        <v>208051.125</v>
      </c>
      <c r="R129" s="13">
        <f t="shared" si="49"/>
        <v>7741.96875</v>
      </c>
      <c r="S129" s="14"/>
      <c r="T129" s="12">
        <v>2972076</v>
      </c>
      <c r="U129" s="12">
        <v>109107</v>
      </c>
      <c r="V129" s="12">
        <v>55</v>
      </c>
      <c r="W129" s="13">
        <f t="shared" si="50"/>
        <v>162113.23636363636</v>
      </c>
      <c r="X129" s="13">
        <f t="shared" si="51"/>
        <v>5951.2909090909088</v>
      </c>
      <c r="Y129" s="14"/>
      <c r="Z129" s="12">
        <v>2862659.1999999997</v>
      </c>
      <c r="AA129" s="12">
        <v>149138</v>
      </c>
      <c r="AB129" s="12">
        <v>57</v>
      </c>
      <c r="AC129" s="13">
        <f t="shared" si="52"/>
        <v>150666.27368421052</v>
      </c>
      <c r="AD129" s="13">
        <f t="shared" si="53"/>
        <v>7849.3684210526317</v>
      </c>
      <c r="AE129" s="14"/>
      <c r="AF129" s="12">
        <v>1633054.5000000012</v>
      </c>
      <c r="AG129" s="12">
        <v>67994</v>
      </c>
      <c r="AH129" s="12">
        <v>31</v>
      </c>
      <c r="AI129" s="13">
        <f t="shared" si="54"/>
        <v>158037.53225806463</v>
      </c>
      <c r="AJ129" s="13">
        <f t="shared" si="55"/>
        <v>6580.0645161290322</v>
      </c>
      <c r="AK129" s="14"/>
      <c r="AL129" s="12">
        <v>2676267.3599999994</v>
      </c>
      <c r="AM129" s="12">
        <v>153530</v>
      </c>
      <c r="AN129" s="12">
        <v>54</v>
      </c>
      <c r="AO129" s="13">
        <f t="shared" si="56"/>
        <v>148681.51999999996</v>
      </c>
      <c r="AP129" s="13">
        <f t="shared" si="57"/>
        <v>8529.4444444444453</v>
      </c>
      <c r="AQ129" s="14"/>
      <c r="AR129" s="12">
        <v>2461718.2600000007</v>
      </c>
      <c r="AS129" s="12">
        <v>97827</v>
      </c>
      <c r="AT129" s="12">
        <v>48</v>
      </c>
      <c r="AU129" s="13">
        <f t="shared" si="58"/>
        <v>153857.39125000004</v>
      </c>
      <c r="AV129" s="13">
        <f t="shared" si="59"/>
        <v>6114.1875</v>
      </c>
      <c r="AW129" s="14"/>
      <c r="AX129" s="12">
        <v>2302520</v>
      </c>
      <c r="AY129" s="12">
        <v>93844</v>
      </c>
      <c r="AZ129" s="12">
        <v>57</v>
      </c>
      <c r="BA129" s="13">
        <f t="shared" si="60"/>
        <v>121185.26315789473</v>
      </c>
      <c r="BB129" s="13">
        <f t="shared" si="61"/>
        <v>4939.1578947368425</v>
      </c>
      <c r="BC129" s="14"/>
      <c r="BD129" s="12">
        <v>2229581</v>
      </c>
      <c r="BE129" s="12">
        <v>136209</v>
      </c>
      <c r="BF129" s="12">
        <v>51</v>
      </c>
      <c r="BG129" s="13">
        <f t="shared" si="62"/>
        <v>131151.82352941178</v>
      </c>
      <c r="BH129" s="13">
        <f t="shared" si="63"/>
        <v>8012.2941176470595</v>
      </c>
      <c r="BI129" s="14"/>
      <c r="BJ129" s="12">
        <v>2855435</v>
      </c>
      <c r="BK129" s="12">
        <v>159827</v>
      </c>
      <c r="BL129" s="12">
        <v>74</v>
      </c>
      <c r="BM129" s="13">
        <f t="shared" si="64"/>
        <v>115760.87837837837</v>
      </c>
      <c r="BN129" s="13">
        <f t="shared" si="65"/>
        <v>6479.4729729729725</v>
      </c>
      <c r="BO129" s="14"/>
      <c r="BP129" s="12">
        <v>5888884.8999999939</v>
      </c>
      <c r="BQ129" s="12">
        <v>248073</v>
      </c>
      <c r="BR129" s="12">
        <v>78</v>
      </c>
      <c r="BS129" s="13">
        <f t="shared" si="66"/>
        <v>226495.57307692282</v>
      </c>
      <c r="BT129" s="13">
        <f t="shared" si="67"/>
        <v>9541.2692307692305</v>
      </c>
      <c r="BU129" s="14"/>
      <c r="BV129" s="12">
        <v>6170614.8000000035</v>
      </c>
      <c r="BW129" s="12">
        <v>225508</v>
      </c>
      <c r="BX129" s="12">
        <v>79</v>
      </c>
      <c r="BY129" s="13">
        <f t="shared" si="68"/>
        <v>234327.14430379763</v>
      </c>
      <c r="BZ129" s="13">
        <f t="shared" si="69"/>
        <v>8563.5949367088615</v>
      </c>
      <c r="CA129" s="14"/>
      <c r="CB129" s="12">
        <v>4104886.100000001</v>
      </c>
      <c r="CC129" s="12">
        <v>146931</v>
      </c>
      <c r="CD129" s="12">
        <v>79</v>
      </c>
      <c r="CE129" s="13">
        <f t="shared" si="70"/>
        <v>155881.75063291143</v>
      </c>
      <c r="CF129" s="13">
        <f t="shared" si="71"/>
        <v>5579.658227848101</v>
      </c>
      <c r="CG129" s="14" t="s">
        <v>51</v>
      </c>
      <c r="CH129" s="9">
        <f t="shared" si="73"/>
        <v>3198075.76</v>
      </c>
      <c r="CI129" s="9">
        <f t="shared" si="73"/>
        <v>139214.08333333334</v>
      </c>
      <c r="CJ129" s="9">
        <f t="shared" si="44"/>
        <v>695</v>
      </c>
      <c r="CK129" s="10">
        <f t="shared" si="45"/>
        <v>165655.72282014386</v>
      </c>
      <c r="CL129" s="10">
        <f t="shared" si="46"/>
        <v>7211.0892086330932</v>
      </c>
      <c r="CM129" s="11" t="str">
        <f t="shared" si="47"/>
        <v xml:space="preserve"> </v>
      </c>
      <c r="CN129" s="12"/>
      <c r="CO129" s="12"/>
      <c r="CP129" s="12"/>
    </row>
    <row r="130" spans="1:94" x14ac:dyDescent="0.3">
      <c r="A130" s="24" t="s">
        <v>149</v>
      </c>
      <c r="B130" s="9"/>
      <c r="C130" s="9"/>
      <c r="D130" s="9"/>
      <c r="E130" s="10"/>
      <c r="F130" s="10"/>
      <c r="G130" s="11"/>
      <c r="H130" s="9"/>
      <c r="I130" s="9"/>
      <c r="J130" s="9"/>
      <c r="K130" s="10"/>
      <c r="L130" s="10"/>
      <c r="M130" s="11"/>
      <c r="N130" s="12"/>
      <c r="O130" s="12"/>
      <c r="P130" s="12"/>
      <c r="Q130" s="13" t="str">
        <f t="shared" si="48"/>
        <v/>
      </c>
      <c r="R130" s="13" t="str">
        <f t="shared" si="49"/>
        <v/>
      </c>
      <c r="S130" s="14"/>
      <c r="T130" s="12"/>
      <c r="U130" s="12"/>
      <c r="V130" s="12"/>
      <c r="W130" s="13" t="str">
        <f t="shared" si="50"/>
        <v/>
      </c>
      <c r="X130" s="13" t="str">
        <f t="shared" si="51"/>
        <v/>
      </c>
      <c r="Y130" s="14"/>
      <c r="Z130" s="12">
        <v>525810</v>
      </c>
      <c r="AA130" s="12">
        <v>70585</v>
      </c>
      <c r="AB130" s="12">
        <v>19</v>
      </c>
      <c r="AC130" s="13">
        <f t="shared" si="52"/>
        <v>83022.631578947374</v>
      </c>
      <c r="AD130" s="13">
        <f t="shared" si="53"/>
        <v>11145</v>
      </c>
      <c r="AE130" s="14"/>
      <c r="AF130" s="12">
        <v>197184</v>
      </c>
      <c r="AG130" s="12">
        <v>22328</v>
      </c>
      <c r="AH130" s="12">
        <v>10</v>
      </c>
      <c r="AI130" s="13">
        <f t="shared" si="54"/>
        <v>59155.200000000004</v>
      </c>
      <c r="AJ130" s="13">
        <f t="shared" si="55"/>
        <v>6698.4000000000005</v>
      </c>
      <c r="AK130" s="14"/>
      <c r="AL130" s="12">
        <v>157643</v>
      </c>
      <c r="AM130" s="12">
        <v>30301</v>
      </c>
      <c r="AN130" s="12">
        <v>11</v>
      </c>
      <c r="AO130" s="13">
        <f t="shared" si="56"/>
        <v>42993.545454545456</v>
      </c>
      <c r="AP130" s="13">
        <f t="shared" si="57"/>
        <v>8263.9090909090901</v>
      </c>
      <c r="AQ130" s="14"/>
      <c r="AR130" s="12">
        <v>383478</v>
      </c>
      <c r="AS130" s="12">
        <v>41810</v>
      </c>
      <c r="AT130" s="12">
        <v>21</v>
      </c>
      <c r="AU130" s="13">
        <f t="shared" si="58"/>
        <v>54782.57142857142</v>
      </c>
      <c r="AV130" s="13">
        <f t="shared" si="59"/>
        <v>5972.8571428571431</v>
      </c>
      <c r="AW130" s="14"/>
      <c r="AX130" s="12">
        <v>204998</v>
      </c>
      <c r="AY130" s="12">
        <v>23701</v>
      </c>
      <c r="AZ130" s="12">
        <v>22</v>
      </c>
      <c r="BA130" s="13">
        <f t="shared" si="60"/>
        <v>27954.272727272728</v>
      </c>
      <c r="BB130" s="13">
        <f t="shared" si="61"/>
        <v>3231.954545454545</v>
      </c>
      <c r="BC130" s="14"/>
      <c r="BD130" s="12">
        <v>159858</v>
      </c>
      <c r="BE130" s="12">
        <v>15965</v>
      </c>
      <c r="BF130" s="12">
        <v>12</v>
      </c>
      <c r="BG130" s="13">
        <f t="shared" si="62"/>
        <v>39964.5</v>
      </c>
      <c r="BH130" s="13">
        <f t="shared" si="63"/>
        <v>3991.25</v>
      </c>
      <c r="BI130" s="14"/>
      <c r="BJ130" s="12">
        <v>310966</v>
      </c>
      <c r="BK130" s="12">
        <v>32547</v>
      </c>
      <c r="BL130" s="12">
        <v>30</v>
      </c>
      <c r="BM130" s="13">
        <f t="shared" si="64"/>
        <v>31096.6</v>
      </c>
      <c r="BN130" s="13">
        <f t="shared" si="65"/>
        <v>3254.7000000000003</v>
      </c>
      <c r="BO130" s="14"/>
      <c r="BP130" s="12">
        <v>1166309</v>
      </c>
      <c r="BQ130" s="12">
        <v>115180</v>
      </c>
      <c r="BR130" s="12">
        <v>34</v>
      </c>
      <c r="BS130" s="13">
        <f t="shared" si="66"/>
        <v>102909.61764705883</v>
      </c>
      <c r="BT130" s="13">
        <f t="shared" si="67"/>
        <v>10162.941176470587</v>
      </c>
      <c r="BU130" s="14"/>
      <c r="BV130" s="12">
        <v>1141962</v>
      </c>
      <c r="BW130" s="12">
        <v>124418</v>
      </c>
      <c r="BX130" s="12">
        <v>37</v>
      </c>
      <c r="BY130" s="13">
        <f t="shared" si="68"/>
        <v>92591.513513513506</v>
      </c>
      <c r="BZ130" s="13">
        <f t="shared" si="69"/>
        <v>10087.945945945947</v>
      </c>
      <c r="CA130" s="14"/>
      <c r="CB130" s="12">
        <v>2406695</v>
      </c>
      <c r="CC130" s="12">
        <v>258741</v>
      </c>
      <c r="CD130" s="12">
        <v>63</v>
      </c>
      <c r="CE130" s="13">
        <f t="shared" si="70"/>
        <v>114604.52380952382</v>
      </c>
      <c r="CF130" s="13">
        <f t="shared" si="71"/>
        <v>12321</v>
      </c>
      <c r="CG130" s="14" t="s">
        <v>51</v>
      </c>
      <c r="CH130" s="9">
        <f t="shared" si="73"/>
        <v>665490.30000000005</v>
      </c>
      <c r="CI130" s="9">
        <f t="shared" si="73"/>
        <v>73557.600000000006</v>
      </c>
      <c r="CJ130" s="9">
        <f t="shared" si="44"/>
        <v>259</v>
      </c>
      <c r="CK130" s="10">
        <f t="shared" si="45"/>
        <v>77083.818532818521</v>
      </c>
      <c r="CL130" s="10">
        <f t="shared" si="46"/>
        <v>8520.1853281853291</v>
      </c>
      <c r="CM130" s="11" t="str">
        <f t="shared" si="47"/>
        <v xml:space="preserve"> </v>
      </c>
      <c r="CN130" s="12"/>
      <c r="CO130" s="12"/>
      <c r="CP130" s="12"/>
    </row>
    <row r="131" spans="1:94" x14ac:dyDescent="0.3">
      <c r="A131" s="24" t="s">
        <v>150</v>
      </c>
      <c r="B131" s="9"/>
      <c r="C131" s="9"/>
      <c r="D131" s="9"/>
      <c r="E131" s="10"/>
      <c r="F131" s="10"/>
      <c r="G131" s="11"/>
      <c r="H131" s="9"/>
      <c r="I131" s="9"/>
      <c r="J131" s="9"/>
      <c r="K131" s="10"/>
      <c r="L131" s="10"/>
      <c r="M131" s="11"/>
      <c r="N131" s="12"/>
      <c r="O131" s="12"/>
      <c r="P131" s="12"/>
      <c r="Q131" s="13" t="str">
        <f t="shared" si="48"/>
        <v/>
      </c>
      <c r="R131" s="13" t="str">
        <f t="shared" si="49"/>
        <v/>
      </c>
      <c r="S131" s="14"/>
      <c r="T131" s="12"/>
      <c r="U131" s="12"/>
      <c r="V131" s="12"/>
      <c r="W131" s="13" t="str">
        <f t="shared" si="50"/>
        <v/>
      </c>
      <c r="X131" s="13" t="str">
        <f t="shared" si="51"/>
        <v/>
      </c>
      <c r="Y131" s="14"/>
      <c r="Z131" s="12">
        <v>315614</v>
      </c>
      <c r="AA131" s="12">
        <v>85413</v>
      </c>
      <c r="AB131" s="12">
        <v>21</v>
      </c>
      <c r="AC131" s="13">
        <f t="shared" si="52"/>
        <v>45087.71428571429</v>
      </c>
      <c r="AD131" s="13">
        <f t="shared" si="53"/>
        <v>12201.857142857143</v>
      </c>
      <c r="AE131" s="14"/>
      <c r="AF131" s="12">
        <v>195027</v>
      </c>
      <c r="AG131" s="12">
        <v>22233</v>
      </c>
      <c r="AH131" s="12">
        <v>11</v>
      </c>
      <c r="AI131" s="13">
        <f t="shared" si="54"/>
        <v>53189.181818181816</v>
      </c>
      <c r="AJ131" s="13">
        <f t="shared" si="55"/>
        <v>6063.545454545455</v>
      </c>
      <c r="AK131" s="14"/>
      <c r="AL131" s="12">
        <v>244000</v>
      </c>
      <c r="AM131" s="12">
        <v>43675</v>
      </c>
      <c r="AN131" s="12">
        <v>20</v>
      </c>
      <c r="AO131" s="13">
        <f t="shared" si="56"/>
        <v>36600</v>
      </c>
      <c r="AP131" s="13">
        <f t="shared" si="57"/>
        <v>6551.25</v>
      </c>
      <c r="AQ131" s="14"/>
      <c r="AR131" s="12">
        <v>241538</v>
      </c>
      <c r="AS131" s="12">
        <v>31455</v>
      </c>
      <c r="AT131" s="12">
        <v>19</v>
      </c>
      <c r="AU131" s="13">
        <f t="shared" si="58"/>
        <v>38137.57894736842</v>
      </c>
      <c r="AV131" s="13">
        <f t="shared" si="59"/>
        <v>4966.5789473684217</v>
      </c>
      <c r="AW131" s="14"/>
      <c r="AX131" s="12">
        <v>186286</v>
      </c>
      <c r="AY131" s="12">
        <v>22844</v>
      </c>
      <c r="AZ131" s="12">
        <v>19</v>
      </c>
      <c r="BA131" s="13">
        <f t="shared" si="60"/>
        <v>29413.57894736842</v>
      </c>
      <c r="BB131" s="13">
        <f t="shared" si="61"/>
        <v>3606.9473684210525</v>
      </c>
      <c r="BC131" s="14"/>
      <c r="BD131" s="12">
        <v>151184</v>
      </c>
      <c r="BE131" s="12">
        <v>19202</v>
      </c>
      <c r="BF131" s="12">
        <v>12</v>
      </c>
      <c r="BG131" s="13">
        <f t="shared" si="62"/>
        <v>37796</v>
      </c>
      <c r="BH131" s="13">
        <f t="shared" si="63"/>
        <v>4800.5</v>
      </c>
      <c r="BI131" s="14"/>
      <c r="BJ131" s="12">
        <v>157292</v>
      </c>
      <c r="BK131" s="12">
        <v>34425</v>
      </c>
      <c r="BL131" s="12">
        <v>20</v>
      </c>
      <c r="BM131" s="13">
        <f t="shared" si="64"/>
        <v>23593.800000000003</v>
      </c>
      <c r="BN131" s="13">
        <f t="shared" si="65"/>
        <v>5163.75</v>
      </c>
      <c r="BO131" s="14"/>
      <c r="BP131" s="12">
        <v>564939</v>
      </c>
      <c r="BQ131" s="12">
        <v>125298</v>
      </c>
      <c r="BR131" s="12">
        <v>40</v>
      </c>
      <c r="BS131" s="13">
        <f t="shared" si="66"/>
        <v>42370.425000000003</v>
      </c>
      <c r="BT131" s="13">
        <f t="shared" si="67"/>
        <v>9397.3499999999985</v>
      </c>
      <c r="BU131" s="14"/>
      <c r="BV131" s="12">
        <v>572027</v>
      </c>
      <c r="BW131" s="12">
        <v>161642</v>
      </c>
      <c r="BX131" s="12">
        <v>47</v>
      </c>
      <c r="BY131" s="13">
        <f t="shared" si="68"/>
        <v>36512.361702127659</v>
      </c>
      <c r="BZ131" s="13">
        <f t="shared" si="69"/>
        <v>10317.574468085106</v>
      </c>
      <c r="CA131" s="14"/>
      <c r="CB131" s="12">
        <v>1176756</v>
      </c>
      <c r="CC131" s="12">
        <v>234645</v>
      </c>
      <c r="CD131" s="12">
        <v>64</v>
      </c>
      <c r="CE131" s="13">
        <f t="shared" si="70"/>
        <v>55160.4375</v>
      </c>
      <c r="CF131" s="13">
        <f t="shared" si="71"/>
        <v>10998.984375</v>
      </c>
      <c r="CG131" s="14" t="s">
        <v>51</v>
      </c>
      <c r="CH131" s="9">
        <f t="shared" si="73"/>
        <v>380466.3</v>
      </c>
      <c r="CI131" s="9">
        <f t="shared" si="73"/>
        <v>78083.199999999997</v>
      </c>
      <c r="CJ131" s="9">
        <f t="shared" ref="CJ131:CJ132" si="74">IFERROR(SUM(P131,V131,AB131,AH131,AN131,AT131,AZ131,BF131,BL131,BR131,BX131,CD131)," ")</f>
        <v>273</v>
      </c>
      <c r="CK131" s="10">
        <f t="shared" ref="CK131:CK132" si="75">IFERROR(SUM(N131,T131,Z131,AF131,AL131,AR131,AX131,BD131,BJ131,BP131,BV131,CB131)/CJ131*3," ")</f>
        <v>41809.483516483517</v>
      </c>
      <c r="CL131" s="10">
        <f t="shared" ref="CL131:CL132" si="76">IFERROR(SUM(O131,U131,AA131,AG131,AM131,AS131,AY131,BE131,BK131,BQ131,BW131,CC131)/CJ131*3," ")</f>
        <v>8580.5714285714275</v>
      </c>
      <c r="CM131" s="11" t="str">
        <f t="shared" ref="CM131:CM132" si="77">IFERROR(AVERAGE(S131,Y131,AE131,AK131,AQ131,AW131,BC131,BI131,BO131,BU131,CA131,CG131)," ")</f>
        <v xml:space="preserve"> </v>
      </c>
      <c r="CN131" s="12"/>
      <c r="CO131" s="12"/>
      <c r="CP131" s="12"/>
    </row>
    <row r="132" spans="1:94" x14ac:dyDescent="0.3">
      <c r="A132" s="24" t="s">
        <v>151</v>
      </c>
      <c r="B132" s="9"/>
      <c r="C132" s="9"/>
      <c r="D132" s="9"/>
      <c r="E132" s="10"/>
      <c r="F132" s="10"/>
      <c r="G132" s="11"/>
      <c r="H132" s="9"/>
      <c r="I132" s="9"/>
      <c r="J132" s="9"/>
      <c r="K132" s="10"/>
      <c r="L132" s="10"/>
      <c r="M132" s="11"/>
      <c r="N132" s="12"/>
      <c r="O132" s="12"/>
      <c r="P132" s="12"/>
      <c r="Q132" s="13" t="str">
        <f t="shared" ref="Q132" si="78">IFERROR(N132/P132*3,"")</f>
        <v/>
      </c>
      <c r="R132" s="13" t="str">
        <f t="shared" ref="R132" si="79">IFERROR(O132/P132*3,"")</f>
        <v/>
      </c>
      <c r="S132" s="14"/>
      <c r="T132" s="12"/>
      <c r="U132" s="12"/>
      <c r="V132" s="12"/>
      <c r="W132" s="13" t="str">
        <f t="shared" ref="W132" si="80">IFERROR(T132/V132*3,"")</f>
        <v/>
      </c>
      <c r="X132" s="13" t="str">
        <f t="shared" ref="X132" si="81">IFERROR(U132/V132*3,"")</f>
        <v/>
      </c>
      <c r="Y132" s="14"/>
      <c r="Z132" s="12">
        <v>530983</v>
      </c>
      <c r="AA132" s="12">
        <v>3322</v>
      </c>
      <c r="AB132" s="12">
        <v>13</v>
      </c>
      <c r="AC132" s="13">
        <f t="shared" ref="AC132" si="82">IFERROR(Z132/AB132*3," ")</f>
        <v>122534.53846153847</v>
      </c>
      <c r="AD132" s="13">
        <f t="shared" ref="AD132" si="83">IFERROR(AA132/AB132*3," ")</f>
        <v>766.61538461538464</v>
      </c>
      <c r="AE132" s="14"/>
      <c r="AF132" s="12">
        <v>371186</v>
      </c>
      <c r="AG132" s="12">
        <v>1064</v>
      </c>
      <c r="AH132" s="12">
        <v>13</v>
      </c>
      <c r="AI132" s="13">
        <f t="shared" ref="AI132" si="84">IFERROR(AF132/AH132*3," ")</f>
        <v>85658.307692307688</v>
      </c>
      <c r="AJ132" s="13">
        <f t="shared" ref="AJ132" si="85">IFERROR(AG132/AH132*3," ")</f>
        <v>245.53846153846152</v>
      </c>
      <c r="AK132" s="14"/>
      <c r="AL132" s="12">
        <v>1665804</v>
      </c>
      <c r="AM132" s="12">
        <v>6375</v>
      </c>
      <c r="AN132" s="12">
        <v>33</v>
      </c>
      <c r="AO132" s="13">
        <f t="shared" ref="AO132" si="86">IFERROR(AL132/AN132*3," ")</f>
        <v>151436.72727272726</v>
      </c>
      <c r="AP132" s="13">
        <f t="shared" ref="AP132" si="87">IFERROR(AM132/AN132*3," ")</f>
        <v>579.5454545454545</v>
      </c>
      <c r="AQ132" s="14"/>
      <c r="AR132" s="12">
        <v>647711</v>
      </c>
      <c r="AS132" s="12">
        <v>2861</v>
      </c>
      <c r="AT132" s="12">
        <v>31</v>
      </c>
      <c r="AU132" s="13">
        <f t="shared" ref="AU132" si="88">IFERROR(AR132/AT132*3," ")</f>
        <v>62681.709677419349</v>
      </c>
      <c r="AV132" s="13">
        <f t="shared" ref="AV132" si="89">IFERROR(AS132/AT132*3," ")</f>
        <v>276.87096774193549</v>
      </c>
      <c r="AW132" s="14"/>
      <c r="AX132" s="12">
        <v>106872</v>
      </c>
      <c r="AY132" s="12">
        <v>364</v>
      </c>
      <c r="AZ132" s="12">
        <v>2</v>
      </c>
      <c r="BA132" s="13">
        <f t="shared" ref="BA132" si="90">IFERROR(AX132/AZ132*3," ")</f>
        <v>160308</v>
      </c>
      <c r="BB132" s="13">
        <f t="shared" ref="BB132" si="91">IFERROR(AY132/AZ132*3," ")</f>
        <v>546</v>
      </c>
      <c r="BC132" s="14"/>
      <c r="BD132" s="12"/>
      <c r="BE132" s="12"/>
      <c r="BF132" s="12"/>
      <c r="BG132" s="13" t="str">
        <f t="shared" ref="BG132" si="92">IFERROR(BD132/BF132*3," ")</f>
        <v xml:space="preserve"> </v>
      </c>
      <c r="BH132" s="13" t="str">
        <f t="shared" ref="BH132" si="93">IFERROR(BE132/BF132*3," ")</f>
        <v xml:space="preserve"> </v>
      </c>
      <c r="BI132" s="14"/>
      <c r="BJ132" s="12">
        <v>1732499</v>
      </c>
      <c r="BK132" s="12">
        <v>8865</v>
      </c>
      <c r="BL132" s="12">
        <v>51</v>
      </c>
      <c r="BM132" s="13">
        <f t="shared" ref="BM132" si="94">IFERROR(BJ132/BL132*3," ")</f>
        <v>101911.70588235294</v>
      </c>
      <c r="BN132" s="13">
        <f t="shared" ref="BN132" si="95">IFERROR(BK132/BL132*3," ")</f>
        <v>521.47058823529414</v>
      </c>
      <c r="BO132" s="14"/>
      <c r="BP132" s="12">
        <v>1437881</v>
      </c>
      <c r="BQ132" s="12">
        <v>8840</v>
      </c>
      <c r="BR132" s="12">
        <v>27</v>
      </c>
      <c r="BS132" s="13">
        <f t="shared" ref="BS132" si="96">IFERROR(BP132/BR132*3," ")</f>
        <v>159764.55555555556</v>
      </c>
      <c r="BT132" s="13">
        <f t="shared" ref="BT132" si="97">IFERROR(BQ132/BR132*3," ")</f>
        <v>982.22222222222217</v>
      </c>
      <c r="BU132" s="14"/>
      <c r="BV132" s="12">
        <v>919278</v>
      </c>
      <c r="BW132" s="12">
        <v>4297</v>
      </c>
      <c r="BX132" s="12">
        <v>22</v>
      </c>
      <c r="BY132" s="13">
        <f t="shared" ref="BY132" si="98">IFERROR(BV132/BX132*3," ")</f>
        <v>125356.09090909091</v>
      </c>
      <c r="BZ132" s="13">
        <f t="shared" ref="BZ132" si="99">IFERROR(BW132/BX132*3," ")</f>
        <v>585.9545454545455</v>
      </c>
      <c r="CA132" s="14"/>
      <c r="CB132" s="12">
        <v>4484542.55</v>
      </c>
      <c r="CC132" s="12">
        <v>28028</v>
      </c>
      <c r="CD132" s="12">
        <v>74</v>
      </c>
      <c r="CE132" s="13">
        <f t="shared" ref="CE132" si="100">IFERROR(CB132/CD132*3," ")</f>
        <v>181805.77905405406</v>
      </c>
      <c r="CF132" s="13">
        <f t="shared" ref="CF132" si="101">IFERROR(CC132/CD132*3," ")</f>
        <v>1136.2702702702704</v>
      </c>
      <c r="CG132" s="14" t="s">
        <v>51</v>
      </c>
      <c r="CH132" s="9">
        <f t="shared" si="73"/>
        <v>1321861.8388888889</v>
      </c>
      <c r="CI132" s="9">
        <f t="shared" si="73"/>
        <v>7112.8888888888887</v>
      </c>
      <c r="CJ132" s="9">
        <f t="shared" si="74"/>
        <v>266</v>
      </c>
      <c r="CK132" s="10">
        <f t="shared" si="75"/>
        <v>134173.9460526316</v>
      </c>
      <c r="CL132" s="10">
        <f t="shared" si="76"/>
        <v>721.98496240601503</v>
      </c>
      <c r="CM132" s="11" t="str">
        <f t="shared" si="77"/>
        <v xml:space="preserve"> </v>
      </c>
      <c r="CN132" s="12"/>
      <c r="CO132" s="12"/>
      <c r="CP132" s="12"/>
    </row>
    <row r="133" spans="1:94" s="17" customFormat="1" x14ac:dyDescent="0.3">
      <c r="A133" s="2" t="s">
        <v>85</v>
      </c>
      <c r="B133" s="15">
        <v>257439395.70454544</v>
      </c>
      <c r="C133" s="15">
        <v>3796087.1931818188</v>
      </c>
      <c r="D133" s="15">
        <v>52692</v>
      </c>
      <c r="E133" s="15">
        <v>9558886.8349815812</v>
      </c>
      <c r="F133" s="15">
        <v>161783.49364665707</v>
      </c>
      <c r="G133" s="25"/>
      <c r="H133" s="15">
        <v>186771055.38062772</v>
      </c>
      <c r="I133" s="15">
        <v>2717758.5773809534</v>
      </c>
      <c r="J133" s="15">
        <v>39339</v>
      </c>
      <c r="K133" s="26">
        <v>8204320.6737662936</v>
      </c>
      <c r="L133" s="26">
        <v>135958.40206062936</v>
      </c>
      <c r="M133" s="25"/>
      <c r="N133" s="15">
        <f>SUM(N67:N132)</f>
        <v>126441141.05499998</v>
      </c>
      <c r="O133" s="15">
        <f>SUM(O67:O132)</f>
        <v>1895846</v>
      </c>
      <c r="P133" s="15"/>
      <c r="Q133" s="15"/>
      <c r="R133" s="15"/>
      <c r="S133" s="27"/>
      <c r="T133" s="15">
        <f>SUM(T67:T132)</f>
        <v>152458068.28999999</v>
      </c>
      <c r="U133" s="15">
        <f>SUM(U67:U132)</f>
        <v>2334974</v>
      </c>
      <c r="V133" s="15"/>
      <c r="W133" s="15"/>
      <c r="X133" s="15"/>
      <c r="Y133" s="27"/>
      <c r="Z133" s="15">
        <f>SUM(Z67:Z132)</f>
        <v>158717599.37500003</v>
      </c>
      <c r="AA133" s="15">
        <f>SUM(AA67:AA132)</f>
        <v>2612869</v>
      </c>
      <c r="AB133" s="15"/>
      <c r="AC133" s="15"/>
      <c r="AD133" s="15"/>
      <c r="AE133" s="27"/>
      <c r="AF133" s="15">
        <f>SUM(AF67:AF132)</f>
        <v>90637020.890000001</v>
      </c>
      <c r="AG133" s="15">
        <f>SUM(AG67:AG132)</f>
        <v>1471361</v>
      </c>
      <c r="AH133" s="15"/>
      <c r="AI133" s="15"/>
      <c r="AJ133" s="15"/>
      <c r="AK133" s="27"/>
      <c r="AL133" s="15">
        <f>SUM(AL67:AL132)</f>
        <v>168830873.78000003</v>
      </c>
      <c r="AM133" s="15">
        <f>SUM(AM67:AM132)</f>
        <v>2418592</v>
      </c>
      <c r="AN133" s="15"/>
      <c r="AO133" s="15"/>
      <c r="AP133" s="15"/>
      <c r="AQ133" s="27"/>
      <c r="AR133" s="15">
        <f>SUM(AR67:AR132)</f>
        <v>129192690.50499997</v>
      </c>
      <c r="AS133" s="15">
        <f>SUM(AS67:AS132)</f>
        <v>1854694</v>
      </c>
      <c r="AT133" s="15"/>
      <c r="AU133" s="15"/>
      <c r="AV133" s="15"/>
      <c r="AW133" s="27"/>
      <c r="AX133" s="15">
        <f>SUM(AX67:AX132)</f>
        <v>152102285.18000001</v>
      </c>
      <c r="AY133" s="15">
        <f>SUM(AY67:AY132)</f>
        <v>2014833</v>
      </c>
      <c r="AZ133" s="15"/>
      <c r="BA133" s="15"/>
      <c r="BB133" s="15"/>
      <c r="BC133" s="27"/>
      <c r="BD133" s="15">
        <f>SUM(BD67:BD132)</f>
        <v>141434251.80500001</v>
      </c>
      <c r="BE133" s="15">
        <f>SUM(BE67:BE132)</f>
        <v>2084379</v>
      </c>
      <c r="BF133" s="15"/>
      <c r="BG133" s="15"/>
      <c r="BH133" s="15"/>
      <c r="BI133" s="27"/>
      <c r="BJ133" s="15">
        <f>SUM(BJ67:BJ132)</f>
        <v>168277736.60999995</v>
      </c>
      <c r="BK133" s="15">
        <f>SUM(BK67:BK132)</f>
        <v>2616058</v>
      </c>
      <c r="BL133" s="15"/>
      <c r="BM133" s="15"/>
      <c r="BN133" s="15"/>
      <c r="BO133" s="27"/>
      <c r="BP133" s="15">
        <f>SUM(BP67:BP132)</f>
        <v>221832829.155</v>
      </c>
      <c r="BQ133" s="15">
        <f>SUM(BQ67:BQ132)</f>
        <v>3362283</v>
      </c>
      <c r="BR133" s="15"/>
      <c r="BS133" s="15"/>
      <c r="BT133" s="15"/>
      <c r="BU133" s="27"/>
      <c r="BV133" s="15">
        <f>SUM(BV67:BV132)</f>
        <v>193126756.95500004</v>
      </c>
      <c r="BW133" s="15">
        <f>SUM(BW67:BW132)</f>
        <v>3187445</v>
      </c>
      <c r="BX133" s="15"/>
      <c r="BY133" s="15"/>
      <c r="BZ133" s="15"/>
      <c r="CA133" s="27"/>
      <c r="CB133" s="15">
        <f>SUM(CB67:CB132)</f>
        <v>192948982.56500003</v>
      </c>
      <c r="CC133" s="15">
        <f>SUM(CC67:CC132)</f>
        <v>3575516</v>
      </c>
      <c r="CD133" s="15"/>
      <c r="CE133" s="15"/>
      <c r="CF133" s="15"/>
      <c r="CG133" s="27"/>
      <c r="CH133" s="15">
        <f>SUM(CH67:CH132)</f>
        <v>163596584.24910101</v>
      </c>
      <c r="CI133" s="15">
        <f t="shared" ref="CI133:CL133" si="102">SUM(CI67:CI132)</f>
        <v>2501541.8926767688</v>
      </c>
      <c r="CJ133" s="15">
        <f t="shared" si="102"/>
        <v>37376</v>
      </c>
      <c r="CK133" s="15">
        <f t="shared" si="102"/>
        <v>8616858.5174646545</v>
      </c>
      <c r="CL133" s="15">
        <f t="shared" si="102"/>
        <v>147777.46777023768</v>
      </c>
      <c r="CM133" s="15"/>
      <c r="CN133" s="12"/>
    </row>
    <row r="134" spans="1:94" x14ac:dyDescent="0.3">
      <c r="B134" s="12"/>
      <c r="C134" s="12"/>
      <c r="D134" s="12"/>
      <c r="E134" s="12"/>
      <c r="F134" s="19"/>
      <c r="G134" s="20"/>
      <c r="H134" s="20"/>
      <c r="I134" s="20"/>
      <c r="J134" s="20"/>
      <c r="K134" s="20"/>
      <c r="L134" s="20"/>
      <c r="M134" s="20"/>
      <c r="CH134" s="12"/>
      <c r="CI134" s="12"/>
      <c r="CJ134" s="12"/>
      <c r="CK134" s="12"/>
      <c r="CL134" s="19"/>
      <c r="CM134" s="20"/>
    </row>
    <row r="135" spans="1:94" x14ac:dyDescent="0.3">
      <c r="A135" s="1"/>
      <c r="B135" s="29" t="s">
        <v>0</v>
      </c>
      <c r="C135" s="29"/>
      <c r="D135" s="29"/>
      <c r="E135" s="29"/>
      <c r="F135" s="29"/>
      <c r="G135" s="29"/>
      <c r="H135" s="29" t="s">
        <v>1</v>
      </c>
      <c r="I135" s="29"/>
      <c r="J135" s="29"/>
      <c r="K135" s="29"/>
      <c r="L135" s="29"/>
      <c r="M135" s="29"/>
      <c r="N135" s="29" t="s">
        <v>2</v>
      </c>
      <c r="O135" s="29"/>
      <c r="P135" s="29"/>
      <c r="Q135" s="29"/>
      <c r="R135" s="29"/>
      <c r="S135" s="2"/>
      <c r="T135" s="29" t="s">
        <v>3</v>
      </c>
      <c r="U135" s="29"/>
      <c r="V135" s="29"/>
      <c r="W135" s="29"/>
      <c r="X135" s="29"/>
      <c r="Y135" s="2"/>
      <c r="Z135" s="29" t="s">
        <v>4</v>
      </c>
      <c r="AA135" s="29"/>
      <c r="AB135" s="29"/>
      <c r="AC135" s="29"/>
      <c r="AD135" s="29"/>
      <c r="AE135" s="2"/>
      <c r="AF135" s="29" t="s">
        <v>5</v>
      </c>
      <c r="AG135" s="29"/>
      <c r="AH135" s="29"/>
      <c r="AI135" s="29"/>
      <c r="AJ135" s="29"/>
      <c r="AK135" s="2"/>
      <c r="AL135" s="29" t="s">
        <v>6</v>
      </c>
      <c r="AM135" s="29"/>
      <c r="AN135" s="29"/>
      <c r="AO135" s="29"/>
      <c r="AP135" s="29"/>
      <c r="AQ135" s="2"/>
      <c r="AR135" s="29" t="s">
        <v>7</v>
      </c>
      <c r="AS135" s="29"/>
      <c r="AT135" s="29"/>
      <c r="AU135" s="29"/>
      <c r="AV135" s="29"/>
      <c r="AW135" s="2"/>
      <c r="AX135" s="29" t="s">
        <v>8</v>
      </c>
      <c r="AY135" s="29"/>
      <c r="AZ135" s="29"/>
      <c r="BA135" s="29"/>
      <c r="BB135" s="29"/>
      <c r="BC135" s="2"/>
      <c r="BD135" s="29" t="s">
        <v>9</v>
      </c>
      <c r="BE135" s="29"/>
      <c r="BF135" s="29"/>
      <c r="BG135" s="29"/>
      <c r="BH135" s="29"/>
      <c r="BI135" s="2"/>
      <c r="BJ135" s="29" t="s">
        <v>10</v>
      </c>
      <c r="BK135" s="29"/>
      <c r="BL135" s="29"/>
      <c r="BM135" s="29"/>
      <c r="BN135" s="29"/>
      <c r="BO135" s="2"/>
      <c r="BP135" s="29" t="s">
        <v>11</v>
      </c>
      <c r="BQ135" s="29"/>
      <c r="BR135" s="29"/>
      <c r="BS135" s="29"/>
      <c r="BT135" s="29"/>
      <c r="BU135" s="2"/>
      <c r="BV135" s="29" t="s">
        <v>12</v>
      </c>
      <c r="BW135" s="29"/>
      <c r="BX135" s="29"/>
      <c r="BY135" s="29"/>
      <c r="BZ135" s="29"/>
      <c r="CA135" s="2"/>
      <c r="CB135" s="30" t="s">
        <v>13</v>
      </c>
      <c r="CC135" s="30"/>
      <c r="CD135" s="30"/>
      <c r="CE135" s="30"/>
      <c r="CF135" s="30"/>
      <c r="CG135" s="3"/>
      <c r="CH135" s="29" t="s">
        <v>14</v>
      </c>
      <c r="CI135" s="29"/>
      <c r="CJ135" s="29"/>
      <c r="CK135" s="29"/>
      <c r="CL135" s="29"/>
      <c r="CM135" s="2"/>
    </row>
    <row r="136" spans="1:94" ht="72" x14ac:dyDescent="0.3">
      <c r="A136" s="5"/>
      <c r="B136" s="6" t="s">
        <v>15</v>
      </c>
      <c r="C136" s="6" t="s">
        <v>16</v>
      </c>
      <c r="D136" s="21" t="s">
        <v>17</v>
      </c>
      <c r="E136" s="6" t="s">
        <v>18</v>
      </c>
      <c r="F136" s="6" t="s">
        <v>19</v>
      </c>
      <c r="G136" s="21" t="s">
        <v>20</v>
      </c>
      <c r="H136" s="21" t="s">
        <v>15</v>
      </c>
      <c r="I136" s="21" t="s">
        <v>16</v>
      </c>
      <c r="J136" s="21" t="s">
        <v>17</v>
      </c>
      <c r="K136" s="21" t="s">
        <v>18</v>
      </c>
      <c r="L136" s="21" t="s">
        <v>19</v>
      </c>
      <c r="M136" s="21" t="s">
        <v>20</v>
      </c>
      <c r="N136" s="6" t="s">
        <v>21</v>
      </c>
      <c r="O136" s="6" t="s">
        <v>22</v>
      </c>
      <c r="P136" s="6" t="s">
        <v>23</v>
      </c>
      <c r="Q136" s="6" t="s">
        <v>18</v>
      </c>
      <c r="R136" s="6" t="s">
        <v>19</v>
      </c>
      <c r="S136" s="6" t="s">
        <v>20</v>
      </c>
      <c r="T136" s="6" t="s">
        <v>21</v>
      </c>
      <c r="U136" s="6" t="s">
        <v>22</v>
      </c>
      <c r="V136" s="6" t="s">
        <v>23</v>
      </c>
      <c r="W136" s="6" t="s">
        <v>18</v>
      </c>
      <c r="X136" s="6" t="s">
        <v>19</v>
      </c>
      <c r="Y136" s="6" t="s">
        <v>20</v>
      </c>
      <c r="Z136" s="6" t="s">
        <v>21</v>
      </c>
      <c r="AA136" s="6" t="s">
        <v>22</v>
      </c>
      <c r="AB136" s="6" t="s">
        <v>23</v>
      </c>
      <c r="AC136" s="6" t="s">
        <v>18</v>
      </c>
      <c r="AD136" s="6" t="s">
        <v>19</v>
      </c>
      <c r="AE136" s="6" t="s">
        <v>20</v>
      </c>
      <c r="AF136" s="6" t="s">
        <v>21</v>
      </c>
      <c r="AG136" s="6" t="s">
        <v>22</v>
      </c>
      <c r="AH136" s="6" t="s">
        <v>23</v>
      </c>
      <c r="AI136" s="6" t="s">
        <v>18</v>
      </c>
      <c r="AJ136" s="6" t="s">
        <v>19</v>
      </c>
      <c r="AK136" s="6" t="s">
        <v>20</v>
      </c>
      <c r="AL136" s="6" t="s">
        <v>21</v>
      </c>
      <c r="AM136" s="6" t="s">
        <v>22</v>
      </c>
      <c r="AN136" s="6" t="s">
        <v>23</v>
      </c>
      <c r="AO136" s="6" t="s">
        <v>18</v>
      </c>
      <c r="AP136" s="6" t="s">
        <v>19</v>
      </c>
      <c r="AQ136" s="6" t="s">
        <v>20</v>
      </c>
      <c r="AR136" s="6" t="s">
        <v>21</v>
      </c>
      <c r="AS136" s="6" t="s">
        <v>22</v>
      </c>
      <c r="AT136" s="6" t="s">
        <v>23</v>
      </c>
      <c r="AU136" s="6" t="s">
        <v>18</v>
      </c>
      <c r="AV136" s="6" t="s">
        <v>19</v>
      </c>
      <c r="AW136" s="6" t="s">
        <v>20</v>
      </c>
      <c r="AX136" s="6" t="s">
        <v>21</v>
      </c>
      <c r="AY136" s="6" t="s">
        <v>22</v>
      </c>
      <c r="AZ136" s="6" t="s">
        <v>23</v>
      </c>
      <c r="BA136" s="6" t="s">
        <v>18</v>
      </c>
      <c r="BB136" s="6" t="s">
        <v>19</v>
      </c>
      <c r="BC136" s="6" t="s">
        <v>20</v>
      </c>
      <c r="BD136" s="6" t="s">
        <v>21</v>
      </c>
      <c r="BE136" s="6" t="s">
        <v>22</v>
      </c>
      <c r="BF136" s="6" t="s">
        <v>23</v>
      </c>
      <c r="BG136" s="6" t="s">
        <v>18</v>
      </c>
      <c r="BH136" s="6" t="s">
        <v>19</v>
      </c>
      <c r="BI136" s="6" t="s">
        <v>20</v>
      </c>
      <c r="BJ136" s="6" t="s">
        <v>21</v>
      </c>
      <c r="BK136" s="6" t="s">
        <v>22</v>
      </c>
      <c r="BL136" s="6" t="s">
        <v>23</v>
      </c>
      <c r="BM136" s="6" t="s">
        <v>18</v>
      </c>
      <c r="BN136" s="6" t="s">
        <v>19</v>
      </c>
      <c r="BO136" s="6" t="s">
        <v>20</v>
      </c>
      <c r="BP136" s="6" t="s">
        <v>21</v>
      </c>
      <c r="BQ136" s="6" t="s">
        <v>22</v>
      </c>
      <c r="BR136" s="6" t="s">
        <v>23</v>
      </c>
      <c r="BS136" s="6" t="s">
        <v>18</v>
      </c>
      <c r="BT136" s="6" t="s">
        <v>19</v>
      </c>
      <c r="BU136" s="6" t="s">
        <v>20</v>
      </c>
      <c r="BV136" s="6" t="s">
        <v>21</v>
      </c>
      <c r="BW136" s="6" t="s">
        <v>22</v>
      </c>
      <c r="BX136" s="6" t="s">
        <v>23</v>
      </c>
      <c r="BY136" s="6" t="s">
        <v>18</v>
      </c>
      <c r="BZ136" s="6" t="s">
        <v>19</v>
      </c>
      <c r="CA136" s="6" t="s">
        <v>20</v>
      </c>
      <c r="CB136" s="6" t="s">
        <v>21</v>
      </c>
      <c r="CC136" s="6" t="s">
        <v>22</v>
      </c>
      <c r="CD136" s="6" t="s">
        <v>23</v>
      </c>
      <c r="CE136" s="6" t="s">
        <v>18</v>
      </c>
      <c r="CF136" s="6" t="s">
        <v>19</v>
      </c>
      <c r="CG136" s="6" t="s">
        <v>20</v>
      </c>
      <c r="CH136" s="6" t="s">
        <v>15</v>
      </c>
      <c r="CI136" s="6" t="s">
        <v>16</v>
      </c>
      <c r="CJ136" s="6" t="s">
        <v>17</v>
      </c>
      <c r="CK136" s="6" t="s">
        <v>18</v>
      </c>
      <c r="CL136" s="6" t="s">
        <v>19</v>
      </c>
      <c r="CM136" s="21" t="s">
        <v>20</v>
      </c>
    </row>
    <row r="137" spans="1:94" x14ac:dyDescent="0.3">
      <c r="A137" s="8" t="s">
        <v>152</v>
      </c>
      <c r="B137" s="9">
        <v>7485251.333333333</v>
      </c>
      <c r="C137" s="9">
        <v>1061033.8333333333</v>
      </c>
      <c r="D137" s="9">
        <v>847</v>
      </c>
      <c r="E137" s="10">
        <v>318145.27508854785</v>
      </c>
      <c r="F137" s="10">
        <v>45097.069657615109</v>
      </c>
      <c r="G137" s="11">
        <v>4.8000000000000007</v>
      </c>
      <c r="H137" s="9">
        <v>4936817.5999999996</v>
      </c>
      <c r="I137" s="9">
        <v>700864.6</v>
      </c>
      <c r="J137" s="9">
        <v>484</v>
      </c>
      <c r="K137" s="10">
        <v>306001.09090909088</v>
      </c>
      <c r="L137" s="10">
        <v>43442.020661157025</v>
      </c>
      <c r="M137" s="11">
        <v>4.6659999999999995</v>
      </c>
      <c r="N137" s="12">
        <v>870850</v>
      </c>
      <c r="O137" s="12">
        <v>865961</v>
      </c>
      <c r="P137" s="12">
        <v>23</v>
      </c>
      <c r="Q137" s="13">
        <f>IFERROR(N137/P137*3,"")</f>
        <v>113589.13043478262</v>
      </c>
      <c r="R137" s="13">
        <f>IFERROR(O137/P137*3,"")</f>
        <v>112951.4347826087</v>
      </c>
      <c r="S137" s="14"/>
      <c r="T137" s="12">
        <v>1977556</v>
      </c>
      <c r="U137" s="12">
        <v>2079014</v>
      </c>
      <c r="V137" s="12">
        <v>63</v>
      </c>
      <c r="W137" s="13">
        <f>IFERROR(T137/V137*3,"")</f>
        <v>94169.333333333328</v>
      </c>
      <c r="X137" s="13">
        <f>IFERROR(U137/V137*3,"")</f>
        <v>99000.666666666657</v>
      </c>
      <c r="Y137" s="14"/>
      <c r="Z137" s="12">
        <v>660305</v>
      </c>
      <c r="AA137" s="12">
        <v>599576</v>
      </c>
      <c r="AB137" s="12">
        <v>26</v>
      </c>
      <c r="AC137" s="13">
        <f>IFERROR(Z137/AB137*3," ")</f>
        <v>76189.038461538454</v>
      </c>
      <c r="AD137" s="13">
        <f>IFERROR(AA137/AB137*3," ")</f>
        <v>69181.846153846156</v>
      </c>
      <c r="AE137" s="14"/>
      <c r="AF137" s="12">
        <v>722452</v>
      </c>
      <c r="AG137" s="12">
        <v>651275</v>
      </c>
      <c r="AH137" s="12">
        <v>23</v>
      </c>
      <c r="AI137" s="13">
        <f>IFERROR(AF137/AH137*3," ")</f>
        <v>94232.869565217392</v>
      </c>
      <c r="AJ137" s="13">
        <f>IFERROR(AG137/AH137*3," ")</f>
        <v>84948.913043478271</v>
      </c>
      <c r="AK137" s="14"/>
      <c r="AL137" s="12">
        <v>381646</v>
      </c>
      <c r="AM137" s="12">
        <v>391074</v>
      </c>
      <c r="AN137" s="12">
        <v>12</v>
      </c>
      <c r="AO137" s="13">
        <f>IFERROR(AL137/AN137*3," ")</f>
        <v>95411.5</v>
      </c>
      <c r="AP137" s="13">
        <f>IFERROR(AM137/AN137*3," ")</f>
        <v>97768.5</v>
      </c>
      <c r="AQ137" s="14"/>
      <c r="AR137" s="12">
        <v>527275</v>
      </c>
      <c r="AS137" s="12">
        <v>498256</v>
      </c>
      <c r="AT137" s="12">
        <v>16</v>
      </c>
      <c r="AU137" s="13">
        <f>IFERROR(AR137/AT137*3," ")</f>
        <v>98864.0625</v>
      </c>
      <c r="AV137" s="13">
        <f>IFERROR(AS137/AT137*3," ")</f>
        <v>93423</v>
      </c>
      <c r="AW137" s="14"/>
      <c r="AX137" s="12">
        <v>761494</v>
      </c>
      <c r="AY137" s="12">
        <v>691654</v>
      </c>
      <c r="AZ137" s="12">
        <v>27</v>
      </c>
      <c r="BA137" s="13">
        <f>IFERROR(AX137/AZ137*3," ")</f>
        <v>84610.444444444438</v>
      </c>
      <c r="BB137" s="13">
        <f>IFERROR(AY137/AZ137*3," ")</f>
        <v>76850.444444444438</v>
      </c>
      <c r="BC137" s="14"/>
      <c r="BD137" s="12">
        <v>1051132</v>
      </c>
      <c r="BE137" s="12">
        <v>1007187</v>
      </c>
      <c r="BF137" s="12">
        <v>36</v>
      </c>
      <c r="BG137" s="13">
        <f>IFERROR(BD137/BF137*3," ")</f>
        <v>87594.333333333328</v>
      </c>
      <c r="BH137" s="13">
        <f>IFERROR(BE137/BF137*3," ")</f>
        <v>83932.25</v>
      </c>
      <c r="BI137" s="14" t="s">
        <v>51</v>
      </c>
      <c r="BJ137" s="12">
        <v>987801</v>
      </c>
      <c r="BK137" s="12">
        <v>1004442</v>
      </c>
      <c r="BL137" s="12">
        <v>30</v>
      </c>
      <c r="BM137" s="13">
        <f>IFERROR(BJ137/BL137*3," ")</f>
        <v>98780.099999999991</v>
      </c>
      <c r="BN137" s="13">
        <f>IFERROR(BK137/BL137*3," ")</f>
        <v>100444.20000000001</v>
      </c>
      <c r="BO137" s="14"/>
      <c r="BP137" s="12">
        <v>2266439</v>
      </c>
      <c r="BQ137" s="12">
        <v>328192</v>
      </c>
      <c r="BR137" s="12">
        <v>24</v>
      </c>
      <c r="BS137" s="13">
        <f>IFERROR(BP137/BR137*3," ")</f>
        <v>283304.875</v>
      </c>
      <c r="BT137" s="13">
        <f>IFERROR(BQ137/BR137*3," ")</f>
        <v>41024</v>
      </c>
      <c r="BU137" s="14"/>
      <c r="BV137" s="12">
        <v>3710695</v>
      </c>
      <c r="BW137" s="12">
        <v>535932</v>
      </c>
      <c r="BX137" s="12">
        <v>40</v>
      </c>
      <c r="BY137" s="13">
        <f>IFERROR(BV137/BX137*3," ")</f>
        <v>278302.125</v>
      </c>
      <c r="BZ137" s="13">
        <f>IFERROR(BW137/BX137*3," ")</f>
        <v>40194.899999999994</v>
      </c>
      <c r="CA137" s="14"/>
      <c r="CB137" s="12">
        <v>2442116</v>
      </c>
      <c r="CC137" s="12">
        <v>355063</v>
      </c>
      <c r="CD137" s="12">
        <v>26</v>
      </c>
      <c r="CE137" s="13">
        <f>IFERROR(CB137/CD137*3," ")</f>
        <v>281782.61538461538</v>
      </c>
      <c r="CF137" s="13">
        <f>IFERROR(CC137/CD137*3," ")</f>
        <v>40968.807692307688</v>
      </c>
      <c r="CG137" s="14" t="s">
        <v>51</v>
      </c>
      <c r="CH137" s="9">
        <f t="shared" ref="CH137:CI139" si="103">IFERROR(AVERAGE(N137,T137,Z137,AF137,AL137,AR137,AX137,BD137,BJ137,BP137,BV137,CB137)," ")</f>
        <v>1363313.4166666667</v>
      </c>
      <c r="CI137" s="9">
        <f t="shared" si="103"/>
        <v>750635.5</v>
      </c>
      <c r="CJ137" s="9">
        <f>IFERROR(SUM(P137,V137,AB137,AH137,AN137,AT137,AZ137,BF137,BL137,BR137,BX137,CD137)," ")</f>
        <v>346</v>
      </c>
      <c r="CK137" s="10">
        <f>IFERROR(SUM(N137,T137,Z137,AF137,AL137,AR137,AX137,BD137,BJ137,BP137,BV137,CB137)/CJ137*3," ")</f>
        <v>141847.63872832368</v>
      </c>
      <c r="CL137" s="10">
        <f>IFERROR(SUM(O137,U137,AA137,AG137,AM137,AS137,AY137,BE137,BK137,BQ137,BW137,CC137)/CJ137*3," ")</f>
        <v>78100.803468208091</v>
      </c>
      <c r="CM137" s="11" t="str">
        <f>IFERROR(AVERAGE(S137,Y137,AE137,AK137,AQ137,AW137,BC137,BI137,BO137,BU137,CA137,CG137)," ")</f>
        <v xml:space="preserve"> </v>
      </c>
      <c r="CN137" s="12"/>
    </row>
    <row r="138" spans="1:94" x14ac:dyDescent="0.3">
      <c r="A138" s="8" t="s">
        <v>153</v>
      </c>
      <c r="B138" s="9">
        <v>8058211.666666667</v>
      </c>
      <c r="C138" s="9">
        <v>1146883.9166666667</v>
      </c>
      <c r="D138" s="9">
        <v>881</v>
      </c>
      <c r="E138" s="10">
        <v>329279.93189557322</v>
      </c>
      <c r="F138" s="10">
        <v>46864.723041997728</v>
      </c>
      <c r="G138" s="11">
        <v>4.810833333333334</v>
      </c>
      <c r="H138" s="9">
        <v>6152313</v>
      </c>
      <c r="I138" s="9">
        <v>869164.9</v>
      </c>
      <c r="J138" s="9">
        <v>585</v>
      </c>
      <c r="K138" s="10">
        <v>315503.23076923075</v>
      </c>
      <c r="L138" s="10">
        <v>44572.558974358974</v>
      </c>
      <c r="M138" s="11">
        <v>4.7880000000000003</v>
      </c>
      <c r="N138" s="12">
        <v>3210467</v>
      </c>
      <c r="O138" s="12">
        <v>482833</v>
      </c>
      <c r="P138" s="12">
        <v>29</v>
      </c>
      <c r="Q138" s="13">
        <f>IFERROR(N138/P138*3,"")</f>
        <v>332117.27586206899</v>
      </c>
      <c r="R138" s="13">
        <f>IFERROR(O138/P138*3,"")</f>
        <v>49948.241379310348</v>
      </c>
      <c r="S138" s="14"/>
      <c r="T138" s="12">
        <v>7314174</v>
      </c>
      <c r="U138" s="12">
        <v>1034482</v>
      </c>
      <c r="V138" s="12">
        <v>73</v>
      </c>
      <c r="W138" s="13">
        <f>IFERROR(T138/V138*3,"")</f>
        <v>300582.49315068492</v>
      </c>
      <c r="X138" s="13">
        <f>IFERROR(U138/V138*3,"")</f>
        <v>42512.95890410959</v>
      </c>
      <c r="Y138" s="14"/>
      <c r="Z138" s="12">
        <v>2446803</v>
      </c>
      <c r="AA138" s="12">
        <v>391749</v>
      </c>
      <c r="AB138" s="12">
        <v>29</v>
      </c>
      <c r="AC138" s="13">
        <f>IFERROR(Z138/AB138*3," ")</f>
        <v>253117.55172413791</v>
      </c>
      <c r="AD138" s="13">
        <f>IFERROR(AA138/AB138*3," ")</f>
        <v>40525.758620689659</v>
      </c>
      <c r="AE138" s="14"/>
      <c r="AF138" s="12">
        <v>2192940</v>
      </c>
      <c r="AG138" s="12">
        <v>349956</v>
      </c>
      <c r="AH138" s="12">
        <v>22</v>
      </c>
      <c r="AI138" s="13">
        <f>IFERROR(AF138/AH138*3," ")</f>
        <v>299037.27272727271</v>
      </c>
      <c r="AJ138" s="13">
        <f>IFERROR(AG138/AH138*3," ")</f>
        <v>47721.272727272728</v>
      </c>
      <c r="AK138" s="14"/>
      <c r="AL138" s="12">
        <v>1428613</v>
      </c>
      <c r="AM138" s="12">
        <v>207467</v>
      </c>
      <c r="AN138" s="12">
        <v>13</v>
      </c>
      <c r="AO138" s="13">
        <f>IFERROR(AL138/AN138*3," ")</f>
        <v>329679.92307692306</v>
      </c>
      <c r="AP138" s="13">
        <f>IFERROR(AM138/AN138*3," ")</f>
        <v>47877</v>
      </c>
      <c r="AQ138" s="14"/>
      <c r="AR138" s="12">
        <v>1746324</v>
      </c>
      <c r="AS138" s="12">
        <v>277967</v>
      </c>
      <c r="AT138" s="12">
        <v>16</v>
      </c>
      <c r="AU138" s="13">
        <f>IFERROR(AR138/AT138*3," ")</f>
        <v>327435.75</v>
      </c>
      <c r="AV138" s="13">
        <f>IFERROR(AS138/AT138*3," ")</f>
        <v>52118.8125</v>
      </c>
      <c r="AW138" s="14"/>
      <c r="AX138" s="12">
        <v>2733605</v>
      </c>
      <c r="AY138" s="12">
        <v>439278</v>
      </c>
      <c r="AZ138" s="12">
        <v>28</v>
      </c>
      <c r="BA138" s="13">
        <f>IFERROR(AX138/AZ138*3," ")</f>
        <v>292886.25</v>
      </c>
      <c r="BB138" s="13">
        <f>IFERROR(AY138/AZ138*3," ")</f>
        <v>47065.5</v>
      </c>
      <c r="BC138" s="14"/>
      <c r="BD138" s="12">
        <v>3605023</v>
      </c>
      <c r="BE138" s="12">
        <v>552759</v>
      </c>
      <c r="BF138" s="12">
        <v>38</v>
      </c>
      <c r="BG138" s="13">
        <f>IFERROR(BD138/BF138*3," ")</f>
        <v>284607.07894736843</v>
      </c>
      <c r="BH138" s="13">
        <f>IFERROR(BE138/BF138*3," ")</f>
        <v>43638.868421052626</v>
      </c>
      <c r="BI138" s="14" t="s">
        <v>51</v>
      </c>
      <c r="BJ138" s="12">
        <v>3395387</v>
      </c>
      <c r="BK138" s="12">
        <v>492369</v>
      </c>
      <c r="BL138" s="12">
        <v>33</v>
      </c>
      <c r="BM138" s="13">
        <f>IFERROR(BJ138/BL138*3," ")</f>
        <v>308671.54545454547</v>
      </c>
      <c r="BN138" s="13">
        <f>IFERROR(BK138/BL138*3," ")</f>
        <v>44760.818181818184</v>
      </c>
      <c r="BO138" s="14"/>
      <c r="BP138" s="12">
        <v>2438624</v>
      </c>
      <c r="BQ138" s="12">
        <v>346586</v>
      </c>
      <c r="BR138" s="12">
        <v>25</v>
      </c>
      <c r="BS138" s="13">
        <f>IFERROR(BP138/BR138*3," ")</f>
        <v>292634.88</v>
      </c>
      <c r="BT138" s="13">
        <f>IFERROR(BQ138/BR138*3," ")</f>
        <v>41590.32</v>
      </c>
      <c r="BU138" s="14"/>
      <c r="BV138" s="12">
        <v>4535513</v>
      </c>
      <c r="BW138" s="12">
        <v>645980</v>
      </c>
      <c r="BX138" s="12">
        <v>42</v>
      </c>
      <c r="BY138" s="13">
        <f>IFERROR(BV138/BX138*3," ")</f>
        <v>323965.21428571432</v>
      </c>
      <c r="BZ138" s="13">
        <f>IFERROR(BW138/BX138*3," ")</f>
        <v>46141.428571428572</v>
      </c>
      <c r="CA138" s="14"/>
      <c r="CB138" s="12">
        <v>2356277</v>
      </c>
      <c r="CC138" s="12">
        <v>341863</v>
      </c>
      <c r="CD138" s="12">
        <v>26</v>
      </c>
      <c r="CE138" s="13">
        <f>IFERROR(CB138/CD138*3," ")</f>
        <v>271878.11538461538</v>
      </c>
      <c r="CF138" s="13">
        <f>IFERROR(CC138/CD138*3," ")</f>
        <v>39445.730769230773</v>
      </c>
      <c r="CG138" s="14" t="s">
        <v>51</v>
      </c>
      <c r="CH138" s="9">
        <f t="shared" si="103"/>
        <v>3116979.1666666665</v>
      </c>
      <c r="CI138" s="9">
        <f t="shared" si="103"/>
        <v>463607.41666666669</v>
      </c>
      <c r="CJ138" s="9">
        <f>IFERROR(SUM(P138,V138,AB138,AH138,AN138,AT138,AZ138,BF138,BL138,BR138,BX138,CD138)," ")</f>
        <v>374</v>
      </c>
      <c r="CK138" s="10">
        <f>IFERROR(SUM(N138,T138,Z138,AF138,AL138,AR138,AX138,BD138,BJ138,BP138,BV138,CB138)/CJ138*3," ")</f>
        <v>300030.08021390374</v>
      </c>
      <c r="CL138" s="10">
        <f>IFERROR(SUM(O138,U138,AA138,AG138,AM138,AS138,AY138,BE138,BK138,BQ138,BW138,CC138)/CJ138*3," ")</f>
        <v>44625.312834224598</v>
      </c>
      <c r="CM138" s="11" t="str">
        <f>IFERROR(AVERAGE(S138,Y138,AE138,AK138,AQ138,AW138,BC138,BI138,BO138,BU138,CA138,CG138)," ")</f>
        <v xml:space="preserve"> </v>
      </c>
    </row>
    <row r="139" spans="1:94" x14ac:dyDescent="0.3">
      <c r="A139" s="8" t="s">
        <v>154</v>
      </c>
      <c r="B139" s="9">
        <v>2414413.0833333335</v>
      </c>
      <c r="C139" s="9">
        <v>2385844.0833333335</v>
      </c>
      <c r="D139" s="9">
        <v>855</v>
      </c>
      <c r="E139" s="10">
        <v>101659.49824561403</v>
      </c>
      <c r="F139" s="10">
        <v>100456.59298245615</v>
      </c>
      <c r="G139" s="11">
        <v>14.451666666666666</v>
      </c>
      <c r="H139" s="9">
        <v>1740853.8</v>
      </c>
      <c r="I139" s="9">
        <v>1717824.7</v>
      </c>
      <c r="J139" s="9">
        <v>553</v>
      </c>
      <c r="K139" s="10">
        <v>94440.531645569616</v>
      </c>
      <c r="L139" s="10">
        <v>93191.21338155515</v>
      </c>
      <c r="M139" s="11">
        <v>14.41</v>
      </c>
      <c r="N139" s="12">
        <v>3676451</v>
      </c>
      <c r="O139" s="12">
        <v>546304</v>
      </c>
      <c r="P139" s="12">
        <v>29</v>
      </c>
      <c r="Q139" s="13">
        <f>IFERROR(N139/P139*3,"")</f>
        <v>380322.5172413793</v>
      </c>
      <c r="R139" s="13">
        <f>IFERROR(O139/P139*3,"")</f>
        <v>56514.206896551725</v>
      </c>
      <c r="S139" s="14"/>
      <c r="T139" s="12">
        <v>6630167</v>
      </c>
      <c r="U139" s="12">
        <v>946648</v>
      </c>
      <c r="V139" s="12">
        <v>69</v>
      </c>
      <c r="W139" s="13">
        <f>IFERROR(T139/V139*3,"")</f>
        <v>288268.13043478259</v>
      </c>
      <c r="X139" s="13">
        <f>IFERROR(U139/V139*3,"")</f>
        <v>41158.608695652176</v>
      </c>
      <c r="Y139" s="14"/>
      <c r="Z139" s="12">
        <v>2578263</v>
      </c>
      <c r="AA139" s="12">
        <v>412494</v>
      </c>
      <c r="AB139" s="12">
        <v>29</v>
      </c>
      <c r="AC139" s="13">
        <f>IFERROR(Z139/AB139*3," ")</f>
        <v>266716.86206896551</v>
      </c>
      <c r="AD139" s="13">
        <f>IFERROR(AA139/AB139*3," ")</f>
        <v>42671.793103448275</v>
      </c>
      <c r="AE139" s="14"/>
      <c r="AF139" s="12">
        <v>2312181</v>
      </c>
      <c r="AG139" s="12">
        <v>365514</v>
      </c>
      <c r="AH139" s="12">
        <v>23</v>
      </c>
      <c r="AI139" s="13">
        <f>IFERROR(AF139/AH139*3," ")</f>
        <v>301588.82608695654</v>
      </c>
      <c r="AJ139" s="13">
        <f>IFERROR(AG139/AH139*3," ")</f>
        <v>47675.739130434784</v>
      </c>
      <c r="AK139" s="14"/>
      <c r="AL139" s="12">
        <v>1407496</v>
      </c>
      <c r="AM139" s="12">
        <v>200661</v>
      </c>
      <c r="AN139" s="12">
        <v>15</v>
      </c>
      <c r="AO139" s="13">
        <f>IFERROR(AL139/AN139*3," ")</f>
        <v>281499.2</v>
      </c>
      <c r="AP139" s="13">
        <f>IFERROR(AM139/AN139*3," ")</f>
        <v>40132.199999999997</v>
      </c>
      <c r="AQ139" s="14"/>
      <c r="AR139" s="12">
        <v>2126498</v>
      </c>
      <c r="AS139" s="12">
        <v>322195</v>
      </c>
      <c r="AT139" s="12">
        <v>22</v>
      </c>
      <c r="AU139" s="13">
        <f>IFERROR(AR139/AT139*3," ")</f>
        <v>289977</v>
      </c>
      <c r="AV139" s="13">
        <f>IFERROR(AS139/AT139*3," ")</f>
        <v>43935.681818181816</v>
      </c>
      <c r="AW139" s="14"/>
      <c r="AX139" s="12">
        <v>2907281</v>
      </c>
      <c r="AY139" s="12">
        <v>460761</v>
      </c>
      <c r="AZ139" s="12">
        <v>29</v>
      </c>
      <c r="BA139" s="13">
        <f>IFERROR(AX139/AZ139*3," ")</f>
        <v>300753.20689655177</v>
      </c>
      <c r="BB139" s="13">
        <f>IFERROR(AY139/AZ139*3," ")</f>
        <v>47664.931034482761</v>
      </c>
      <c r="BC139" s="14"/>
      <c r="BD139" s="12">
        <v>3717301</v>
      </c>
      <c r="BE139" s="12">
        <v>558941</v>
      </c>
      <c r="BF139" s="12">
        <v>37</v>
      </c>
      <c r="BG139" s="13">
        <f>IFERROR(BD139/BF139*3," ")</f>
        <v>301402.78378378379</v>
      </c>
      <c r="BH139" s="13">
        <f>IFERROR(BE139/BF139*3," ")</f>
        <v>45319.54054054054</v>
      </c>
      <c r="BI139" s="14" t="s">
        <v>51</v>
      </c>
      <c r="BJ139" s="12">
        <v>3605281</v>
      </c>
      <c r="BK139" s="12">
        <v>521025</v>
      </c>
      <c r="BL139" s="12">
        <v>34</v>
      </c>
      <c r="BM139" s="13">
        <f>IFERROR(BJ139/BL139*3," ")</f>
        <v>318113.0294117647</v>
      </c>
      <c r="BN139" s="13">
        <f>IFERROR(BK139/BL139*3," ")</f>
        <v>45972.794117647063</v>
      </c>
      <c r="BO139" s="14"/>
      <c r="BP139" s="12">
        <v>692524</v>
      </c>
      <c r="BQ139" s="12">
        <v>729082</v>
      </c>
      <c r="BR139" s="12">
        <v>24</v>
      </c>
      <c r="BS139" s="13">
        <f>IFERROR(BP139/BR139*3," ")</f>
        <v>86565.5</v>
      </c>
      <c r="BT139" s="13">
        <f>IFERROR(BQ139/BR139*3," ")</f>
        <v>91135.25</v>
      </c>
      <c r="BU139" s="14"/>
      <c r="BV139" s="12">
        <v>1091681</v>
      </c>
      <c r="BW139" s="12">
        <v>1080365</v>
      </c>
      <c r="BX139" s="12">
        <v>34</v>
      </c>
      <c r="BY139" s="13">
        <f>IFERROR(BV139/BX139*3," ")</f>
        <v>96324.794117647063</v>
      </c>
      <c r="BZ139" s="13">
        <f>IFERROR(BW139/BX139*3," ")</f>
        <v>95326.323529411762</v>
      </c>
      <c r="CA139" s="14"/>
      <c r="CB139" s="12">
        <v>753453</v>
      </c>
      <c r="CC139" s="12">
        <v>860417</v>
      </c>
      <c r="CD139" s="12">
        <v>26</v>
      </c>
      <c r="CE139" s="13">
        <f>IFERROR(CB139/CD139*3," ")</f>
        <v>86936.884615384624</v>
      </c>
      <c r="CF139" s="13">
        <f>IFERROR(CC139/CD139*3," ")</f>
        <v>99278.884615384624</v>
      </c>
      <c r="CG139" s="14" t="s">
        <v>51</v>
      </c>
      <c r="CH139" s="9">
        <f t="shared" si="103"/>
        <v>2624881.4166666665</v>
      </c>
      <c r="CI139" s="9">
        <f t="shared" si="103"/>
        <v>583700.58333333337</v>
      </c>
      <c r="CJ139" s="9">
        <f>IFERROR(SUM(P139,V139,AB139,AH139,AN139,AT139,AZ139,BF139,BL139,BR139,BX139,CD139)," ")</f>
        <v>371</v>
      </c>
      <c r="CK139" s="10">
        <f>IFERROR(SUM(N139,T139,Z139,AF139,AL139,AR139,AX139,BD139,BJ139,BP139,BV139,CB139)/CJ139*3," ")</f>
        <v>254705.47439353101</v>
      </c>
      <c r="CL139" s="10">
        <f>IFERROR(SUM(O139,U139,AA139,AG139,AM139,AS139,AY139,BE139,BK139,BQ139,BW139,CC139)/CJ139*3," ")</f>
        <v>56639.409703504047</v>
      </c>
      <c r="CM139" s="11" t="str">
        <f>IFERROR(AVERAGE(S139,Y139,AE139,AK139,AQ139,AW139,BC139,BI139,BO139,BU139,CA139,CG139)," ")</f>
        <v xml:space="preserve"> </v>
      </c>
    </row>
    <row r="140" spans="1:94" s="17" customFormat="1" x14ac:dyDescent="0.3">
      <c r="A140" s="2" t="s">
        <v>85</v>
      </c>
      <c r="B140" s="15">
        <v>17957876.083333332</v>
      </c>
      <c r="C140" s="15">
        <v>4593761.833333334</v>
      </c>
      <c r="D140" s="15">
        <v>2583</v>
      </c>
      <c r="E140" s="15">
        <v>749084.70522973512</v>
      </c>
      <c r="F140" s="15">
        <v>192418.385682069</v>
      </c>
      <c r="G140" s="25"/>
      <c r="H140" s="15">
        <v>12829984.4</v>
      </c>
      <c r="I140" s="15">
        <v>3287854.2</v>
      </c>
      <c r="J140" s="15">
        <v>1622</v>
      </c>
      <c r="K140" s="28">
        <v>715944.85332389118</v>
      </c>
      <c r="L140" s="28">
        <v>181205.79301707115</v>
      </c>
      <c r="M140" s="25"/>
      <c r="N140" s="15">
        <f>SUM(N137:N139)</f>
        <v>7757768</v>
      </c>
      <c r="O140" s="15">
        <f>SUM(O137:O139)</f>
        <v>1895098</v>
      </c>
      <c r="P140" s="15"/>
      <c r="Q140" s="15"/>
      <c r="R140" s="25"/>
      <c r="S140" s="15"/>
      <c r="T140" s="15">
        <f>SUM(T137:T139)</f>
        <v>15921897</v>
      </c>
      <c r="U140" s="15">
        <f>SUM(U137:U139)</f>
        <v>4060144</v>
      </c>
      <c r="V140" s="15"/>
      <c r="W140" s="15"/>
      <c r="X140" s="25"/>
      <c r="Y140" s="15"/>
      <c r="Z140" s="15">
        <f>SUM(Z137:Z139)</f>
        <v>5685371</v>
      </c>
      <c r="AA140" s="15">
        <f>SUM(AA137:AA139)</f>
        <v>1403819</v>
      </c>
      <c r="AB140" s="15"/>
      <c r="AC140" s="15"/>
      <c r="AD140" s="25"/>
      <c r="AE140" s="15"/>
      <c r="AF140" s="15">
        <f>SUM(AF137:AF139)</f>
        <v>5227573</v>
      </c>
      <c r="AG140" s="15">
        <f>SUM(AG137:AG139)</f>
        <v>1366745</v>
      </c>
      <c r="AH140" s="15"/>
      <c r="AI140" s="15"/>
      <c r="AJ140" s="25"/>
      <c r="AK140" s="15"/>
      <c r="AL140" s="15">
        <f>SUM(AL137:AL139)</f>
        <v>3217755</v>
      </c>
      <c r="AM140" s="15">
        <f>SUM(AM137:AM139)</f>
        <v>799202</v>
      </c>
      <c r="AN140" s="15"/>
      <c r="AO140" s="15"/>
      <c r="AP140" s="25"/>
      <c r="AQ140" s="15"/>
      <c r="AR140" s="15">
        <f>SUM(AR137:AR139)</f>
        <v>4400097</v>
      </c>
      <c r="AS140" s="15">
        <f>SUM(AS137:AS139)</f>
        <v>1098418</v>
      </c>
      <c r="AT140" s="15"/>
      <c r="AU140" s="15"/>
      <c r="AV140" s="25"/>
      <c r="AW140" s="15"/>
      <c r="AX140" s="15">
        <f>SUM(AX137:AX139)</f>
        <v>6402380</v>
      </c>
      <c r="AY140" s="15">
        <f>SUM(AY137:AY139)</f>
        <v>1591693</v>
      </c>
      <c r="AZ140" s="15"/>
      <c r="BA140" s="15"/>
      <c r="BB140" s="25"/>
      <c r="BC140" s="15"/>
      <c r="BD140" s="15">
        <f>SUM(BD137:BD139)</f>
        <v>8373456</v>
      </c>
      <c r="BE140" s="15">
        <f>SUM(BE137:BE139)</f>
        <v>2118887</v>
      </c>
      <c r="BF140" s="15"/>
      <c r="BG140" s="15"/>
      <c r="BH140" s="25"/>
      <c r="BI140" s="15"/>
      <c r="BJ140" s="15">
        <f>SUM(BJ137:BJ139)</f>
        <v>7988469</v>
      </c>
      <c r="BK140" s="15">
        <f>SUM(BK137:BK139)</f>
        <v>2017836</v>
      </c>
      <c r="BL140" s="15"/>
      <c r="BM140" s="15"/>
      <c r="BN140" s="25"/>
      <c r="BO140" s="15"/>
      <c r="BP140" s="15">
        <f>SUM(BP137:BP139)</f>
        <v>5397587</v>
      </c>
      <c r="BQ140" s="15">
        <f>SUM(BQ137:BQ139)</f>
        <v>1403860</v>
      </c>
      <c r="BR140" s="15"/>
      <c r="BS140" s="15"/>
      <c r="BT140" s="25"/>
      <c r="BU140" s="15"/>
      <c r="BV140" s="15">
        <f>SUM(BV137:BV139)</f>
        <v>9337889</v>
      </c>
      <c r="BW140" s="15">
        <f>SUM(BW137:BW139)</f>
        <v>2262277</v>
      </c>
      <c r="BX140" s="15"/>
      <c r="BY140" s="15"/>
      <c r="BZ140" s="25"/>
      <c r="CA140" s="15"/>
      <c r="CB140" s="15">
        <f>SUM(CB137:CB139)</f>
        <v>5551846</v>
      </c>
      <c r="CC140" s="15">
        <f>SUM(CC137:CC139)</f>
        <v>1557343</v>
      </c>
      <c r="CD140" s="15"/>
      <c r="CE140" s="15"/>
      <c r="CF140" s="25"/>
      <c r="CG140" s="15"/>
      <c r="CH140" s="15">
        <f>SUM(CH137:CH139)</f>
        <v>7105174</v>
      </c>
      <c r="CI140" s="15">
        <f>SUM(CI137:CI139)</f>
        <v>1797943.5</v>
      </c>
      <c r="CJ140" s="15">
        <f>SUM(CJ137:CJ139)</f>
        <v>1091</v>
      </c>
      <c r="CK140" s="15">
        <f>SUM(CK137:CK139)</f>
        <v>696583.19333575841</v>
      </c>
      <c r="CL140" s="15">
        <f>SUM(CL137:CL139)</f>
        <v>179365.52600593673</v>
      </c>
      <c r="CM140" s="15"/>
    </row>
    <row r="143" spans="1:94" x14ac:dyDescent="0.3">
      <c r="BE143" s="12"/>
      <c r="BG143" s="12"/>
    </row>
    <row r="146" spans="16:21" x14ac:dyDescent="0.3">
      <c r="P146" s="12"/>
      <c r="Q146" s="12"/>
      <c r="R146" s="12"/>
      <c r="S146" s="12"/>
      <c r="T146" s="12"/>
      <c r="U146" s="12"/>
    </row>
  </sheetData>
  <autoFilter ref="A2:CL63" xr:uid="{B264AC42-3408-4CC4-A254-80BEFA0AA9F5}"/>
  <mergeCells count="45">
    <mergeCell ref="AF1:AK1"/>
    <mergeCell ref="B1:G1"/>
    <mergeCell ref="H1:M1"/>
    <mergeCell ref="N1:S1"/>
    <mergeCell ref="T1:Y1"/>
    <mergeCell ref="Z1:AE1"/>
    <mergeCell ref="BV1:CA1"/>
    <mergeCell ref="CB1:CG1"/>
    <mergeCell ref="CH1:CM1"/>
    <mergeCell ref="B65:G65"/>
    <mergeCell ref="H65:M65"/>
    <mergeCell ref="N65:R65"/>
    <mergeCell ref="T65:X65"/>
    <mergeCell ref="Z65:AD65"/>
    <mergeCell ref="AF65:AJ65"/>
    <mergeCell ref="AL65:AP65"/>
    <mergeCell ref="AL1:AQ1"/>
    <mergeCell ref="AR1:AW1"/>
    <mergeCell ref="AX1:BC1"/>
    <mergeCell ref="BD1:BI1"/>
    <mergeCell ref="BJ1:BO1"/>
    <mergeCell ref="BP1:BU1"/>
    <mergeCell ref="CB65:CF65"/>
    <mergeCell ref="CH65:CL65"/>
    <mergeCell ref="B135:G135"/>
    <mergeCell ref="H135:M135"/>
    <mergeCell ref="N135:R135"/>
    <mergeCell ref="T135:X135"/>
    <mergeCell ref="Z135:AD135"/>
    <mergeCell ref="AF135:AJ135"/>
    <mergeCell ref="AL135:AP135"/>
    <mergeCell ref="AR135:AV135"/>
    <mergeCell ref="AR65:AV65"/>
    <mergeCell ref="AX65:BB65"/>
    <mergeCell ref="BD65:BH65"/>
    <mergeCell ref="BJ65:BN65"/>
    <mergeCell ref="BP65:BT65"/>
    <mergeCell ref="BV65:BZ65"/>
    <mergeCell ref="CH135:CL135"/>
    <mergeCell ref="AX135:BB135"/>
    <mergeCell ref="BD135:BH135"/>
    <mergeCell ref="BJ135:BN135"/>
    <mergeCell ref="BP135:BT135"/>
    <mergeCell ref="BV135:BZ135"/>
    <mergeCell ref="CB135:CF1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Avarage Production Per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2025-01-07T14:18:46Z</dcterms:created>
  <dcterms:modified xsi:type="dcterms:W3CDTF">2025-01-07T14:20:42Z</dcterms:modified>
</cp:coreProperties>
</file>